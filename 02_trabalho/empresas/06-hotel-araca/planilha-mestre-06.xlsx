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tr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Item01_componentes" sheetId="3" state="visible" r:id="rId3"/>
    <sheet xmlns:r="http://schemas.openxmlformats.org/officeDocument/2006/relationships" name="Totais" sheetId="4" state="visible" r:id="rId4"/>
    <sheet xmlns:r="http://schemas.openxmlformats.org/officeDocument/2006/relationships" name="Pares_2018_2025" sheetId="5" state="visible" r:id="rId5"/>
    <sheet xmlns:r="http://schemas.openxmlformats.org/officeDocument/2006/relationships" name="Observacoes" sheetId="6" state="visible" r:id="rId6"/>
  </sheets>
  <definedNames>
    <definedName name="_xlnm._FilterDatabase" localSheetId="0" hidden="1">'Mestre'!$A$1:$AD$33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8" customWidth="1" min="1" max="1"/>
    <col width="27.9" customWidth="1" min="2" max="2"/>
    <col width="60" customWidth="1" min="3" max="3"/>
    <col width="60" customWidth="1" min="4" max="4"/>
    <col width="60" customWidth="1" min="5" max="5"/>
    <col width="60" customWidth="1" min="6" max="6"/>
    <col width="24.3" customWidth="1" min="7" max="7"/>
    <col width="30.6" customWidth="1" min="8" max="8"/>
    <col width="60" customWidth="1" min="9" max="9"/>
    <col width="15.3" customWidth="1" min="10" max="10"/>
    <col width="39.6" customWidth="1" min="11" max="11"/>
    <col width="40.5" customWidth="1" min="12" max="12"/>
    <col width="14.4" customWidth="1" min="13" max="13"/>
    <col width="10.8" customWidth="1" min="14" max="14"/>
    <col width="16.2" customWidth="1" min="15" max="15"/>
    <col width="17.1" customWidth="1" min="16" max="16"/>
    <col width="10.8" customWidth="1" min="17" max="17"/>
    <col width="18" customWidth="1" min="18" max="18"/>
    <col width="20.7" customWidth="1" min="19" max="19"/>
    <col width="39.6" customWidth="1" min="20" max="20"/>
    <col width="19.8" customWidth="1" min="21" max="21"/>
    <col width="11.7" customWidth="1" min="22" max="22"/>
    <col width="60" customWidth="1" min="23" max="23"/>
    <col width="60" customWidth="1" min="24" max="24"/>
    <col width="60" customWidth="1" min="25" max="25"/>
    <col width="60" customWidth="1" min="26" max="26"/>
    <col width="19.8" customWidth="1" min="27" max="27"/>
    <col width="21.6" customWidth="1" min="28" max="28"/>
    <col width="18.9" customWidth="1" min="29" max="29"/>
    <col width="60" customWidth="1" min="30" max="30"/>
  </cols>
  <sheetData>
    <row r="1">
      <c r="A1" s="1" t="inlineStr">
        <is>
          <t>Empresa</t>
        </is>
      </c>
      <c r="B1" s="1" t="inlineStr">
        <is>
          <t>Bloco</t>
        </is>
      </c>
      <c r="C1" s="1" t="inlineStr">
        <is>
          <t>Chave</t>
        </is>
      </c>
      <c r="D1" s="1" t="inlineStr">
        <is>
          <t>Descrição</t>
        </is>
      </c>
      <c r="E1" s="1" t="inlineStr">
        <is>
          <t>Existe em 2018?</t>
        </is>
      </c>
      <c r="F1" s="1" t="inlineStr">
        <is>
          <t>Ref. 2018</t>
        </is>
      </c>
      <c r="G1" s="1" t="inlineStr">
        <is>
          <t>Valor 2018 (referência, P3)</t>
        </is>
      </c>
      <c r="H1" s="1" t="inlineStr">
        <is>
          <t>Existe em 2025 (grupo)?</t>
        </is>
      </c>
      <c r="I1" s="1" t="inlineStr">
        <is>
          <t>Ref. 2025</t>
        </is>
      </c>
      <c r="J1" s="1" t="inlineStr">
        <is>
          <t>Valor 2025 antigo</t>
        </is>
      </c>
      <c r="K1" s="1" t="inlineStr">
        <is>
          <t>Existe no Estudo 2 (Rafael)?</t>
        </is>
      </c>
      <c r="L1" s="1" t="inlineStr">
        <is>
          <t>Ref. Rafael</t>
        </is>
      </c>
      <c r="M1" s="1" t="inlineStr">
        <is>
          <t>Valor grupo 2025</t>
        </is>
      </c>
      <c r="N1" s="1" t="inlineStr">
        <is>
          <t>Valor Rafael</t>
        </is>
      </c>
      <c r="O1" s="1" t="inlineStr">
        <is>
          <t>Diferença R$</t>
        </is>
      </c>
      <c r="P1" s="1" t="inlineStr">
        <is>
          <t>Diferença %</t>
        </is>
      </c>
      <c r="Q1" s="1" t="inlineStr">
        <is>
          <t>Situação</t>
        </is>
      </c>
      <c r="R1" s="1" t="inlineStr">
        <is>
          <t>Lista de Rafael (C0)</t>
        </is>
      </c>
      <c r="S1" s="1" t="inlineStr">
        <is>
          <t>Direção C0</t>
        </is>
      </c>
      <c r="T1" s="1" t="inlineStr">
        <is>
          <t>Faixa de mercado de Rafael</t>
        </is>
      </c>
      <c r="U1" s="1" t="inlineStr">
        <is>
          <t>Decisão (P5)</t>
        </is>
      </c>
      <c r="V1" s="1" t="inlineStr">
        <is>
          <t>Valor adotado</t>
        </is>
      </c>
      <c r="W1" s="1" t="inlineStr">
        <is>
          <t>Motivo da decisão</t>
        </is>
      </c>
      <c r="X1" s="1" t="inlineStr">
        <is>
          <t>Destino 2018→2025</t>
        </is>
      </c>
      <c r="Y1" s="1" t="inlineStr">
        <is>
          <t>Registro de data-base</t>
        </is>
      </c>
      <c r="Z1" s="1" t="inlineStr">
        <is>
          <t>Observação do Luís</t>
        </is>
      </c>
      <c r="AA1" s="1" t="inlineStr">
        <is>
          <t>Situação da observação</t>
        </is>
      </c>
      <c r="AB1" s="1" t="inlineStr">
        <is>
          <t>Concordância de Rafael</t>
        </is>
      </c>
      <c r="AC1" s="1" t="inlineStr">
        <is>
          <t>Nome de sócio em 2018</t>
        </is>
      </c>
      <c r="AD1" s="1" t="inlineStr">
        <is>
          <t>Notas de identificação</t>
        </is>
      </c>
    </row>
    <row r="2">
      <c r="A2" t="inlineStr">
        <is>
          <t>06 - Hotel Araçá Ltda.</t>
        </is>
      </c>
      <c r="B2" t="inlineStr">
        <is>
          <t>Hotel (quadra 37)</t>
        </is>
      </c>
      <c r="C2" t="inlineStr">
        <is>
          <t>HOTEL-Q37 (12 matrículas: 34.768, 34.769, 34.770, 34.771, 6.411, 29.855, 24.584, 24.585, 33.101, 29.856, 0672, 34.772)</t>
        </is>
      </c>
      <c r="D2" t="inlineStr">
        <is>
          <t>Hotel: 18 terrenos (6.900 m²) com prédio de 4 andares, 144 apartamentos</t>
        </is>
      </c>
      <c r="E2" t="inlineStr">
        <is>
          <t>Sim</t>
        </is>
      </c>
      <c r="F2" t="inlineStr">
        <is>
          <t>item 01 (tabela 3 do docx)</t>
        </is>
      </c>
      <c r="G2" s="2" t="n">
        <v>45274243.2</v>
      </c>
      <c r="H2" t="inlineStr">
        <is>
          <t>Sim</t>
        </is>
      </c>
      <c r="I2" t="inlineStr">
        <is>
          <t>item 01 (tabela 3 do docx)</t>
        </is>
      </c>
      <c r="J2" s="2" t="n">
        <v>53320460</v>
      </c>
      <c r="K2" t="inlineStr">
        <is>
          <t>Sim</t>
        </is>
      </c>
      <c r="L2" t="inlineStr">
        <is>
          <t>PDF Rafael, balanço executado, p. 17</t>
        </is>
      </c>
      <c r="M2" s="2" t="n">
        <v>49606823.2</v>
      </c>
      <c r="N2" s="2" t="n">
        <v>66000000</v>
      </c>
      <c r="O2" s="2" t="n">
        <v>16393176.8</v>
      </c>
      <c r="P2" s="3" t="n">
        <v>0.3304621369102305</v>
      </c>
      <c r="Q2" t="inlineStr">
        <is>
          <t>Discorda</t>
        </is>
      </c>
      <c r="R2" t="inlineStr">
        <is>
          <t>Não</t>
        </is>
      </c>
      <c r="S2" t="inlineStr">
        <is>
          <t>maior (fica na empresa)</t>
        </is>
      </c>
      <c r="T2" t="inlineStr">
        <is>
          <t>R$ 55.000.000,00 a R$ 85.000.000,00 (p. 7)</t>
        </is>
      </c>
      <c r="U2" t="inlineStr">
        <is>
          <t>Adoto Rafael</t>
        </is>
      </c>
      <c r="V2" s="2" t="n">
        <v>66000000</v>
      </c>
      <c r="W2" t="inlineStr">
        <is>
          <t>E1 (Pacote 2): C0, o hotel fica na empresa, maior valor. C1: valor do grupo abaixo do piso da faixa de mercado de Rafael (55–85 mi, p. 7); terreno do grupo a R$ 1.000/m², igual a lote de fundos. Item inteiro, inclusive móveis e equipamentos. Ressalvas: base de Rafael (renda 41–50,6 mi; fontes de 2025).</t>
        </is>
      </c>
      <c r="X2" t="inlineStr">
        <is>
          <t>—</t>
        </is>
      </c>
      <c r="Y2" t="inlineStr">
        <is>
          <t>Registro 1 (Rafael: fontes de mercado de 2025); registro 2 (grupo: CUB de dez/2022)</t>
        </is>
      </c>
      <c r="Z2" t="inlineStr">
        <is>
          <t>nenhuma (2_0 GERAL linhas 70–104 e abas 6.Hotel Araçá das duas planilhas)</t>
        </is>
      </c>
      <c r="AA2" t="inlineStr">
        <is>
          <t>—</t>
        </is>
      </c>
      <c r="AB2" t="inlineStr">
        <is>
          <t>—</t>
        </is>
      </c>
      <c r="AC2" t="inlineStr"/>
      <c r="AD2" t="inlineStr">
        <is>
          <t>composição e conta de Rafael na aba Item01_componentes; decisão no nível do item; área construída 12.000 m² em 2018 e 10.500 m² em 2025, a esclarecer; nesga de 420 m² é 'parte do lote 12' (mat. 33.101), que também entra entre os 13 lotes de 360 m²: conferir área da matrícula; lotes 13 e 14 da quadra 37 não aparecem em nenhum item (linha própria); grupo estima, sem deduzir, redução de R$ 2.000.000,00 e INSS de R$ 1.601.357,90 (aba Observacoes); valor do grupo abaixo do piso da faixa de Rafael</t>
        </is>
      </c>
    </row>
    <row r="3">
      <c r="A3" t="inlineStr">
        <is>
          <t>06 - Hotel Araçá Ltda.</t>
        </is>
      </c>
      <c r="B3" t="inlineStr">
        <is>
          <t>Lotes urbanos próximos ao hotel</t>
        </is>
      </c>
      <c r="C3" t="inlineStr">
        <is>
          <t>insc. 360.0019.003.000 | mat. 77.832 | cód. 038998</t>
        </is>
      </c>
      <c r="D3" t="inlineStr">
        <is>
          <t>Lote 03, q19, 450,00 m², Casa da Praça</t>
        </is>
      </c>
      <c r="E3" t="inlineStr">
        <is>
          <t>Sim</t>
        </is>
      </c>
      <c r="F3" t="inlineStr">
        <is>
          <t>item 02 (tabela 3 do docx)</t>
        </is>
      </c>
      <c r="G3" s="2" t="n">
        <v>250000</v>
      </c>
      <c r="H3" t="inlineStr">
        <is>
          <t>Sim</t>
        </is>
      </c>
      <c r="I3" t="inlineStr">
        <is>
          <t>item 02 (tabela 3 do docx)</t>
        </is>
      </c>
      <c r="J3" s="2" t="n">
        <v>400000</v>
      </c>
      <c r="K3" t="inlineStr">
        <is>
          <t>Sim</t>
        </is>
      </c>
      <c r="L3" t="inlineStr">
        <is>
          <t>PDF Rafael, balanço executado, p. 17</t>
        </is>
      </c>
      <c r="M3" s="2" t="n">
        <v>400000</v>
      </c>
      <c r="N3" s="2" t="n">
        <v>400000</v>
      </c>
      <c r="O3" s="2" t="n">
        <v>0</v>
      </c>
      <c r="P3" s="3" t="n">
        <v>0</v>
      </c>
      <c r="Q3" t="inlineStr">
        <is>
          <t>Concorda</t>
        </is>
      </c>
      <c r="R3" t="inlineStr">
        <is>
          <t>Sim</t>
        </is>
      </c>
      <c r="S3" t="inlineStr"/>
      <c r="T3" t="inlineStr"/>
      <c r="U3" t="inlineStr">
        <is>
          <t>Adoto grupo (= Rafael)</t>
        </is>
      </c>
      <c r="V3" s="2" t="n">
        <v>400000</v>
      </c>
      <c r="W3" t="inlineStr">
        <is>
          <t>R1 (Pacote 1): mesmo valor nos dois lados, bem identificado em 2018, concordância expressa de Rafael.</t>
        </is>
      </c>
      <c r="X3" t="inlineStr">
        <is>
          <t>—</t>
        </is>
      </c>
      <c r="Y3" t="inlineStr"/>
      <c r="Z3" t="inlineStr">
        <is>
          <t>nenhuma (2_0 GERAL linhas 70–104 e abas 6.Hotel Araçá das duas planilhas)</t>
        </is>
      </c>
      <c r="AA3" t="inlineStr">
        <is>
          <t>—</t>
        </is>
      </c>
      <c r="AB3" t="inlineStr">
        <is>
          <t>expressa (p. 12–13 e 16)</t>
        </is>
      </c>
      <c r="AC3" t="inlineStr"/>
      <c r="AD3" t="inlineStr">
        <is>
          <t>antiga matrícula 37.549; concordância expressa de Rafael (p. 12–13 e 16, itens 02 a 19)</t>
        </is>
      </c>
    </row>
    <row r="4">
      <c r="A4" t="inlineStr">
        <is>
          <t>06 - Hotel Araçá Ltda.</t>
        </is>
      </c>
      <c r="B4" t="inlineStr">
        <is>
          <t>Lotes urbanos próximos ao hotel</t>
        </is>
      </c>
      <c r="C4" t="inlineStr">
        <is>
          <t>insc. 360.0037.016.000 | mat. 64.782 | cód. 039395</t>
        </is>
      </c>
      <c r="D4" t="inlineStr">
        <is>
          <t>Lote 16, q37, 360,00 m², Fundos do Hotel</t>
        </is>
      </c>
      <c r="E4" t="inlineStr">
        <is>
          <t>Sim</t>
        </is>
      </c>
      <c r="F4" t="inlineStr">
        <is>
          <t>item 03 (tabela 3 do docx)</t>
        </is>
      </c>
      <c r="G4" s="2" t="n">
        <v>180000</v>
      </c>
      <c r="H4" t="inlineStr">
        <is>
          <t>Sim</t>
        </is>
      </c>
      <c r="I4" t="inlineStr">
        <is>
          <t>item 03 (tabela 3 do docx)</t>
        </is>
      </c>
      <c r="J4" s="2" t="n">
        <v>360000</v>
      </c>
      <c r="K4" t="inlineStr">
        <is>
          <t>Sim</t>
        </is>
      </c>
      <c r="L4" t="inlineStr">
        <is>
          <t>PDF Rafael, balanço executado, p. 17</t>
        </is>
      </c>
      <c r="M4" s="2" t="n">
        <v>360000</v>
      </c>
      <c r="N4" s="2" t="n">
        <v>360000</v>
      </c>
      <c r="O4" s="2" t="n">
        <v>0</v>
      </c>
      <c r="P4" s="3" t="n">
        <v>0</v>
      </c>
      <c r="Q4" t="inlineStr">
        <is>
          <t>Concorda</t>
        </is>
      </c>
      <c r="R4" t="inlineStr">
        <is>
          <t>Não</t>
        </is>
      </c>
      <c r="S4" t="inlineStr"/>
      <c r="T4" t="inlineStr">
        <is>
          <t>R$ 380.000,00 a R$ 550.000,00 (p. 10)</t>
        </is>
      </c>
      <c r="U4" t="inlineStr">
        <is>
          <t>Adoto grupo (= Rafael)</t>
        </is>
      </c>
      <c r="V4" s="2" t="n">
        <v>360000</v>
      </c>
      <c r="W4" t="inlineStr">
        <is>
          <t>R1 (Pacote 1): mesmo valor nos dois lados, bem identificado em 2018, concordância expressa de Rafael.</t>
        </is>
      </c>
      <c r="X4" t="inlineStr">
        <is>
          <t>—</t>
        </is>
      </c>
      <c r="Y4" t="inlineStr"/>
      <c r="Z4" t="inlineStr">
        <is>
          <t>nenhuma (2_0 GERAL linhas 70–104 e abas 6.Hotel Araçá das duas planilhas)</t>
        </is>
      </c>
      <c r="AA4" t="inlineStr">
        <is>
          <t>—</t>
        </is>
      </c>
      <c r="AB4" t="inlineStr">
        <is>
          <t>expressa (p. 12–13 e 16)</t>
        </is>
      </c>
      <c r="AC4" t="inlineStr"/>
      <c r="AD4" t="inlineStr">
        <is>
          <t>concordância expressa de Rafael (p. 12–13 e 16, itens 02 a 19); R$ 1.000,00/m², abaixo da faixa de Rafael por m² (R$ 1.050,00 a 1.500,00/m², p. 11); lote dentro do quarteirão do hotel (quadra 37, ao lado dos lotes do item 01): conferir se parte do hotel está sobre ele; valor abaixo do piso da faixa por lote de Rafael, que mesmo assim o adota</t>
        </is>
      </c>
    </row>
    <row r="5">
      <c r="A5" t="inlineStr">
        <is>
          <t>06 - Hotel Araçá Ltda.</t>
        </is>
      </c>
      <c r="B5" t="inlineStr">
        <is>
          <t>Lotes urbanos próximos ao hotel</t>
        </is>
      </c>
      <c r="C5" t="inlineStr">
        <is>
          <t>insc. 360.0071.023.000 | mat. 26.373 | cód. 039839</t>
        </is>
      </c>
      <c r="D5" t="inlineStr">
        <is>
          <t>Lote 23, q37, 360,00 m², Fundos do Hotel</t>
        </is>
      </c>
      <c r="E5" t="inlineStr">
        <is>
          <t>Sim</t>
        </is>
      </c>
      <c r="F5" t="inlineStr">
        <is>
          <t>item 04 (tabela 4 do docx)</t>
        </is>
      </c>
      <c r="G5" s="2" t="n">
        <v>180000</v>
      </c>
      <c r="H5" t="inlineStr">
        <is>
          <t>Sim</t>
        </is>
      </c>
      <c r="I5" t="inlineStr">
        <is>
          <t>item 04 (tabela 3 do docx)</t>
        </is>
      </c>
      <c r="J5" s="2" t="n">
        <v>360000</v>
      </c>
      <c r="K5" t="inlineStr">
        <is>
          <t>Sim</t>
        </is>
      </c>
      <c r="L5" t="inlineStr">
        <is>
          <t>PDF Rafael, balanço executado, p. 17</t>
        </is>
      </c>
      <c r="M5" s="2" t="n">
        <v>360000</v>
      </c>
      <c r="N5" s="2" t="n">
        <v>360000</v>
      </c>
      <c r="O5" s="2" t="n">
        <v>0</v>
      </c>
      <c r="P5" s="3" t="n">
        <v>0</v>
      </c>
      <c r="Q5" t="inlineStr">
        <is>
          <t>Concorda</t>
        </is>
      </c>
      <c r="R5" t="inlineStr">
        <is>
          <t>Não</t>
        </is>
      </c>
      <c r="S5" t="inlineStr"/>
      <c r="T5" t="inlineStr">
        <is>
          <t>R$ 380.000,00 a R$ 550.000,00 (p. 10)</t>
        </is>
      </c>
      <c r="U5" t="inlineStr">
        <is>
          <t>Adoto grupo (= Rafael)</t>
        </is>
      </c>
      <c r="V5" s="2" t="n">
        <v>360000</v>
      </c>
      <c r="W5" t="inlineStr">
        <is>
          <t>R1 (Pacote 1): mesmo valor nos dois lados, bem identificado em 2018, concordância expressa de Rafael.</t>
        </is>
      </c>
      <c r="X5" t="inlineStr">
        <is>
          <t>—</t>
        </is>
      </c>
      <c r="Y5" t="inlineStr"/>
      <c r="Z5" t="inlineStr">
        <is>
          <t>nenhuma (2_0 GERAL linhas 70–104 e abas 6.Hotel Araçá das duas planilhas)</t>
        </is>
      </c>
      <c r="AA5" t="inlineStr">
        <is>
          <t>—</t>
        </is>
      </c>
      <c r="AB5" t="inlineStr">
        <is>
          <t>expressa (p. 12–13 e 16)</t>
        </is>
      </c>
      <c r="AC5" t="inlineStr"/>
      <c r="AD5" t="inlineStr">
        <is>
          <t>texto diz quadra 37; inscrição é da quadra 0071; concordância expressa de Rafael (p. 12–13 e 16, itens 02 a 19); R$ 1.000,00/m², abaixo da faixa de Rafael por m² (R$ 1.050,00 a 1.500,00/m², p. 11); valor abaixo do piso da faixa por lote de Rafael, que mesmo assim o adota</t>
        </is>
      </c>
    </row>
    <row r="6">
      <c r="A6" t="inlineStr">
        <is>
          <t>06 - Hotel Araçá Ltda.</t>
        </is>
      </c>
      <c r="B6" t="inlineStr">
        <is>
          <t>Lotes urbanos próximos ao hotel</t>
        </is>
      </c>
      <c r="C6" t="inlineStr">
        <is>
          <t>insc. 360.0071.024.000 | mat. 26.374 | cód. 039840</t>
        </is>
      </c>
      <c r="D6" t="inlineStr">
        <is>
          <t>Lote 24, q37, 307,80 m², Fundos do Hotel</t>
        </is>
      </c>
      <c r="E6" t="inlineStr">
        <is>
          <t>Sim</t>
        </is>
      </c>
      <c r="F6" t="inlineStr">
        <is>
          <t>item 05 (tabela 4 do docx)</t>
        </is>
      </c>
      <c r="G6" s="2" t="n">
        <v>180000</v>
      </c>
      <c r="H6" t="inlineStr">
        <is>
          <t>Sim</t>
        </is>
      </c>
      <c r="I6" t="inlineStr">
        <is>
          <t>item 05 (tabela 3 do docx)</t>
        </is>
      </c>
      <c r="J6" s="2" t="n">
        <v>360000</v>
      </c>
      <c r="K6" t="inlineStr">
        <is>
          <t>Sim</t>
        </is>
      </c>
      <c r="L6" t="inlineStr">
        <is>
          <t>PDF Rafael, balanço executado, p. 17</t>
        </is>
      </c>
      <c r="M6" s="2" t="n">
        <v>360000</v>
      </c>
      <c r="N6" s="2" t="n">
        <v>360000</v>
      </c>
      <c r="O6" s="2" t="n">
        <v>0</v>
      </c>
      <c r="P6" s="3" t="n">
        <v>0</v>
      </c>
      <c r="Q6" t="inlineStr">
        <is>
          <t>Concorda</t>
        </is>
      </c>
      <c r="R6" t="inlineStr">
        <is>
          <t>Não</t>
        </is>
      </c>
      <c r="S6" t="inlineStr"/>
      <c r="T6" t="inlineStr">
        <is>
          <t>R$ 380.000,00 a R$ 550.000,00 (p. 10)</t>
        </is>
      </c>
      <c r="U6" t="inlineStr">
        <is>
          <t>Adoto grupo (= Rafael)</t>
        </is>
      </c>
      <c r="V6" s="2" t="n">
        <v>360000</v>
      </c>
      <c r="W6" t="inlineStr">
        <is>
          <t>R1 (Pacote 1): mesmo valor nos dois lados, bem identificado em 2018, concordância expressa de Rafael.</t>
        </is>
      </c>
      <c r="X6" t="inlineStr">
        <is>
          <t>—</t>
        </is>
      </c>
      <c r="Y6" t="inlineStr"/>
      <c r="Z6" t="inlineStr">
        <is>
          <t>nenhuma (2_0 GERAL linhas 70–104 e abas 6.Hotel Araçá das duas planilhas)</t>
        </is>
      </c>
      <c r="AA6" t="inlineStr">
        <is>
          <t>—</t>
        </is>
      </c>
      <c r="AB6" t="inlineStr">
        <is>
          <t>expressa (p. 12–13 e 16)</t>
        </is>
      </c>
      <c r="AC6" t="inlineStr"/>
      <c r="AD6" t="inlineStr">
        <is>
          <t>texto diz quadra 37; inscrição é da quadra 0071; concordância expressa de Rafael (p. 12–13 e 16, itens 02 a 19); R$ 1.169,59/m², dentro da faixa de Rafael por m² (R$ 1.050,00 a 1.500,00/m², p. 11); valor abaixo do piso da faixa por lote de Rafael, que mesmo assim o adota</t>
        </is>
      </c>
    </row>
    <row r="7">
      <c r="A7" t="inlineStr">
        <is>
          <t>06 - Hotel Araçá Ltda.</t>
        </is>
      </c>
      <c r="B7" t="inlineStr">
        <is>
          <t>Lotes urbanos próximos ao hotel</t>
        </is>
      </c>
      <c r="C7" t="inlineStr">
        <is>
          <t>insc. 360.0071.025.000 | mat. 26.375 | cód. 039841</t>
        </is>
      </c>
      <c r="D7" t="inlineStr">
        <is>
          <t>Lote 25, q37, 307,80 m², Fundos do Hotel</t>
        </is>
      </c>
      <c r="E7" t="inlineStr">
        <is>
          <t>Sim</t>
        </is>
      </c>
      <c r="F7" t="inlineStr">
        <is>
          <t>item 06 (tabela 4 do docx)</t>
        </is>
      </c>
      <c r="G7" s="2" t="n">
        <v>180000</v>
      </c>
      <c r="H7" t="inlineStr">
        <is>
          <t>Sim</t>
        </is>
      </c>
      <c r="I7" t="inlineStr">
        <is>
          <t>item 06 (tabela 3 do docx)</t>
        </is>
      </c>
      <c r="J7" s="2" t="n">
        <v>360000</v>
      </c>
      <c r="K7" t="inlineStr">
        <is>
          <t>Sim</t>
        </is>
      </c>
      <c r="L7" t="inlineStr">
        <is>
          <t>PDF Rafael, balanço executado, p. 18</t>
        </is>
      </c>
      <c r="M7" s="2" t="n">
        <v>360000</v>
      </c>
      <c r="N7" s="2" t="n">
        <v>360000</v>
      </c>
      <c r="O7" s="2" t="n">
        <v>0</v>
      </c>
      <c r="P7" s="3" t="n">
        <v>0</v>
      </c>
      <c r="Q7" t="inlineStr">
        <is>
          <t>Concorda</t>
        </is>
      </c>
      <c r="R7" t="inlineStr">
        <is>
          <t>Não</t>
        </is>
      </c>
      <c r="S7" t="inlineStr"/>
      <c r="T7" t="inlineStr">
        <is>
          <t>R$ 380.000,00 a R$ 550.000,00 (p. 10)</t>
        </is>
      </c>
      <c r="U7" t="inlineStr">
        <is>
          <t>Adoto grupo (= Rafael)</t>
        </is>
      </c>
      <c r="V7" s="2" t="n">
        <v>360000</v>
      </c>
      <c r="W7" t="inlineStr">
        <is>
          <t>R1 (Pacote 1): mesmo valor nos dois lados, bem identificado em 2018, concordância expressa de Rafael.</t>
        </is>
      </c>
      <c r="X7" t="inlineStr">
        <is>
          <t>—</t>
        </is>
      </c>
      <c r="Y7" t="inlineStr"/>
      <c r="Z7" t="inlineStr">
        <is>
          <t>nenhuma (2_0 GERAL linhas 70–104 e abas 6.Hotel Araçá das duas planilhas)</t>
        </is>
      </c>
      <c r="AA7" t="inlineStr">
        <is>
          <t>—</t>
        </is>
      </c>
      <c r="AB7" t="inlineStr">
        <is>
          <t>expressa (p. 12–13 e 16)</t>
        </is>
      </c>
      <c r="AC7" t="inlineStr"/>
      <c r="AD7" t="inlineStr">
        <is>
          <t>texto diz quadra 37; inscrição é da quadra 0071; concordância expressa de Rafael (p. 12–13 e 16, itens 02 a 19); R$ 1.169,59/m², dentro da faixa de Rafael por m² (R$ 1.050,00 a 1.500,00/m², p. 11); valor abaixo do piso da faixa por lote de Rafael, que mesmo assim o adota</t>
        </is>
      </c>
    </row>
    <row r="8">
      <c r="A8" t="inlineStr">
        <is>
          <t>06 - Hotel Araçá Ltda.</t>
        </is>
      </c>
      <c r="B8" t="inlineStr">
        <is>
          <t>Lotes urbanos próximos ao hotel</t>
        </is>
      </c>
      <c r="C8" t="inlineStr">
        <is>
          <t>insc. 360.0071.026.000 | mat. 26.376 | cód. 039842</t>
        </is>
      </c>
      <c r="D8" t="inlineStr">
        <is>
          <t>Lote 26, q37, 307,80 m², Fundos do Hotel</t>
        </is>
      </c>
      <c r="E8" t="inlineStr">
        <is>
          <t>Sim</t>
        </is>
      </c>
      <c r="F8" t="inlineStr">
        <is>
          <t>item 07 (tabela 4 do docx)</t>
        </is>
      </c>
      <c r="G8" s="2" t="n">
        <v>180000</v>
      </c>
      <c r="H8" t="inlineStr">
        <is>
          <t>Sim</t>
        </is>
      </c>
      <c r="I8" t="inlineStr">
        <is>
          <t>item 07 (tabela 3 do docx)</t>
        </is>
      </c>
      <c r="J8" s="2" t="n">
        <v>360000</v>
      </c>
      <c r="K8" t="inlineStr">
        <is>
          <t>Sim</t>
        </is>
      </c>
      <c r="L8" t="inlineStr">
        <is>
          <t>PDF Rafael, balanço executado, p. 18</t>
        </is>
      </c>
      <c r="M8" s="2" t="n">
        <v>360000</v>
      </c>
      <c r="N8" s="2" t="n">
        <v>360000</v>
      </c>
      <c r="O8" s="2" t="n">
        <v>0</v>
      </c>
      <c r="P8" s="3" t="n">
        <v>0</v>
      </c>
      <c r="Q8" t="inlineStr">
        <is>
          <t>Concorda</t>
        </is>
      </c>
      <c r="R8" t="inlineStr">
        <is>
          <t>Não</t>
        </is>
      </c>
      <c r="S8" t="inlineStr"/>
      <c r="T8" t="inlineStr">
        <is>
          <t>R$ 380.000,00 a R$ 550.000,00 (p. 10)</t>
        </is>
      </c>
      <c r="U8" t="inlineStr">
        <is>
          <t>Adoto grupo (= Rafael)</t>
        </is>
      </c>
      <c r="V8" s="2" t="n">
        <v>360000</v>
      </c>
      <c r="W8" t="inlineStr">
        <is>
          <t>R1 (Pacote 1): mesmo valor nos dois lados, bem identificado em 2018, concordância expressa de Rafael.</t>
        </is>
      </c>
      <c r="X8" t="inlineStr">
        <is>
          <t>—</t>
        </is>
      </c>
      <c r="Y8" t="inlineStr"/>
      <c r="Z8" t="inlineStr">
        <is>
          <t>nenhuma (2_0 GERAL linhas 70–104 e abas 6.Hotel Araçá das duas planilhas)</t>
        </is>
      </c>
      <c r="AA8" t="inlineStr">
        <is>
          <t>—</t>
        </is>
      </c>
      <c r="AB8" t="inlineStr">
        <is>
          <t>expressa (p. 12–13 e 16)</t>
        </is>
      </c>
      <c r="AC8" t="inlineStr"/>
      <c r="AD8" t="inlineStr">
        <is>
          <t>texto diz quadra 37; inscrição é da quadra 0071; concordância expressa de Rafael (p. 12–13 e 16, itens 02 a 19); R$ 1.169,59/m², dentro da faixa de Rafael por m² (R$ 1.050,00 a 1.500,00/m², p. 11); valor abaixo do piso da faixa por lote de Rafael, que mesmo assim o adota</t>
        </is>
      </c>
    </row>
    <row r="9">
      <c r="A9" t="inlineStr">
        <is>
          <t>06 - Hotel Araçá Ltda.</t>
        </is>
      </c>
      <c r="B9" t="inlineStr">
        <is>
          <t>Lotes urbanos próximos ao hotel</t>
        </is>
      </c>
      <c r="C9" t="inlineStr">
        <is>
          <t>insc. 360.0071.027.000 | mat. 26.377 | cód. 039843</t>
        </is>
      </c>
      <c r="D9" t="inlineStr">
        <is>
          <t>Lote 27, q37, 307,80 m², Fundos do Hotel</t>
        </is>
      </c>
      <c r="E9" t="inlineStr">
        <is>
          <t>Sim</t>
        </is>
      </c>
      <c r="F9" t="inlineStr">
        <is>
          <t>item 08 (tabela 4 do docx)</t>
        </is>
      </c>
      <c r="G9" s="2" t="n">
        <v>180000</v>
      </c>
      <c r="H9" t="inlineStr">
        <is>
          <t>Sim</t>
        </is>
      </c>
      <c r="I9" t="inlineStr">
        <is>
          <t>item 08 (tabela 3 do docx)</t>
        </is>
      </c>
      <c r="J9" s="2" t="n">
        <v>360000</v>
      </c>
      <c r="K9" t="inlineStr">
        <is>
          <t>Sim</t>
        </is>
      </c>
      <c r="L9" t="inlineStr">
        <is>
          <t>PDF Rafael, balanço executado, p. 18</t>
        </is>
      </c>
      <c r="M9" s="2" t="n">
        <v>360000</v>
      </c>
      <c r="N9" s="2" t="n">
        <v>360000</v>
      </c>
      <c r="O9" s="2" t="n">
        <v>0</v>
      </c>
      <c r="P9" s="3" t="n">
        <v>0</v>
      </c>
      <c r="Q9" t="inlineStr">
        <is>
          <t>Concorda</t>
        </is>
      </c>
      <c r="R9" t="inlineStr">
        <is>
          <t>Não</t>
        </is>
      </c>
      <c r="S9" t="inlineStr"/>
      <c r="T9" t="inlineStr">
        <is>
          <t>R$ 380.000,00 a R$ 550.000,00 (p. 10)</t>
        </is>
      </c>
      <c r="U9" t="inlineStr">
        <is>
          <t>Adoto grupo (= Rafael)</t>
        </is>
      </c>
      <c r="V9" s="2" t="n">
        <v>360000</v>
      </c>
      <c r="W9" t="inlineStr">
        <is>
          <t>R1 (Pacote 1): mesmo valor nos dois lados, bem identificado em 2018, concordância expressa de Rafael.</t>
        </is>
      </c>
      <c r="X9" t="inlineStr">
        <is>
          <t>—</t>
        </is>
      </c>
      <c r="Y9" t="inlineStr"/>
      <c r="Z9" t="inlineStr">
        <is>
          <t>nenhuma (2_0 GERAL linhas 70–104 e abas 6.Hotel Araçá das duas planilhas)</t>
        </is>
      </c>
      <c r="AA9" t="inlineStr">
        <is>
          <t>—</t>
        </is>
      </c>
      <c r="AB9" t="inlineStr">
        <is>
          <t>expressa (p. 12–13 e 16)</t>
        </is>
      </c>
      <c r="AC9" t="inlineStr"/>
      <c r="AD9" t="inlineStr">
        <is>
          <t>texto diz quadra 37; inscrição é da quadra 0071; concordância expressa de Rafael (p. 12–13 e 16, itens 02 a 19); R$ 1.169,59/m², dentro da faixa de Rafael por m² (R$ 1.050,00 a 1.500,00/m², p. 11); valor abaixo do piso da faixa por lote de Rafael, que mesmo assim o adota</t>
        </is>
      </c>
    </row>
    <row r="10">
      <c r="A10" t="inlineStr">
        <is>
          <t>06 - Hotel Araçá Ltda.</t>
        </is>
      </c>
      <c r="B10" t="inlineStr">
        <is>
          <t>Lotes urbanos próximos ao hotel</t>
        </is>
      </c>
      <c r="C10" t="inlineStr">
        <is>
          <t>insc. 360.0071.028.000 | mat. 26.378 | cód. 039844</t>
        </is>
      </c>
      <c r="D10" t="inlineStr">
        <is>
          <t>Lote 28, q37, 307,80 m², Fundos do Hotel</t>
        </is>
      </c>
      <c r="E10" t="inlineStr">
        <is>
          <t>Sim</t>
        </is>
      </c>
      <c r="F10" t="inlineStr">
        <is>
          <t>item 09 (tabela 4 do docx)</t>
        </is>
      </c>
      <c r="G10" s="2" t="n">
        <v>180000</v>
      </c>
      <c r="H10" t="inlineStr">
        <is>
          <t>Sim</t>
        </is>
      </c>
      <c r="I10" t="inlineStr">
        <is>
          <t>item 09 (tabela 3 do docx)</t>
        </is>
      </c>
      <c r="J10" s="2" t="n">
        <v>360000</v>
      </c>
      <c r="K10" t="inlineStr">
        <is>
          <t>Sim</t>
        </is>
      </c>
      <c r="L10" t="inlineStr">
        <is>
          <t>PDF Rafael, balanço executado, p. 18</t>
        </is>
      </c>
      <c r="M10" s="2" t="n">
        <v>360000</v>
      </c>
      <c r="N10" s="2" t="n">
        <v>360000</v>
      </c>
      <c r="O10" s="2" t="n">
        <v>0</v>
      </c>
      <c r="P10" s="3" t="n">
        <v>0</v>
      </c>
      <c r="Q10" t="inlineStr">
        <is>
          <t>Concorda</t>
        </is>
      </c>
      <c r="R10" t="inlineStr">
        <is>
          <t>Não</t>
        </is>
      </c>
      <c r="S10" t="inlineStr"/>
      <c r="T10" t="inlineStr">
        <is>
          <t>R$ 380.000,00 a R$ 550.000,00 (p. 10)</t>
        </is>
      </c>
      <c r="U10" t="inlineStr">
        <is>
          <t>Adoto grupo (= Rafael)</t>
        </is>
      </c>
      <c r="V10" s="2" t="n">
        <v>360000</v>
      </c>
      <c r="W10" t="inlineStr">
        <is>
          <t>R1 (Pacote 1): mesmo valor nos dois lados, bem identificado em 2018, concordância expressa de Rafael.</t>
        </is>
      </c>
      <c r="X10" t="inlineStr">
        <is>
          <t>—</t>
        </is>
      </c>
      <c r="Y10" t="inlineStr"/>
      <c r="Z10" t="inlineStr">
        <is>
          <t>nenhuma (2_0 GERAL linhas 70–104 e abas 6.Hotel Araçá das duas planilhas)</t>
        </is>
      </c>
      <c r="AA10" t="inlineStr">
        <is>
          <t>—</t>
        </is>
      </c>
      <c r="AB10" t="inlineStr">
        <is>
          <t>expressa (p. 12–13 e 16)</t>
        </is>
      </c>
      <c r="AC10" t="inlineStr"/>
      <c r="AD10" t="inlineStr">
        <is>
          <t>texto diz quadra 37; inscrição é da quadra 0071; concordância expressa de Rafael (p. 12–13 e 16, itens 02 a 19); R$ 1.169,59/m², dentro da faixa de Rafael por m² (R$ 1.050,00 a 1.500,00/m², p. 11); valor abaixo do piso da faixa por lote de Rafael, que mesmo assim o adota</t>
        </is>
      </c>
    </row>
    <row r="11">
      <c r="A11" t="inlineStr">
        <is>
          <t>06 - Hotel Araçá Ltda.</t>
        </is>
      </c>
      <c r="B11" t="inlineStr">
        <is>
          <t>Lotes urbanos próximos ao hotel</t>
        </is>
      </c>
      <c r="C11" t="inlineStr">
        <is>
          <t>insc. 360.0071.029.000 | mat. 26.379 | cód. 039845</t>
        </is>
      </c>
      <c r="D11" t="inlineStr">
        <is>
          <t>Lote 29, q37, 360,00 m², Fundos do Hotel</t>
        </is>
      </c>
      <c r="E11" t="inlineStr">
        <is>
          <t>Sim</t>
        </is>
      </c>
      <c r="F11" t="inlineStr">
        <is>
          <t>item 10 (tabela 4 do docx)</t>
        </is>
      </c>
      <c r="G11" s="2" t="n">
        <v>180000</v>
      </c>
      <c r="H11" t="inlineStr">
        <is>
          <t>Sim</t>
        </is>
      </c>
      <c r="I11" t="inlineStr">
        <is>
          <t>item 10 (tabela 3 do docx)</t>
        </is>
      </c>
      <c r="J11" s="2" t="n">
        <v>360000</v>
      </c>
      <c r="K11" t="inlineStr">
        <is>
          <t>Sim</t>
        </is>
      </c>
      <c r="L11" t="inlineStr">
        <is>
          <t>PDF Rafael, balanço executado, p. 18</t>
        </is>
      </c>
      <c r="M11" s="2" t="n">
        <v>360000</v>
      </c>
      <c r="N11" s="2" t="n">
        <v>360000</v>
      </c>
      <c r="O11" s="2" t="n">
        <v>0</v>
      </c>
      <c r="P11" s="3" t="n">
        <v>0</v>
      </c>
      <c r="Q11" t="inlineStr">
        <is>
          <t>Concorda</t>
        </is>
      </c>
      <c r="R11" t="inlineStr">
        <is>
          <t>Não</t>
        </is>
      </c>
      <c r="S11" t="inlineStr"/>
      <c r="T11" t="inlineStr">
        <is>
          <t>R$ 380.000,00 a R$ 550.000,00 (p. 10)</t>
        </is>
      </c>
      <c r="U11" t="inlineStr">
        <is>
          <t>Adoto grupo (= Rafael)</t>
        </is>
      </c>
      <c r="V11" s="2" t="n">
        <v>360000</v>
      </c>
      <c r="W11" t="inlineStr">
        <is>
          <t>R1 (Pacote 1): mesmo valor nos dois lados, bem identificado em 2018, concordância expressa de Rafael.</t>
        </is>
      </c>
      <c r="X11" t="inlineStr">
        <is>
          <t>—</t>
        </is>
      </c>
      <c r="Y11" t="inlineStr"/>
      <c r="Z11" t="inlineStr">
        <is>
          <t>nenhuma (2_0 GERAL linhas 70–104 e abas 6.Hotel Araçá das duas planilhas)</t>
        </is>
      </c>
      <c r="AA11" t="inlineStr">
        <is>
          <t>—</t>
        </is>
      </c>
      <c r="AB11" t="inlineStr">
        <is>
          <t>expressa (p. 12–13 e 16)</t>
        </is>
      </c>
      <c r="AC11" t="inlineStr"/>
      <c r="AD11" t="inlineStr">
        <is>
          <t>texto diz quadra 37; inscrição é da quadra 0071; concordância expressa de Rafael (p. 12–13 e 16, itens 02 a 19); R$ 1.000,00/m², abaixo da faixa de Rafael por m² (R$ 1.050,00 a 1.500,00/m², p. 11); valor abaixo do piso da faixa por lote de Rafael, que mesmo assim o adota</t>
        </is>
      </c>
    </row>
    <row r="12">
      <c r="A12" t="inlineStr">
        <is>
          <t>06 - Hotel Araçá Ltda.</t>
        </is>
      </c>
      <c r="B12" t="inlineStr">
        <is>
          <t>Lotes urbanos próximos ao hotel</t>
        </is>
      </c>
      <c r="C12" t="inlineStr">
        <is>
          <t>insc. 360.0038.009.000 | mat. 37.846 | cód. 039410</t>
        </is>
      </c>
      <c r="D12" t="inlineStr">
        <is>
          <t>Lote 09, q38, 360,00 m², Adquirido do Senhor Hugo Ferri</t>
        </is>
      </c>
      <c r="E12" t="inlineStr">
        <is>
          <t>Sim</t>
        </is>
      </c>
      <c r="F12" t="inlineStr">
        <is>
          <t>item 11 (tabela 4 do docx)</t>
        </is>
      </c>
      <c r="G12" s="2" t="n">
        <v>220000</v>
      </c>
      <c r="H12" t="inlineStr">
        <is>
          <t>Sim</t>
        </is>
      </c>
      <c r="I12" t="inlineStr">
        <is>
          <t>item 11 (tabela 3 do docx)</t>
        </is>
      </c>
      <c r="J12" s="2" t="n">
        <v>390000</v>
      </c>
      <c r="K12" t="inlineStr">
        <is>
          <t>Sim</t>
        </is>
      </c>
      <c r="L12" t="inlineStr">
        <is>
          <t>PDF Rafael, balanço executado, p. 18</t>
        </is>
      </c>
      <c r="M12" s="2" t="n">
        <v>390000</v>
      </c>
      <c r="N12" s="2" t="n">
        <v>390000</v>
      </c>
      <c r="O12" s="2" t="n">
        <v>0</v>
      </c>
      <c r="P12" s="3" t="n">
        <v>0</v>
      </c>
      <c r="Q12" t="inlineStr">
        <is>
          <t>Concorda</t>
        </is>
      </c>
      <c r="R12" t="inlineStr">
        <is>
          <t>Sim</t>
        </is>
      </c>
      <c r="S12" t="inlineStr"/>
      <c r="T12" t="inlineStr">
        <is>
          <t>R$ 380.000,00 a R$ 550.000,00 (p. 10)</t>
        </is>
      </c>
      <c r="U12" t="inlineStr">
        <is>
          <t>Adoto grupo (= Rafael)</t>
        </is>
      </c>
      <c r="V12" s="2" t="n">
        <v>390000</v>
      </c>
      <c r="W12" t="inlineStr">
        <is>
          <t>R1 (Pacote 1): mesmo valor nos dois lados, bem identificado em 2018, concordância expressa de Rafael.</t>
        </is>
      </c>
      <c r="X12" t="inlineStr">
        <is>
          <t>—</t>
        </is>
      </c>
      <c r="Y12" t="inlineStr"/>
      <c r="Z12" t="inlineStr">
        <is>
          <t>nenhuma (2_0 GERAL linhas 70–104 e abas 6.Hotel Araçá das duas planilhas)</t>
        </is>
      </c>
      <c r="AA12" t="inlineStr">
        <is>
          <t>—</t>
        </is>
      </c>
      <c r="AB12" t="inlineStr">
        <is>
          <t>expressa (p. 12–13 e 16)</t>
        </is>
      </c>
      <c r="AC12" t="inlineStr"/>
      <c r="AD12" t="inlineStr">
        <is>
          <t>concordância expressa de Rafael (p. 12–13 e 16, itens 02 a 19); R$ 1.083,33/m², dentro da faixa de Rafael por m² (R$ 1.050,00 a 1.500,00/m², p. 11)</t>
        </is>
      </c>
    </row>
    <row r="13">
      <c r="A13" t="inlineStr">
        <is>
          <t>06 - Hotel Araçá Ltda.</t>
        </is>
      </c>
      <c r="B13" t="inlineStr">
        <is>
          <t>Lotes urbanos próximos ao hotel</t>
        </is>
      </c>
      <c r="C13" t="inlineStr">
        <is>
          <t>insc. 360.0038.010.000 | mat. 11.990 | cód. 039411</t>
        </is>
      </c>
      <c r="D13" t="inlineStr">
        <is>
          <t>Lote 10, q38, 360,00 m², Adquirido do Senhor Hugo Ferri</t>
        </is>
      </c>
      <c r="E13" t="inlineStr">
        <is>
          <t>Sim</t>
        </is>
      </c>
      <c r="F13" t="inlineStr">
        <is>
          <t>item 12 (tabela 4 do docx)</t>
        </is>
      </c>
      <c r="G13" s="2" t="n">
        <v>220000</v>
      </c>
      <c r="H13" t="inlineStr">
        <is>
          <t>Sim</t>
        </is>
      </c>
      <c r="I13" t="inlineStr">
        <is>
          <t>item 12 (tabela 4 do docx)</t>
        </is>
      </c>
      <c r="J13" s="2" t="n">
        <v>390000</v>
      </c>
      <c r="K13" t="inlineStr">
        <is>
          <t>Sim</t>
        </is>
      </c>
      <c r="L13" t="inlineStr">
        <is>
          <t>PDF Rafael, balanço executado, p. 18</t>
        </is>
      </c>
      <c r="M13" s="2" t="n">
        <v>390000</v>
      </c>
      <c r="N13" s="2" t="n">
        <v>390000</v>
      </c>
      <c r="O13" s="2" t="n">
        <v>0</v>
      </c>
      <c r="P13" s="3" t="n">
        <v>0</v>
      </c>
      <c r="Q13" t="inlineStr">
        <is>
          <t>Concorda</t>
        </is>
      </c>
      <c r="R13" t="inlineStr">
        <is>
          <t>Sim</t>
        </is>
      </c>
      <c r="S13" t="inlineStr"/>
      <c r="T13" t="inlineStr">
        <is>
          <t>R$ 380.000,00 a R$ 550.000,00 (p. 10)</t>
        </is>
      </c>
      <c r="U13" t="inlineStr">
        <is>
          <t>Adoto grupo (= Rafael)</t>
        </is>
      </c>
      <c r="V13" s="2" t="n">
        <v>390000</v>
      </c>
      <c r="W13" t="inlineStr">
        <is>
          <t>R1 (Pacote 1): mesmo valor nos dois lados, bem identificado em 2018, concordância expressa de Rafael.</t>
        </is>
      </c>
      <c r="X13" t="inlineStr">
        <is>
          <t>—</t>
        </is>
      </c>
      <c r="Y13" t="inlineStr"/>
      <c r="Z13" t="inlineStr">
        <is>
          <t>nenhuma (2_0 GERAL linhas 70–104 e abas 6.Hotel Araçá das duas planilhas)</t>
        </is>
      </c>
      <c r="AA13" t="inlineStr">
        <is>
          <t>—</t>
        </is>
      </c>
      <c r="AB13" t="inlineStr">
        <is>
          <t>expressa (p. 12–13 e 16)</t>
        </is>
      </c>
      <c r="AC13" t="inlineStr"/>
      <c r="AD13" t="inlineStr">
        <is>
          <t>concordância expressa de Rafael (p. 12–13 e 16, itens 02 a 19); R$ 1.083,33/m², dentro da faixa de Rafael por m² (R$ 1.050,00 a 1.500,00/m², p. 11)</t>
        </is>
      </c>
    </row>
    <row r="14">
      <c r="A14" t="inlineStr">
        <is>
          <t>06 - Hotel Araçá Ltda.</t>
        </is>
      </c>
      <c r="B14" t="inlineStr">
        <is>
          <t>Lotes urbanos próximos ao hotel</t>
        </is>
      </c>
      <c r="C14" t="inlineStr">
        <is>
          <t>insc. 360.0038.011.000 | mat. 43.389 | cód. 039412</t>
        </is>
      </c>
      <c r="D14" t="inlineStr">
        <is>
          <t>Lote 11, q38, 360,00 m², Adquirido do Senhor Hugo Ferri</t>
        </is>
      </c>
      <c r="E14" t="inlineStr">
        <is>
          <t>Sim</t>
        </is>
      </c>
      <c r="F14" t="inlineStr">
        <is>
          <t>item 13 (tabela 4 do docx)</t>
        </is>
      </c>
      <c r="G14" s="2" t="n">
        <v>220000</v>
      </c>
      <c r="H14" t="inlineStr">
        <is>
          <t>Sim</t>
        </is>
      </c>
      <c r="I14" t="inlineStr">
        <is>
          <t>item 13 (tabela 4 do docx)</t>
        </is>
      </c>
      <c r="J14" s="2" t="n">
        <v>390000</v>
      </c>
      <c r="K14" t="inlineStr">
        <is>
          <t>Sim</t>
        </is>
      </c>
      <c r="L14" t="inlineStr">
        <is>
          <t>PDF Rafael, balanço executado, p. 18</t>
        </is>
      </c>
      <c r="M14" s="2" t="n">
        <v>390000</v>
      </c>
      <c r="N14" s="2" t="n">
        <v>390000</v>
      </c>
      <c r="O14" s="2" t="n">
        <v>0</v>
      </c>
      <c r="P14" s="3" t="n">
        <v>0</v>
      </c>
      <c r="Q14" t="inlineStr">
        <is>
          <t>Concorda</t>
        </is>
      </c>
      <c r="R14" t="inlineStr">
        <is>
          <t>Não</t>
        </is>
      </c>
      <c r="S14" t="inlineStr"/>
      <c r="T14" t="inlineStr">
        <is>
          <t>R$ 380.000,00 a R$ 550.000,00 (p. 10)</t>
        </is>
      </c>
      <c r="U14" t="inlineStr">
        <is>
          <t>Adoto grupo (= Rafael)</t>
        </is>
      </c>
      <c r="V14" s="2" t="n">
        <v>390000</v>
      </c>
      <c r="W14" t="inlineStr">
        <is>
          <t>R1 (Pacote 1): mesmo valor nos dois lados, bem identificado em 2018, concordância expressa de Rafael.</t>
        </is>
      </c>
      <c r="X14" t="inlineStr">
        <is>
          <t>—</t>
        </is>
      </c>
      <c r="Y14" t="inlineStr"/>
      <c r="Z14" t="inlineStr">
        <is>
          <t>nenhuma (2_0 GERAL linhas 70–104 e abas 6.Hotel Araçá das duas planilhas)</t>
        </is>
      </c>
      <c r="AA14" t="inlineStr">
        <is>
          <t>—</t>
        </is>
      </c>
      <c r="AB14" t="inlineStr">
        <is>
          <t>expressa (p. 12–13 e 16)</t>
        </is>
      </c>
      <c r="AC14" t="inlineStr"/>
      <c r="AD14" t="inlineStr">
        <is>
          <t>concordância expressa de Rafael (p. 12–13 e 16, itens 02 a 19); R$ 1.083,33/m², dentro da faixa de Rafael por m² (R$ 1.050,00 a 1.500,00/m², p. 11)</t>
        </is>
      </c>
    </row>
    <row r="15">
      <c r="A15" t="inlineStr">
        <is>
          <t>06 - Hotel Araçá Ltda.</t>
        </is>
      </c>
      <c r="B15" t="inlineStr">
        <is>
          <t>Lotes urbanos próximos ao hotel</t>
        </is>
      </c>
      <c r="C15" t="inlineStr">
        <is>
          <t>insc. 360.0038.012.000 | mat. 29.803 | cód. 039413</t>
        </is>
      </c>
      <c r="D15" t="inlineStr">
        <is>
          <t>Lote 12, q38, 360,00 m², Adquirido do Senhor Hugo Ferri</t>
        </is>
      </c>
      <c r="E15" t="inlineStr">
        <is>
          <t>Sim</t>
        </is>
      </c>
      <c r="F15" t="inlineStr">
        <is>
          <t>item 14 (tabela 5 do docx)</t>
        </is>
      </c>
      <c r="G15" s="2" t="n">
        <v>220000</v>
      </c>
      <c r="H15" t="inlineStr">
        <is>
          <t>Sim</t>
        </is>
      </c>
      <c r="I15" t="inlineStr">
        <is>
          <t>item 14 (tabela 4 do docx)</t>
        </is>
      </c>
      <c r="J15" s="2" t="n">
        <v>390000</v>
      </c>
      <c r="K15" t="inlineStr">
        <is>
          <t>Sim</t>
        </is>
      </c>
      <c r="L15" t="inlineStr">
        <is>
          <t>PDF Rafael, balanço executado, p. 19</t>
        </is>
      </c>
      <c r="M15" s="2" t="n">
        <v>390000</v>
      </c>
      <c r="N15" s="2" t="n">
        <v>390000</v>
      </c>
      <c r="O15" s="2" t="n">
        <v>0</v>
      </c>
      <c r="P15" s="3" t="n">
        <v>0</v>
      </c>
      <c r="Q15" t="inlineStr">
        <is>
          <t>Concorda</t>
        </is>
      </c>
      <c r="R15" t="inlineStr">
        <is>
          <t>Não</t>
        </is>
      </c>
      <c r="S15" t="inlineStr"/>
      <c r="T15" t="inlineStr">
        <is>
          <t>R$ 380.000,00 a R$ 550.000,00 (p. 10)</t>
        </is>
      </c>
      <c r="U15" t="inlineStr">
        <is>
          <t>Adoto grupo (= Rafael)</t>
        </is>
      </c>
      <c r="V15" s="2" t="n">
        <v>390000</v>
      </c>
      <c r="W15" t="inlineStr">
        <is>
          <t>R1 (Pacote 1): mesmo valor nos dois lados, bem identificado em 2018, concordância expressa de Rafael.</t>
        </is>
      </c>
      <c r="X15" t="inlineStr">
        <is>
          <t>—</t>
        </is>
      </c>
      <c r="Y15" t="inlineStr"/>
      <c r="Z15" t="inlineStr">
        <is>
          <t>nenhuma (2_0 GERAL linhas 70–104 e abas 6.Hotel Araçá das duas planilhas)</t>
        </is>
      </c>
      <c r="AA15" t="inlineStr">
        <is>
          <t>—</t>
        </is>
      </c>
      <c r="AB15" t="inlineStr">
        <is>
          <t>expressa (p. 12–13 e 16)</t>
        </is>
      </c>
      <c r="AC15" t="inlineStr"/>
      <c r="AD15" t="inlineStr">
        <is>
          <t>concordância expressa de Rafael (p. 12–13 e 16, itens 02 a 19); R$ 1.083,33/m², dentro da faixa de Rafael por m² (R$ 1.050,00 a 1.500,00/m², p. 11)</t>
        </is>
      </c>
    </row>
    <row r="16">
      <c r="A16" t="inlineStr">
        <is>
          <t>06 - Hotel Araçá Ltda.</t>
        </is>
      </c>
      <c r="B16" t="inlineStr">
        <is>
          <t>Lotes urbanos próximos ao hotel</t>
        </is>
      </c>
      <c r="C16" t="inlineStr">
        <is>
          <t>insc. 360.0038.013.000 | mat. 30.294 | cód. 039414</t>
        </is>
      </c>
      <c r="D16" t="inlineStr">
        <is>
          <t>Lote 13, q38, 360,00 m², Adquirido do Senhor Hugo Ferri</t>
        </is>
      </c>
      <c r="E16" t="inlineStr">
        <is>
          <t>Sim</t>
        </is>
      </c>
      <c r="F16" t="inlineStr">
        <is>
          <t>item 15 (tabela 5 do docx)</t>
        </is>
      </c>
      <c r="G16" s="2" t="n">
        <v>220000</v>
      </c>
      <c r="H16" t="inlineStr">
        <is>
          <t>Sim</t>
        </is>
      </c>
      <c r="I16" t="inlineStr">
        <is>
          <t>item 15 (tabela 4 do docx)</t>
        </is>
      </c>
      <c r="J16" s="2" t="n">
        <v>390000</v>
      </c>
      <c r="K16" t="inlineStr">
        <is>
          <t>Sim</t>
        </is>
      </c>
      <c r="L16" t="inlineStr">
        <is>
          <t>PDF Rafael, balanço executado, p. 19</t>
        </is>
      </c>
      <c r="M16" s="2" t="n">
        <v>390000</v>
      </c>
      <c r="N16" s="2" t="n">
        <v>390000</v>
      </c>
      <c r="O16" s="2" t="n">
        <v>0</v>
      </c>
      <c r="P16" s="3" t="n">
        <v>0</v>
      </c>
      <c r="Q16" t="inlineStr">
        <is>
          <t>Concorda</t>
        </is>
      </c>
      <c r="R16" t="inlineStr">
        <is>
          <t>Não</t>
        </is>
      </c>
      <c r="S16" t="inlineStr"/>
      <c r="T16" t="inlineStr">
        <is>
          <t>R$ 380.000,00 a R$ 550.000,00 (p. 10)</t>
        </is>
      </c>
      <c r="U16" t="inlineStr">
        <is>
          <t>Adoto grupo (= Rafael)</t>
        </is>
      </c>
      <c r="V16" s="2" t="n">
        <v>390000</v>
      </c>
      <c r="W16" t="inlineStr">
        <is>
          <t>R1 (Pacote 1): mesmo valor nos dois lados, bem identificado em 2018, concordância expressa de Rafael.</t>
        </is>
      </c>
      <c r="X16" t="inlineStr">
        <is>
          <t>—</t>
        </is>
      </c>
      <c r="Y16" t="inlineStr"/>
      <c r="Z16" t="inlineStr">
        <is>
          <t>nenhuma (2_0 GERAL linhas 70–104 e abas 6.Hotel Araçá das duas planilhas)</t>
        </is>
      </c>
      <c r="AA16" t="inlineStr">
        <is>
          <t>—</t>
        </is>
      </c>
      <c r="AB16" t="inlineStr">
        <is>
          <t>expressa (p. 12–13 e 16)</t>
        </is>
      </c>
      <c r="AC16" t="inlineStr"/>
      <c r="AD16" t="inlineStr">
        <is>
          <t>concordância expressa de Rafael (p. 12–13 e 16, itens 02 a 19); R$ 1.083,33/m², dentro da faixa de Rafael por m² (R$ 1.050,00 a 1.500,00/m², p. 11)</t>
        </is>
      </c>
    </row>
    <row r="17">
      <c r="A17" t="inlineStr">
        <is>
          <t>06 - Hotel Araçá Ltda.</t>
        </is>
      </c>
      <c r="B17" t="inlineStr">
        <is>
          <t>Lotes urbanos próximos ao hotel</t>
        </is>
      </c>
      <c r="C17" t="inlineStr">
        <is>
          <t>insc. 360.0038.014.000 | mat. 29.802 | cód. 039415</t>
        </is>
      </c>
      <c r="D17" t="inlineStr">
        <is>
          <t>Lote 14, q38, 360,00 m², Adquirido do Senhor Hugo Ferri</t>
        </is>
      </c>
      <c r="E17" t="inlineStr">
        <is>
          <t>Sim</t>
        </is>
      </c>
      <c r="F17" t="inlineStr">
        <is>
          <t>item 16 (tabela 5 do docx)</t>
        </is>
      </c>
      <c r="G17" s="2" t="n">
        <v>220000</v>
      </c>
      <c r="H17" t="inlineStr">
        <is>
          <t>Sim</t>
        </is>
      </c>
      <c r="I17" t="inlineStr">
        <is>
          <t>item 16 (tabela 4 do docx)</t>
        </is>
      </c>
      <c r="J17" s="2" t="n">
        <v>390000</v>
      </c>
      <c r="K17" t="inlineStr">
        <is>
          <t>Sim</t>
        </is>
      </c>
      <c r="L17" t="inlineStr">
        <is>
          <t>PDF Rafael, balanço executado, p. 19</t>
        </is>
      </c>
      <c r="M17" s="2" t="n">
        <v>390000</v>
      </c>
      <c r="N17" s="2" t="n">
        <v>390000</v>
      </c>
      <c r="O17" s="2" t="n">
        <v>0</v>
      </c>
      <c r="P17" s="3" t="n">
        <v>0</v>
      </c>
      <c r="Q17" t="inlineStr">
        <is>
          <t>Concorda</t>
        </is>
      </c>
      <c r="R17" t="inlineStr">
        <is>
          <t>Não</t>
        </is>
      </c>
      <c r="S17" t="inlineStr"/>
      <c r="T17" t="inlineStr">
        <is>
          <t>R$ 380.000,00 a R$ 550.000,00 (p. 10)</t>
        </is>
      </c>
      <c r="U17" t="inlineStr">
        <is>
          <t>Adoto grupo (= Rafael)</t>
        </is>
      </c>
      <c r="V17" s="2" t="n">
        <v>390000</v>
      </c>
      <c r="W17" t="inlineStr">
        <is>
          <t>R1 (Pacote 1): mesmo valor nos dois lados, bem identificado em 2018, concordância expressa de Rafael.</t>
        </is>
      </c>
      <c r="X17" t="inlineStr">
        <is>
          <t>—</t>
        </is>
      </c>
      <c r="Y17" t="inlineStr"/>
      <c r="Z17" t="inlineStr">
        <is>
          <t>nenhuma (2_0 GERAL linhas 70–104 e abas 6.Hotel Araçá das duas planilhas)</t>
        </is>
      </c>
      <c r="AA17" t="inlineStr">
        <is>
          <t>—</t>
        </is>
      </c>
      <c r="AB17" t="inlineStr">
        <is>
          <t>expressa (p. 12–13 e 16)</t>
        </is>
      </c>
      <c r="AC17" t="inlineStr"/>
      <c r="AD17" t="inlineStr">
        <is>
          <t>concordância expressa de Rafael (p. 12–13 e 16, itens 02 a 19); R$ 1.083,33/m², dentro da faixa de Rafael por m² (R$ 1.050,00 a 1.500,00/m², p. 11)</t>
        </is>
      </c>
    </row>
    <row r="18">
      <c r="A18" t="inlineStr">
        <is>
          <t>06 - Hotel Araçá Ltda.</t>
        </is>
      </c>
      <c r="B18" t="inlineStr">
        <is>
          <t>Lotes urbanos próximos ao hotel</t>
        </is>
      </c>
      <c r="C18" t="inlineStr">
        <is>
          <t>insc. 360.0038.015.000 | mat. 33.003 | cód. 039416</t>
        </is>
      </c>
      <c r="D18" t="inlineStr">
        <is>
          <t>Lote 15, q38, 360,00 m², Adquirido do Senhor Hugo Ferri</t>
        </is>
      </c>
      <c r="E18" t="inlineStr">
        <is>
          <t>Sim</t>
        </is>
      </c>
      <c r="F18" t="inlineStr">
        <is>
          <t>item 21 (tabela 5 do docx)</t>
        </is>
      </c>
      <c r="G18" s="2" t="n"/>
      <c r="H18" t="inlineStr">
        <is>
          <t>Sim</t>
        </is>
      </c>
      <c r="I18" t="inlineStr">
        <is>
          <t>item 17 (tabela 4 do docx)</t>
        </is>
      </c>
      <c r="J18" s="2" t="n">
        <v>390000</v>
      </c>
      <c r="K18" t="inlineStr">
        <is>
          <t>Sim</t>
        </is>
      </c>
      <c r="L18" t="inlineStr">
        <is>
          <t>PDF Rafael, balanço executado, p. 19</t>
        </is>
      </c>
      <c r="M18" s="2" t="n">
        <v>390000</v>
      </c>
      <c r="N18" s="2" t="n">
        <v>390000</v>
      </c>
      <c r="O18" s="2" t="n">
        <v>0</v>
      </c>
      <c r="P18" s="3" t="n">
        <v>0</v>
      </c>
      <c r="Q18" t="inlineStr">
        <is>
          <t>Concorda</t>
        </is>
      </c>
      <c r="R18" t="inlineStr">
        <is>
          <t>Não</t>
        </is>
      </c>
      <c r="S18" t="inlineStr"/>
      <c r="T18" t="inlineStr">
        <is>
          <t>R$ 380.000,00 a R$ 550.000,00 (p. 10)</t>
        </is>
      </c>
      <c r="U18" t="inlineStr">
        <is>
          <t>Adoto grupo (= Rafael)</t>
        </is>
      </c>
      <c r="V18" s="2" t="n">
        <v>390000</v>
      </c>
      <c r="W18" t="inlineStr">
        <is>
          <t>R2 (Pacote 1): mesmo valor nos dois lados; em 2018 era o lote 'IRINEU SIVIERO', sem valor: titularidade a confirmar (G11); se não for da empresa em 31/12/2024, sai na Parte 4.</t>
        </is>
      </c>
      <c r="X18" t="inlineStr">
        <is>
          <t>—</t>
        </is>
      </c>
      <c r="Y18" t="inlineStr"/>
      <c r="Z18" t="inlineStr">
        <is>
          <t>nenhuma (2_0 GERAL linhas 70–104 e abas 6.Hotel Araçá das duas planilhas)</t>
        </is>
      </c>
      <c r="AA18" t="inlineStr">
        <is>
          <t>—</t>
        </is>
      </c>
      <c r="AB18" t="inlineStr">
        <is>
          <t>expressa (p. 12–13 e 16)</t>
        </is>
      </c>
      <c r="AC18" t="inlineStr">
        <is>
          <t>IRINEU SIVIERO</t>
        </is>
      </c>
      <c r="AD18" t="inlineStr">
        <is>
          <t>no rascunho do inventário (pasta '2018_desatualizado') é o item 21 do Hotel, sem nome de sócio; em 2018 era o lote 'IRINEU SIVIERO', sem valor; em 2025 valorado na empresa; não consta da lista de IPTU do sócio em 2018 (doc 3); concordância expressa de Rafael (p. 12–13 e 16, itens 02 a 19); R$ 1.083,33/m², dentro da faixa de Rafael por m² (R$ 1.050,00 a 1.500,00/m², p. 11)</t>
        </is>
      </c>
    </row>
    <row r="19">
      <c r="A19" t="inlineStr">
        <is>
          <t>06 - Hotel Araçá Ltda.</t>
        </is>
      </c>
      <c r="B19" t="inlineStr">
        <is>
          <t>Lotes urbanos próximos ao hotel</t>
        </is>
      </c>
      <c r="C19" t="inlineStr">
        <is>
          <t>insc. 360.0038.027.000 | mat. 73.482 | cód. 039426</t>
        </is>
      </c>
      <c r="D19" t="inlineStr">
        <is>
          <t>Lote 27, q38, 360,00 m², Lote Estacionamento do Bigode</t>
        </is>
      </c>
      <c r="E19" t="inlineStr">
        <is>
          <t>Sim</t>
        </is>
      </c>
      <c r="F19" t="inlineStr">
        <is>
          <t>item 17 (tabela 5 do docx)</t>
        </is>
      </c>
      <c r="G19" s="2" t="n">
        <v>200000</v>
      </c>
      <c r="H19" t="inlineStr">
        <is>
          <t>Sim</t>
        </is>
      </c>
      <c r="I19" t="inlineStr">
        <is>
          <t>item 18 (tabela 4 do docx)</t>
        </is>
      </c>
      <c r="J19" s="2" t="n">
        <v>350000</v>
      </c>
      <c r="K19" t="inlineStr">
        <is>
          <t>Sim</t>
        </is>
      </c>
      <c r="L19" t="inlineStr">
        <is>
          <t>PDF Rafael, balanço executado, p. 19</t>
        </is>
      </c>
      <c r="M19" s="2" t="n">
        <v>350000</v>
      </c>
      <c r="N19" s="2" t="n">
        <v>350000</v>
      </c>
      <c r="O19" s="2" t="n">
        <v>0</v>
      </c>
      <c r="P19" s="3" t="n">
        <v>0</v>
      </c>
      <c r="Q19" t="inlineStr">
        <is>
          <t>Concorda</t>
        </is>
      </c>
      <c r="R19" t="inlineStr">
        <is>
          <t>Sim</t>
        </is>
      </c>
      <c r="S19" t="inlineStr"/>
      <c r="T19" t="inlineStr">
        <is>
          <t>R$ 380.000,00 a R$ 550.000,00 (p. 10)</t>
        </is>
      </c>
      <c r="U19" t="inlineStr">
        <is>
          <t>Adoto grupo (= Rafael)</t>
        </is>
      </c>
      <c r="V19" s="2" t="n">
        <v>350000</v>
      </c>
      <c r="W19" t="inlineStr">
        <is>
          <t>R1 (Pacote 1): mesmo valor nos dois lados, bem identificado em 2018, concordância expressa de Rafael.</t>
        </is>
      </c>
      <c r="X19" t="inlineStr">
        <is>
          <t>—</t>
        </is>
      </c>
      <c r="Y19" t="inlineStr"/>
      <c r="Z19" t="inlineStr">
        <is>
          <t>nenhuma (2_0 GERAL linhas 70–104 e abas 6.Hotel Araçá das duas planilhas)</t>
        </is>
      </c>
      <c r="AA19" t="inlineStr">
        <is>
          <t>—</t>
        </is>
      </c>
      <c r="AB19" t="inlineStr">
        <is>
          <t>expressa (p. 12–13 e 16)</t>
        </is>
      </c>
      <c r="AC19" t="inlineStr"/>
      <c r="AD19" t="inlineStr">
        <is>
          <t>matrícula 73.482 repetida nos lotes 27 e 28/q38; concordância expressa de Rafael (p. 12–13 e 16, itens 02 a 19); R$ 972,22/m², abaixo da faixa de Rafael por m² (R$ 1.050,00 a 1.500,00/m², p. 11); valor abaixo do piso da faixa por lote de Rafael, que mesmo assim o adota</t>
        </is>
      </c>
    </row>
    <row r="20">
      <c r="A20" t="inlineStr">
        <is>
          <t>06 - Hotel Araçá Ltda.</t>
        </is>
      </c>
      <c r="B20" t="inlineStr">
        <is>
          <t>Lotes urbanos próximos ao hotel</t>
        </is>
      </c>
      <c r="C20" t="inlineStr">
        <is>
          <t>insc. 360.0038.028.000 | mat. 73.482 | cód. 039427</t>
        </is>
      </c>
      <c r="D20" t="inlineStr">
        <is>
          <t>Lote 28, q38, 360,00 m², Lote Estacionamento do Bigode</t>
        </is>
      </c>
      <c r="E20" t="inlineStr">
        <is>
          <t>Sim</t>
        </is>
      </c>
      <c r="F20" t="inlineStr">
        <is>
          <t>item 18 (tabela 5 do docx)</t>
        </is>
      </c>
      <c r="G20" s="2" t="n">
        <v>200000</v>
      </c>
      <c r="H20" t="inlineStr">
        <is>
          <t>Sim</t>
        </is>
      </c>
      <c r="I20" t="inlineStr">
        <is>
          <t>item 19 (tabela 4 do docx)</t>
        </is>
      </c>
      <c r="J20" s="2" t="n">
        <v>350000</v>
      </c>
      <c r="K20" t="inlineStr">
        <is>
          <t>Sim</t>
        </is>
      </c>
      <c r="L20" t="inlineStr">
        <is>
          <t>PDF Rafael, balanço executado, p. 19</t>
        </is>
      </c>
      <c r="M20" s="2" t="n">
        <v>350000</v>
      </c>
      <c r="N20" s="2" t="n">
        <v>350000</v>
      </c>
      <c r="O20" s="2" t="n">
        <v>0</v>
      </c>
      <c r="P20" s="3" t="n">
        <v>0</v>
      </c>
      <c r="Q20" t="inlineStr">
        <is>
          <t>Concorda</t>
        </is>
      </c>
      <c r="R20" t="inlineStr">
        <is>
          <t>Sim</t>
        </is>
      </c>
      <c r="S20" t="inlineStr"/>
      <c r="T20" t="inlineStr">
        <is>
          <t>R$ 380.000,00 a R$ 550.000,00 (p. 10)</t>
        </is>
      </c>
      <c r="U20" t="inlineStr">
        <is>
          <t>Adoto grupo (= Rafael)</t>
        </is>
      </c>
      <c r="V20" s="2" t="n">
        <v>350000</v>
      </c>
      <c r="W20" t="inlineStr">
        <is>
          <t>R1 (Pacote 1): mesmo valor nos dois lados, bem identificado em 2018, concordância expressa de Rafael.</t>
        </is>
      </c>
      <c r="X20" t="inlineStr">
        <is>
          <t>—</t>
        </is>
      </c>
      <c r="Y20" t="inlineStr"/>
      <c r="Z20" t="inlineStr">
        <is>
          <t>nenhuma (2_0 GERAL linhas 70–104 e abas 6.Hotel Araçá das duas planilhas)</t>
        </is>
      </c>
      <c r="AA20" t="inlineStr">
        <is>
          <t>—</t>
        </is>
      </c>
      <c r="AB20" t="inlineStr">
        <is>
          <t>expressa (p. 12–13 e 16)</t>
        </is>
      </c>
      <c r="AC20" t="inlineStr"/>
      <c r="AD20" t="inlineStr">
        <is>
          <t>matrícula 73.482 repetida nos lotes 27 e 28/q38; concordância expressa de Rafael (p. 12–13 e 16, itens 02 a 19); R$ 972,22/m², abaixo da faixa de Rafael por m² (R$ 1.050,00 a 1.500,00/m², p. 11); valor abaixo do piso da faixa por lote de Rafael, que mesmo assim o adota</t>
        </is>
      </c>
    </row>
    <row r="21">
      <c r="A21" t="inlineStr">
        <is>
          <t>06 - Hotel Araçá Ltda.</t>
        </is>
      </c>
      <c r="B21" t="inlineStr">
        <is>
          <t>Condado de Capão</t>
        </is>
      </c>
      <c r="C21" t="inlineStr">
        <is>
          <t>insc. 645.0027.015.000 | mat. 69.488 | cód. 076891</t>
        </is>
      </c>
      <c r="D21" t="inlineStr">
        <is>
          <t>Lote 15, q02, 725,39 m², Condado de Capão, casa 158,18 m²</t>
        </is>
      </c>
      <c r="E21" t="inlineStr">
        <is>
          <t>Sim</t>
        </is>
      </c>
      <c r="F21" t="inlineStr">
        <is>
          <t>item 19 (tabela 5 do docx)</t>
        </is>
      </c>
      <c r="G21" s="2" t="n">
        <v>1000000</v>
      </c>
      <c r="H21" t="inlineStr">
        <is>
          <t>Sim</t>
        </is>
      </c>
      <c r="I21" t="inlineStr">
        <is>
          <t>item 20 (tabela 4 do docx)</t>
        </is>
      </c>
      <c r="J21" s="2" t="n">
        <v>1000000</v>
      </c>
      <c r="K21" t="inlineStr">
        <is>
          <t>Sim</t>
        </is>
      </c>
      <c r="L21" t="inlineStr">
        <is>
          <t>PDF Rafael, balanço executado, p. 19</t>
        </is>
      </c>
      <c r="M21" s="2" t="n">
        <v>1000000</v>
      </c>
      <c r="N21" s="2" t="n">
        <v>2400000</v>
      </c>
      <c r="O21" s="2" t="n">
        <v>1400000</v>
      </c>
      <c r="P21" s="3" t="n">
        <v>1.4</v>
      </c>
      <c r="Q21" t="inlineStr">
        <is>
          <t>Discorda</t>
        </is>
      </c>
      <c r="R21" t="inlineStr">
        <is>
          <t>Não</t>
        </is>
      </c>
      <c r="S21" t="inlineStr">
        <is>
          <t>maior (fica na empresa)</t>
        </is>
      </c>
      <c r="T21" t="inlineStr">
        <is>
          <t>R$ 2.400.000,00 a R$ 3.500.000,00 (p. 13)</t>
        </is>
      </c>
      <c r="U21" t="inlineStr">
        <is>
          <t>Adoto Rafael</t>
        </is>
      </c>
      <c r="V21" s="2" t="n">
        <v>2400000</v>
      </c>
      <c r="W21" t="inlineStr">
        <is>
          <t>E3 (Pacote 2): C0, fica na empresa, maior valor. C1: piso da faixa de Rafael (2,4–3,5 mi, p. 13); valor do grupo abaixo do piso só do terreno (1,81 mi, p. 14). Titularidade a confirmar (G6).</t>
        </is>
      </c>
      <c r="X21" t="inlineStr">
        <is>
          <t>—</t>
        </is>
      </c>
      <c r="Y21" t="inlineStr">
        <is>
          <t>Registro 1 (Rafael: fontes de mercado de 2025)</t>
        </is>
      </c>
      <c r="Z21" t="inlineStr">
        <is>
          <t>nenhuma (2_0 GERAL linhas 70–104 e abas 6.Hotel Araçá das duas planilhas)</t>
        </is>
      </c>
      <c r="AA21" t="inlineStr">
        <is>
          <t>—</t>
        </is>
      </c>
      <c r="AB21" t="inlineStr">
        <is>
          <t>—</t>
        </is>
      </c>
      <c r="AC21" t="inlineStr"/>
      <c r="AD21" t="inlineStr">
        <is>
          <t>contrato particular de compra e venda (maio/2014) com matrícula 69.488 citada; o grupo afirma que todos os imóveis estão em nome da empresa (arq. 1, p. 11); Rafael avalia casa de 160 m² (inventário 158,18 m²); valor do grupo abaixo do piso da faixa de Rafael</t>
        </is>
      </c>
    </row>
    <row r="22">
      <c r="A22" t="inlineStr">
        <is>
          <t>06 - Hotel Araçá Ltda.</t>
        </is>
      </c>
      <c r="B22" t="inlineStr">
        <is>
          <t>Lotes urbanos próximos ao hotel</t>
        </is>
      </c>
      <c r="C22" t="inlineStr">
        <is>
          <t>insc. 360.0037.015.000 | mat. 86.669 | cód. 039394</t>
        </is>
      </c>
      <c r="D22" t="inlineStr">
        <is>
          <t>Lote 15, q37, 360,00 m², Lateral do Hotel</t>
        </is>
      </c>
      <c r="E22" t="inlineStr">
        <is>
          <t>Não</t>
        </is>
      </c>
      <c r="F22" t="inlineStr"/>
      <c r="G22" s="2" t="n"/>
      <c r="H22" t="inlineStr">
        <is>
          <t>Sim</t>
        </is>
      </c>
      <c r="I22" t="inlineStr">
        <is>
          <t>item 21 (tabela 4 do docx)</t>
        </is>
      </c>
      <c r="J22" s="2" t="n">
        <v>380000</v>
      </c>
      <c r="K22" t="inlineStr">
        <is>
          <t>Sim</t>
        </is>
      </c>
      <c r="L22" t="inlineStr">
        <is>
          <t>PDF Rafael, balanço executado, p. 20</t>
        </is>
      </c>
      <c r="M22" s="2" t="n">
        <v>380000</v>
      </c>
      <c r="N22" s="2" t="n">
        <v>380000</v>
      </c>
      <c r="O22" s="2" t="n">
        <v>0</v>
      </c>
      <c r="P22" s="3" t="n">
        <v>0</v>
      </c>
      <c r="Q22" t="inlineStr">
        <is>
          <t>Concorda</t>
        </is>
      </c>
      <c r="R22" t="inlineStr">
        <is>
          <t>Não</t>
        </is>
      </c>
      <c r="S22" t="inlineStr"/>
      <c r="T22" t="inlineStr">
        <is>
          <t>R$ 380.000,00 a R$ 550.000,00 (p. 10)</t>
        </is>
      </c>
      <c r="U22" t="inlineStr">
        <is>
          <t>Adoto grupo (= Rafael)</t>
        </is>
      </c>
      <c r="V22" s="2" t="n">
        <v>380000</v>
      </c>
      <c r="W22" t="inlineStr">
        <is>
          <t>R2 (Pacote 1): mesmo valor nos dois lados; sem par no inventário 2018 e concordância de Rafael só por valor: data, forma de aquisição e titularidade a confirmar (G10); se não for da empresa em 31/12/2024, sai na Parte 4.</t>
        </is>
      </c>
      <c r="X22" t="inlineStr">
        <is>
          <t>— (sem par no inventário 2018; data e forma de aquisição a documentar)</t>
        </is>
      </c>
      <c r="Y22" t="inlineStr"/>
      <c r="Z22" t="inlineStr">
        <is>
          <t>nenhuma (2_0 GERAL linhas 70–104 e abas 6.Hotel Araçá das duas planilhas)</t>
        </is>
      </c>
      <c r="AA22" t="inlineStr">
        <is>
          <t>—</t>
        </is>
      </c>
      <c r="AB22" t="inlineStr">
        <is>
          <t>por valor (p. 15 e 20)</t>
        </is>
      </c>
      <c r="AC22" t="inlineStr"/>
      <c r="AD22" t="inlineStr">
        <is>
          <t>concorda por valor (p. 15 e 20); sem declaração expressa de Rafael (a da p. 16 cita 'itens 02 à 19'); R$ 1.055,56/m², dentro da faixa de Rafael por m² (R$ 1.050,00 a 1.500,00/m², p. 11); lote dentro do quarteirão do hotel (quadra 37, ao lado dos lotes do item 01): conferir se parte do hotel está sobre ele</t>
        </is>
      </c>
    </row>
    <row r="23">
      <c r="A23" t="inlineStr">
        <is>
          <t>06 - Hotel Araçá Ltda.</t>
        </is>
      </c>
      <c r="B23" t="inlineStr">
        <is>
          <t>Lotes urbanos próximos ao hotel</t>
        </is>
      </c>
      <c r="C23" t="inlineStr">
        <is>
          <t>insc. 360.0037.017.000 | mat. 124.906 | cód. 039396</t>
        </is>
      </c>
      <c r="D23" t="inlineStr">
        <is>
          <t>Lote 17, q37, 360,00 m², Lateral do Hotel</t>
        </is>
      </c>
      <c r="E23" t="inlineStr">
        <is>
          <t>Não</t>
        </is>
      </c>
      <c r="F23" t="inlineStr"/>
      <c r="G23" s="2" t="n"/>
      <c r="H23" t="inlineStr">
        <is>
          <t>Sim</t>
        </is>
      </c>
      <c r="I23" t="inlineStr">
        <is>
          <t>item 22 (tabela 4 do docx)</t>
        </is>
      </c>
      <c r="J23" s="2" t="n">
        <v>380000</v>
      </c>
      <c r="K23" t="inlineStr">
        <is>
          <t>Sim</t>
        </is>
      </c>
      <c r="L23" t="inlineStr">
        <is>
          <t>PDF Rafael, balanço executado, p. 20</t>
        </is>
      </c>
      <c r="M23" s="2" t="n">
        <v>380000</v>
      </c>
      <c r="N23" s="2" t="n">
        <v>380000</v>
      </c>
      <c r="O23" s="2" t="n">
        <v>0</v>
      </c>
      <c r="P23" s="3" t="n">
        <v>0</v>
      </c>
      <c r="Q23" t="inlineStr">
        <is>
          <t>Concorda</t>
        </is>
      </c>
      <c r="R23" t="inlineStr">
        <is>
          <t>Não</t>
        </is>
      </c>
      <c r="S23" t="inlineStr"/>
      <c r="T23" t="inlineStr">
        <is>
          <t>R$ 380.000,00 a R$ 550.000,00 (p. 10)</t>
        </is>
      </c>
      <c r="U23" t="inlineStr">
        <is>
          <t>Adoto grupo (= Rafael)</t>
        </is>
      </c>
      <c r="V23" s="2" t="n">
        <v>380000</v>
      </c>
      <c r="W23" t="inlineStr">
        <is>
          <t>R2 (Pacote 1): mesmo valor nos dois lados; sem par no inventário 2018 e concordância de Rafael só por valor: data, forma de aquisição e titularidade a confirmar (G10); se não for da empresa em 31/12/2024, sai na Parte 4.</t>
        </is>
      </c>
      <c r="X23" t="inlineStr">
        <is>
          <t>— (sem par no inventário 2018; data e forma de aquisição a documentar)</t>
        </is>
      </c>
      <c r="Y23" t="inlineStr"/>
      <c r="Z23" t="inlineStr">
        <is>
          <t>nenhuma (2_0 GERAL linhas 70–104 e abas 6.Hotel Araçá das duas planilhas)</t>
        </is>
      </c>
      <c r="AA23" t="inlineStr">
        <is>
          <t>—</t>
        </is>
      </c>
      <c r="AB23" t="inlineStr">
        <is>
          <t>por valor (p. 15 e 20)</t>
        </is>
      </c>
      <c r="AC23" t="inlineStr"/>
      <c r="AD23" t="inlineStr">
        <is>
          <t>registro na comarca de Osório; concorda por valor (p. 15 e 20); sem declaração expressa de Rafael (a da p. 16 cita 'itens 02 à 19'); R$ 1.055,56/m², dentro da faixa de Rafael por m² (R$ 1.050,00 a 1.500,00/m², p. 11); lote dentro do quarteirão do hotel (quadra 37, ao lado dos lotes do item 01): conferir se parte do hotel está sobre ele</t>
        </is>
      </c>
    </row>
    <row r="24">
      <c r="A24" t="inlineStr">
        <is>
          <t>06 - Hotel Araçá Ltda.</t>
        </is>
      </c>
      <c r="B24" t="inlineStr">
        <is>
          <t>Lotes de 2018 sem par em 2025</t>
        </is>
      </c>
      <c r="C24" t="inlineStr">
        <is>
          <t>insc. 360.0019.004.000 | mat. sem matrícula no texto | cód. 038999</t>
        </is>
      </c>
      <c r="D24" t="inlineStr">
        <is>
          <t>450,00 m², no lugar do valor: VÁLTER SIVIERO</t>
        </is>
      </c>
      <c r="E24" t="inlineStr">
        <is>
          <t>Sim</t>
        </is>
      </c>
      <c r="F24" t="inlineStr">
        <is>
          <t>item 20 (tabela 5 do docx)</t>
        </is>
      </c>
      <c r="G24" s="2" t="n"/>
      <c r="H24" t="inlineStr">
        <is>
          <t>Não</t>
        </is>
      </c>
      <c r="J24" s="2" t="n"/>
      <c r="K24" t="inlineStr">
        <is>
          <t>Não</t>
        </is>
      </c>
      <c r="M24" s="2" t="n"/>
      <c r="N24" s="2" t="n"/>
      <c r="O24" s="2" t="n"/>
      <c r="P24" s="3" t="n"/>
      <c r="Q24" t="inlineStr">
        <is>
          <t>Só 2018</t>
        </is>
      </c>
      <c r="R24" t="inlineStr">
        <is>
          <t>Não</t>
        </is>
      </c>
      <c r="U24" t="inlineStr">
        <is>
          <t>Sem valor nesta etapa</t>
        </is>
      </c>
      <c r="V24" s="2" t="n"/>
      <c r="W24" t="inlineStr">
        <is>
          <t>Sem valor adotado nesta etapa (R3, Pacote 1). Lotes de 2018 → Parte 4; não abordados → Parte 5; residências citadas por Rafael → pacote de exceções.</t>
        </is>
      </c>
      <c r="X24" t="inlineStr">
        <is>
          <t>Pendente, sem destino documentado (Pacote 3, D1). Indício de bem do sócio Válter: lista de IPTU de 2018 (doc 6); possível 'Lote Capão da Canoa' dado aos sócios em 2019 (arquivo 18, p. 3, sem inscrição). Pergunta G7.</t>
        </is>
      </c>
      <c r="Z24" t="inlineStr">
        <is>
          <t>nenhuma (2_0 GERAL linhas 70–104 e abas 6.Hotel Araçá das duas planilhas)</t>
        </is>
      </c>
      <c r="AA24" t="inlineStr">
        <is>
          <t>—</t>
        </is>
      </c>
      <c r="AB24" t="inlineStr">
        <is>
          <t>—</t>
        </is>
      </c>
      <c r="AC24" t="inlineStr">
        <is>
          <t>VÁLTER SIVIERO</t>
        </is>
      </c>
      <c r="AD24" t="inlineStr">
        <is>
          <t>no lugar do valor: VÁLTER SIVIERO; bem da empresa ou do sócio a esclarecer; doc 6 de 2018 (relação de imóveis para IPTU de Válter e família): 'Valter Siviero | 360.0019.004.000 | Capão da Canoa | R$ 500,00'; arquivo 18, p. 3 (planilha de Válter 'para acerto futuro', bloco de 10.06.2019): 'Lote Capão da Canoa Lote na esquina próximo ao Hotel Araçá Ltda., com valor diferenciado aos demais lotes dados aos sócios.' — sem inscrição; pode ser este lote, mas não está provado; risco de cruzar com o item 02 (lote 03/q19, lista de Rafael); no rascunho do inventário (pasta '2018_desatualizado', arquivo datado de dez/2015) é o item 20 do Hotel, sem nome de sócio e sem valor; lote vizinho do item 02 de 2025 (inscrição 360.0019.003.000), que está na lista de Rafael</t>
        </is>
      </c>
    </row>
    <row r="25">
      <c r="A25" t="inlineStr">
        <is>
          <t>06 - Hotel Araçá Ltda.</t>
        </is>
      </c>
      <c r="B25" t="inlineStr">
        <is>
          <t>Lotes de 2018 sem par em 2025</t>
        </is>
      </c>
      <c r="C25" t="inlineStr">
        <is>
          <t>insc. 360.0057.002.000 | mat. sem matrícula no texto | cód. 039773</t>
        </is>
      </c>
      <c r="D25" t="inlineStr">
        <is>
          <t>308,40 m², CASA, no lugar do valor: RAUL SIVIERO</t>
        </is>
      </c>
      <c r="E25" t="inlineStr">
        <is>
          <t>Sim</t>
        </is>
      </c>
      <c r="F25" t="inlineStr">
        <is>
          <t>item 22 (tabela 5 do docx)</t>
        </is>
      </c>
      <c r="G25" s="2" t="n"/>
      <c r="H25" t="inlineStr">
        <is>
          <t>Não</t>
        </is>
      </c>
      <c r="J25" s="2" t="n"/>
      <c r="K25" t="inlineStr">
        <is>
          <t>a verificar (possíveis residências da p. 24)</t>
        </is>
      </c>
      <c r="M25" s="2" t="n"/>
      <c r="N25" s="2" t="n"/>
      <c r="O25" s="2" t="n"/>
      <c r="P25" s="3" t="n"/>
      <c r="Q25" t="inlineStr">
        <is>
          <t>Só 2018</t>
        </is>
      </c>
      <c r="R25" t="inlineStr">
        <is>
          <t>Não</t>
        </is>
      </c>
      <c r="U25" t="inlineStr">
        <is>
          <t>Sem valor nesta etapa</t>
        </is>
      </c>
      <c r="V25" s="2" t="n"/>
      <c r="W25" t="inlineStr">
        <is>
          <t>Sem valor adotado nesta etapa (R3, Pacote 1). Lotes de 2018 → Parte 4; não abordados → Parte 5; residências citadas por Rafael → pacote de exceções.</t>
        </is>
      </c>
      <c r="X25" t="inlineStr">
        <is>
          <t>Pendente, sem destino documentado (Pacote 3, D2). Doc 25 de 2018 atribui a 'CASA AO LADO' a Raul por acordo entre os sócios, manutenção paga pelo Hotel; sem ato de transferência. Provável uma das casas citadas por Rafael (E2). Pergunta G7.</t>
        </is>
      </c>
      <c r="Z25" t="inlineStr">
        <is>
          <t>nenhuma (2_0 GERAL linhas 70–104 e abas 6.Hotel Araçá das duas planilhas)</t>
        </is>
      </c>
      <c r="AA25" t="inlineStr">
        <is>
          <t>—</t>
        </is>
      </c>
      <c r="AB25" t="inlineStr">
        <is>
          <t>—</t>
        </is>
      </c>
      <c r="AC25" t="inlineStr">
        <is>
          <t>RAUL SIVIERO</t>
        </is>
      </c>
      <c r="AD25" t="inlineStr">
        <is>
          <t>no lugar do valor: RAUL SIVIERO; bem da empresa ou do sócio a esclarecer; doc 25 de 2018, seção Hotel: 'CASA AO LADO: Raul Siviero', entre as '02 casas de veraneio dos Sócios' mantidas pelo Hotel; lote com casa; possível correspondência com as duas residências da Rua da Divisa citadas por Rafael (p. 24): a confirmar; no rascunho do inventário (pasta '2018_desatualizado', arquivo datado de dez/2015) é o item 23 do Hotel, sem nome de sócio e sem valor; lista de IPTU de 2018 do sócio (doc 1) tem imóvel em Capão da Canoa sem inscrição: 'Raul Siviero | Capão da Canoa | R$ 500,00'</t>
        </is>
      </c>
    </row>
    <row r="26">
      <c r="A26" t="inlineStr">
        <is>
          <t>06 - Hotel Araçá Ltda.</t>
        </is>
      </c>
      <c r="B26" t="inlineStr">
        <is>
          <t>Lotes de 2018 sem par em 2025</t>
        </is>
      </c>
      <c r="C26" t="inlineStr">
        <is>
          <t>insc. 360.0057.001.000 | mat. sem matrícula no texto | cód. 039772</t>
        </is>
      </c>
      <c r="D26" t="inlineStr">
        <is>
          <t>308,40 m², CASA/ESQUINA, no lugar do valor: ELCIO SIVIERO</t>
        </is>
      </c>
      <c r="E26" t="inlineStr">
        <is>
          <t>Sim</t>
        </is>
      </c>
      <c r="F26" t="inlineStr">
        <is>
          <t>item 23 (tabela 6 do docx)</t>
        </is>
      </c>
      <c r="G26" s="2" t="n"/>
      <c r="H26" t="inlineStr">
        <is>
          <t>Não</t>
        </is>
      </c>
      <c r="J26" s="2" t="n"/>
      <c r="K26" t="inlineStr">
        <is>
          <t>a verificar (possíveis residências da p. 24)</t>
        </is>
      </c>
      <c r="M26" s="2" t="n"/>
      <c r="N26" s="2" t="n"/>
      <c r="O26" s="2" t="n"/>
      <c r="P26" s="3" t="n"/>
      <c r="Q26" t="inlineStr">
        <is>
          <t>Só 2018</t>
        </is>
      </c>
      <c r="R26" t="inlineStr">
        <is>
          <t>Não</t>
        </is>
      </c>
      <c r="U26" t="inlineStr">
        <is>
          <t>Sem valor nesta etapa</t>
        </is>
      </c>
      <c r="V26" s="2" t="n"/>
      <c r="W26" t="inlineStr">
        <is>
          <t>Sem valor adotado nesta etapa (R3, Pacote 1). Lotes de 2018 → Parte 4; não abordados → Parte 5; residências citadas por Rafael → pacote de exceções.</t>
        </is>
      </c>
      <c r="X26" t="inlineStr">
        <is>
          <t>Pendente, leituras em conflito (Pacote 3, D3): casa de empresa que falta em 2025 / casa de Élcio / troca a favor do sócio. Doc 25: troca com lote da SEI (Busatto) e 'pertence à empresa Siviero'. Pergunta G7.</t>
        </is>
      </c>
      <c r="Z26" t="inlineStr">
        <is>
          <t>nenhuma (2_0 GERAL linhas 70–104 e abas 6.Hotel Araçá das duas planilhas)</t>
        </is>
      </c>
      <c r="AA26" t="inlineStr">
        <is>
          <t>—</t>
        </is>
      </c>
      <c r="AB26" t="inlineStr">
        <is>
          <t>—</t>
        </is>
      </c>
      <c r="AC26" t="inlineStr">
        <is>
          <t>ELCIO SIVIERO</t>
        </is>
      </c>
      <c r="AD26" t="inlineStr">
        <is>
          <t>no lugar do valor: ELCIO SIVIERO; bem da empresa ou do sócio a esclarecer; nota de 2018: 'trocou este lote/casa por um lote no Loteamento Aditivo Medianeira'; valor '(Avaliar Lote e Casa)'; o total de 2018 ressalva '+ o valor da casa e lote – Élcio Siviero'; doc 25 de 2018 (seção Élcio): 'Lote 10 – Quadra 03 – Loteamento Aditivo Madianeira, que conforme contrato foi dado para o Paulo Busatto, pelo valor de R$ 70.000,00 (Trocado com o lote de Capão da Canoa – CASA).' (lote da SEI: candidato à Parte 6); doc 25 de 2018, seção Hotel: 'CASA DA ESQUINA: Élcio Siviero (que pertence à empresa Siviero)', entre as '02 casas de veraneio dos Sócios' mantidas pelo Hotel; lote com casa; possível correspondência com as duas residências da Rua da Divisa citadas por Rafael (p. 24): a confirmar; no rascunho do inventário (pasta '2018_desatualizado', arquivo datado de dez/2015) é o item 22 do Hotel, sem nome de sócio e sem valor</t>
        </is>
      </c>
    </row>
    <row r="27">
      <c r="A27" t="inlineStr">
        <is>
          <t>06 - Hotel Araçá Ltda.</t>
        </is>
      </c>
      <c r="B27" t="inlineStr">
        <is>
          <t>Lotes de 2018 sem par em 2025</t>
        </is>
      </c>
      <c r="C27" t="inlineStr">
        <is>
          <t>insc. 360.0074.030.000 | mat. 77.833 | cód. 039863</t>
        </is>
      </c>
      <c r="D27" t="inlineStr">
        <is>
          <t>300,00 m², no lugar do valor: ADÉLIA F. SIVIERO</t>
        </is>
      </c>
      <c r="E27" t="inlineStr">
        <is>
          <t>Sim</t>
        </is>
      </c>
      <c r="F27" t="inlineStr">
        <is>
          <t>item 24 (tabela 6 do docx)</t>
        </is>
      </c>
      <c r="G27" s="2" t="n"/>
      <c r="H27" t="inlineStr">
        <is>
          <t>Não</t>
        </is>
      </c>
      <c r="J27" s="2" t="n"/>
      <c r="K27" t="inlineStr">
        <is>
          <t>Não</t>
        </is>
      </c>
      <c r="M27" s="2" t="n"/>
      <c r="N27" s="2" t="n"/>
      <c r="O27" s="2" t="n"/>
      <c r="P27" s="3" t="n"/>
      <c r="Q27" t="inlineStr">
        <is>
          <t>Só 2018</t>
        </is>
      </c>
      <c r="R27" t="inlineStr">
        <is>
          <t>Não</t>
        </is>
      </c>
      <c r="U27" t="inlineStr">
        <is>
          <t>Sem valor nesta etapa</t>
        </is>
      </c>
      <c r="V27" s="2" t="n"/>
      <c r="W27" t="inlineStr">
        <is>
          <t>Sem valor adotado nesta etapa (R3, Pacote 1). Lotes de 2018 → Parte 4; não abordados → Parte 5; residências citadas por Rafael → pacote de exceções.</t>
        </is>
      </c>
      <c r="X27" t="inlineStr">
        <is>
          <t>Pendente, sem destino documentado (Pacote 3, D4). Só no inventário 2018. Pergunta G7.</t>
        </is>
      </c>
      <c r="Z27" t="inlineStr">
        <is>
          <t>nenhuma (2_0 GERAL linhas 70–104 e abas 6.Hotel Araçá das duas planilhas)</t>
        </is>
      </c>
      <c r="AA27" t="inlineStr">
        <is>
          <t>—</t>
        </is>
      </c>
      <c r="AB27" t="inlineStr">
        <is>
          <t>—</t>
        </is>
      </c>
      <c r="AC27" t="inlineStr">
        <is>
          <t>ADÉLIA F. SIVIERO</t>
        </is>
      </c>
      <c r="AD27" t="inlineStr">
        <is>
          <t>no lugar do valor: ADÉLIA F. SIVIERO; bem da empresa ou do sócio a esclarecer; matrícula 77.833 sequencial à 77.832 do item 02 de 2025 (lista de Rafael); lista de IPTU de 2018 do sócio (doc 5) tem imóvel em Capão da Canoa sem inscrição: 'Jose Valerio Siviero | Capão da Canoa | R$ 500,00'</t>
        </is>
      </c>
    </row>
    <row r="28">
      <c r="A28" t="inlineStr">
        <is>
          <t>06 - Hotel Araçá Ltda.</t>
        </is>
      </c>
      <c r="B28" t="inlineStr">
        <is>
          <t>Lotes de 2018 sem par em 2025</t>
        </is>
      </c>
      <c r="C28" t="inlineStr">
        <is>
          <t>insc. 360.0074.031.000 | mat. 74.857 | cód. 039864</t>
        </is>
      </c>
      <c r="D28" t="inlineStr">
        <is>
          <t>300,00 m², no lugar do valor: PEDRO SIVIERO</t>
        </is>
      </c>
      <c r="E28" t="inlineStr">
        <is>
          <t>Sim</t>
        </is>
      </c>
      <c r="F28" t="inlineStr">
        <is>
          <t>item 25 (tabela 6 do docx)</t>
        </is>
      </c>
      <c r="G28" s="2" t="n"/>
      <c r="H28" t="inlineStr">
        <is>
          <t>Não</t>
        </is>
      </c>
      <c r="J28" s="2" t="n"/>
      <c r="K28" t="inlineStr">
        <is>
          <t>Não</t>
        </is>
      </c>
      <c r="M28" s="2" t="n"/>
      <c r="N28" s="2" t="n"/>
      <c r="O28" s="2" t="n"/>
      <c r="P28" s="3" t="n"/>
      <c r="Q28" t="inlineStr">
        <is>
          <t>Só 2018</t>
        </is>
      </c>
      <c r="R28" t="inlineStr">
        <is>
          <t>Não</t>
        </is>
      </c>
      <c r="U28" t="inlineStr">
        <is>
          <t>Sem valor nesta etapa</t>
        </is>
      </c>
      <c r="V28" s="2" t="n"/>
      <c r="W28" t="inlineStr">
        <is>
          <t>Sem valor adotado nesta etapa (R3, Pacote 1). Lotes de 2018 → Parte 4; não abordados → Parte 5; residências citadas por Rafael → pacote de exceções.</t>
        </is>
      </c>
      <c r="X28" t="inlineStr">
        <is>
          <t>Pendente, sem destino documentado (Pacote 3, D5). Só no inventário 2018. Pergunta G7.</t>
        </is>
      </c>
      <c r="Z28" t="inlineStr">
        <is>
          <t>nenhuma (2_0 GERAL linhas 70–104 e abas 6.Hotel Araçá das duas planilhas)</t>
        </is>
      </c>
      <c r="AA28" t="inlineStr">
        <is>
          <t>—</t>
        </is>
      </c>
      <c r="AB28" t="inlineStr">
        <is>
          <t>—</t>
        </is>
      </c>
      <c r="AC28" t="inlineStr">
        <is>
          <t>PEDRO SIVIERO</t>
        </is>
      </c>
      <c r="AD28" t="inlineStr">
        <is>
          <t>no lugar do valor: PEDRO SIVIERO; bem da empresa ou do sócio a esclarecer; lista de IPTU de 2018 do sócio (doc 4) tem imóvel em Capão da Canoa sem inscrição: 'Pedro Siviero | Capão da Canoa | R$ 500,00'</t>
        </is>
      </c>
    </row>
    <row r="29">
      <c r="A29" t="inlineStr">
        <is>
          <t>06 - Hotel Araçá Ltda.</t>
        </is>
      </c>
      <c r="B29" t="inlineStr">
        <is>
          <t>Citados só por Rafael</t>
        </is>
      </c>
      <c r="C29" t="inlineStr">
        <is>
          <t>sem chave (Rafael não dá matrícula nem inscrição)</t>
        </is>
      </c>
      <c r="D29" t="inlineStr">
        <is>
          <t>Duas residências de ~200 m² em dois lotes em sequência, esquina da Rua da Divisa com a Rua Três, bairro Araçá</t>
        </is>
      </c>
      <c r="E29" t="inlineStr">
        <is>
          <t>a verificar (itens 22 e 23 de 2018?)</t>
        </is>
      </c>
      <c r="G29" s="2" t="n"/>
      <c r="H29" t="inlineStr">
        <is>
          <t>Não</t>
        </is>
      </c>
      <c r="J29" s="2" t="n"/>
      <c r="K29" t="inlineStr">
        <is>
          <t>Sim</t>
        </is>
      </c>
      <c r="L29" t="inlineStr">
        <is>
          <t>PDF Rafael p. 24–25 ('Observação importante')</t>
        </is>
      </c>
      <c r="M29" s="2" t="n"/>
      <c r="N29" s="2" t="n"/>
      <c r="O29" s="2" t="n"/>
      <c r="P29" s="3" t="n"/>
      <c r="Q29" t="inlineStr">
        <is>
          <t>Só Rafael</t>
        </is>
      </c>
      <c r="R29" t="inlineStr">
        <is>
          <t>Não</t>
        </is>
      </c>
      <c r="T29" t="inlineStr">
        <is>
          <t>R$ 2.400.000 a R$ 3.500.000 pelo par (p. 24)</t>
        </is>
      </c>
      <c r="U29" t="inlineStr">
        <is>
          <t>Sem valor nesta etapa</t>
        </is>
      </c>
      <c r="V29" s="2" t="n"/>
      <c r="W29" t="inlineStr">
        <is>
          <t>Sem valor (E2, Pacote 2): casas da Rua da Divisa; destino na Parte 4 com os itens 22 e 23 de 2018; pergunta G7 (as casas passaram da G8 para a G7 no Pacote 3).</t>
        </is>
      </c>
      <c r="X29" t="inlineStr">
        <is>
          <t>—</t>
        </is>
      </c>
      <c r="Y29" t="inlineStr">
        <is>
          <t>Registro 1 (Rafael: fontes de mercado de 2025)</t>
        </is>
      </c>
      <c r="Z29" t="inlineStr">
        <is>
          <t>nenhuma (2_0 GERAL linhas 70–104 e abas 6.Hotel Araçá das duas planilhas)</t>
        </is>
      </c>
      <c r="AA29" t="inlineStr">
        <is>
          <t>—</t>
        </is>
      </c>
      <c r="AD29" t="inlineStr">
        <is>
          <t>não somadas ao total de Rafael; titular desconhecido</t>
        </is>
      </c>
    </row>
    <row r="30">
      <c r="A30" t="inlineStr">
        <is>
          <t>06 - Hotel Araçá Ltda.</t>
        </is>
      </c>
      <c r="B30" t="inlineStr">
        <is>
          <t>Citados só por Rafael</t>
        </is>
      </c>
      <c r="C30" t="inlineStr">
        <is>
          <t>sem chave (Rafael não dá placa)</t>
        </is>
      </c>
      <c r="D30" t="inlineStr">
        <is>
          <t>Fiat Toro, automóvel de serviço do Hotel Araçá</t>
        </is>
      </c>
      <c r="E30" t="inlineStr">
        <is>
          <t>Não</t>
        </is>
      </c>
      <c r="G30" s="2" t="n"/>
      <c r="H30" t="inlineStr">
        <is>
          <t>Não</t>
        </is>
      </c>
      <c r="J30" s="2" t="n"/>
      <c r="K30" t="inlineStr">
        <is>
          <t>Sim</t>
        </is>
      </c>
      <c r="L30" t="inlineStr">
        <is>
          <t>PDF Rafael p. 25</t>
        </is>
      </c>
      <c r="M30" s="2" t="n"/>
      <c r="N30" s="2" t="n"/>
      <c r="O30" s="2" t="n"/>
      <c r="P30" s="3" t="n"/>
      <c r="Q30" t="inlineStr">
        <is>
          <t>Só Rafael</t>
        </is>
      </c>
      <c r="R30" t="inlineStr">
        <is>
          <t>Não</t>
        </is>
      </c>
      <c r="U30" t="inlineStr">
        <is>
          <t>Sem valor nesta etapa</t>
        </is>
      </c>
      <c r="V30" s="2" t="n"/>
      <c r="W30" t="inlineStr">
        <is>
          <t>Sem valor (E5, Pacote 2; redação ajustada na ficha): Fiat Toro. Se for da empresa, é bem não abordado (Parte 5) e precisa de valor do grupo; se não for, registrar o titular. Pergunta G8.</t>
        </is>
      </c>
      <c r="X30" t="inlineStr">
        <is>
          <t>—</t>
        </is>
      </c>
      <c r="Z30" t="inlineStr">
        <is>
          <t>nenhuma (2_0 GERAL linhas 70–104 e abas 6.Hotel Araçá das duas planilhas)</t>
        </is>
      </c>
      <c r="AA30" t="inlineStr">
        <is>
          <t>—</t>
        </is>
      </c>
      <c r="AD30" t="inlineStr">
        <is>
          <t>sem valor; não somada ao total de Rafael; titular e placa desconhecidos</t>
        </is>
      </c>
    </row>
    <row r="31">
      <c r="A31" t="inlineStr">
        <is>
          <t>06 - Hotel Araçá Ltda.</t>
        </is>
      </c>
      <c r="B31" t="inlineStr">
        <is>
          <t>Não abordados</t>
        </is>
      </c>
      <c r="C31" t="inlineStr">
        <is>
          <t>sem chave</t>
        </is>
      </c>
      <c r="D31" t="inlineStr">
        <is>
          <t>Dólares do Hotel Araçá guardados no cofre em Veranópolis (U$ 37.698,00 em 2017)</t>
        </is>
      </c>
      <c r="E31" t="inlineStr">
        <is>
          <t>Sim, fora do inventário: anexo 'Planilha – resumo dos dólares' da convocação de 26/05/2017, repetido na ata de 14/01/2019 (doc 22 de 2018)</t>
        </is>
      </c>
      <c r="F31" t="inlineStr">
        <is>
          <t>Material antigo/2018_desatualizado/G-SÓCIOS… Reunião no dia 26 de maio de 2017.docx; doc 22 de 2018 (lido pelo conector do Drive)</t>
        </is>
      </c>
      <c r="G31" s="2" t="n"/>
      <c r="H31" t="inlineStr">
        <is>
          <t>Não</t>
        </is>
      </c>
      <c r="J31" s="2" t="n"/>
      <c r="K31" t="inlineStr">
        <is>
          <t>Não</t>
        </is>
      </c>
      <c r="M31" s="2" t="n"/>
      <c r="N31" s="2" t="n"/>
      <c r="O31" s="2" t="n"/>
      <c r="P31" s="3" t="n"/>
      <c r="Q31" t="inlineStr">
        <is>
          <t>Não abordado</t>
        </is>
      </c>
      <c r="R31" t="inlineStr">
        <is>
          <t>Não</t>
        </is>
      </c>
      <c r="U31" t="inlineStr">
        <is>
          <t>Sem valor nesta etapa</t>
        </is>
      </c>
      <c r="V31" s="2" t="n"/>
      <c r="W31" t="inlineStr">
        <is>
          <t>Sem valor nesta etapa (Pacote 3, D7): dólares do Hotel no cofre (U$ 37.698,00 em 25/05/2017), bem de 2018 fora do inventário; destino pendente (P4); pergunta G12; candidato 6 da Parte 6.</t>
        </is>
      </c>
      <c r="X31" t="inlineStr">
        <is>
          <t>Pendente (Parte 4)</t>
        </is>
      </c>
      <c r="Z31" t="inlineStr">
        <is>
          <t>nenhuma (2_0 GERAL linhas 70–104 e abas 6.Hotel Araçá das duas planilhas)</t>
        </is>
      </c>
      <c r="AA31" t="inlineStr">
        <is>
          <t>—</t>
        </is>
      </c>
      <c r="AD31" t="inlineStr">
        <is>
          <t>saldo de U$ 37.698,00 no cofre em 25/05/2017 (2006–2017); o mesmo anexo registra U$ 9.000,00 'Pago Coletto–Gramado – 02 lotes' (2009) e retiradas para Válter e Luciane (2012–2013); doc lido pelo conector do Drive (arquivo não baixado); destino depois de 2017 a perguntar</t>
        </is>
      </c>
    </row>
    <row r="32">
      <c r="A32" t="inlineStr">
        <is>
          <t>06 - Hotel Araçá Ltda.</t>
        </is>
      </c>
      <c r="B32" t="inlineStr">
        <is>
          <t>Não abordados</t>
        </is>
      </c>
      <c r="C32" t="inlineStr">
        <is>
          <t>sem chave</t>
        </is>
      </c>
      <c r="D32" t="inlineStr">
        <is>
          <t>Placas solares instaladas no hotel (Solar Serra – Mário Bordignon)</t>
        </is>
      </c>
      <c r="E32" t="inlineStr">
        <is>
          <t>Não</t>
        </is>
      </c>
      <c r="G32" s="2" t="n"/>
      <c r="H32" t="inlineStr">
        <is>
          <t>Não (não citadas no inventário 06)</t>
        </is>
      </c>
      <c r="I32" t="inlineStr">
        <is>
          <t>inventário 11 (SEI) 2025, observação 'SOLAR SERRA'; arquivo 17, linha 60</t>
        </is>
      </c>
      <c r="J32" s="2" t="n"/>
      <c r="K32" t="inlineStr">
        <is>
          <t>Não</t>
        </is>
      </c>
      <c r="M32" s="2" t="n"/>
      <c r="N32" s="2" t="n"/>
      <c r="O32" s="2" t="n"/>
      <c r="P32" s="3" t="n"/>
      <c r="Q32" t="inlineStr">
        <is>
          <t>Não abordado</t>
        </is>
      </c>
      <c r="R32" t="inlineStr">
        <is>
          <t>Não</t>
        </is>
      </c>
      <c r="U32" t="inlineStr">
        <is>
          <t>Sem valor nesta etapa</t>
        </is>
      </c>
      <c r="V32" s="2" t="n"/>
      <c r="W32" t="inlineStr">
        <is>
          <t>Sem valor adotado nesta etapa (R3, Pacote 1). Lotes de 2018 → Parte 4; não abordados → Parte 5; residências citadas por Rafael → pacote de exceções.</t>
        </is>
      </c>
      <c r="X32" t="inlineStr">
        <is>
          <t>—</t>
        </is>
      </c>
      <c r="Z32" t="inlineStr">
        <is>
          <t>nenhuma (2_0 GERAL linhas 70–104 e abas 6.Hotel Araçá das duas planilhas)</t>
        </is>
      </c>
      <c r="AA32" t="inlineStr">
        <is>
          <t>—</t>
        </is>
      </c>
      <c r="AD32" t="inlineStr">
        <is>
          <t>arq. 17: LOTEAMENTO ADITIVO MEDIANEIRA – VERANÓPOLIS, lote 02/q07, 24/04/2024, Solar Serra Ltda.: 'Vendido, como forma de pagamento placas solares Hotel Araçá Ltda.'; inventário 11: compromisso de mais R$ 150.000,00 em 1 lote 'além do valor pago'; pagas pela SEI e fora do ativo do Hotel (equipamentos diversos R$ 8.000.000 brutos em 2018 e em 2025); valor total a perguntar; candidato à Parte 6</t>
        </is>
      </c>
    </row>
    <row r="33">
      <c r="A33" t="inlineStr">
        <is>
          <t>06 - Hotel Araçá Ltda.</t>
        </is>
      </c>
      <c r="B33" t="inlineStr">
        <is>
          <t>Não abordados</t>
        </is>
      </c>
      <c r="C33" t="inlineStr">
        <is>
          <t>quadra 37, lotes 13 e 14</t>
        </is>
      </c>
      <c r="D33" t="inlineStr">
        <is>
          <t>Lotes 13 e 14 da quadra 37 (dentro do quarteirão do hotel)</t>
        </is>
      </c>
      <c r="E33" t="inlineStr">
        <is>
          <t>Não</t>
        </is>
      </c>
      <c r="G33" s="2" t="n"/>
      <c r="H33" t="inlineStr">
        <is>
          <t>Não</t>
        </is>
      </c>
      <c r="J33" s="2" t="n"/>
      <c r="K33" t="inlineStr">
        <is>
          <t>Não</t>
        </is>
      </c>
      <c r="M33" s="2" t="n"/>
      <c r="N33" s="2" t="n"/>
      <c r="O33" s="2" t="n"/>
      <c r="P33" s="3" t="n"/>
      <c r="Q33" t="inlineStr">
        <is>
          <t>Não abordado</t>
        </is>
      </c>
      <c r="R33" t="inlineStr">
        <is>
          <t>Não</t>
        </is>
      </c>
      <c r="U33" t="inlineStr">
        <is>
          <t>Sem valor nesta etapa</t>
        </is>
      </c>
      <c r="V33" s="2" t="n"/>
      <c r="W33" t="inlineStr">
        <is>
          <t>Sem valor adotado nesta etapa (R3, Pacote 1). Lotes de 2018 → Parte 4; não abordados → Parte 5; residências citadas por Rafael → pacote de exceções.</t>
        </is>
      </c>
      <c r="X33" t="inlineStr">
        <is>
          <t>—</t>
        </is>
      </c>
      <c r="Z33" t="inlineStr">
        <is>
          <t>nenhuma (2_0 GERAL linhas 70–104 e abas 6.Hotel Araçá das duas planilhas)</t>
        </is>
      </c>
      <c r="AA33" t="inlineStr">
        <is>
          <t>—</t>
        </is>
      </c>
      <c r="AD33" t="inlineStr">
        <is>
          <t>o item 01 cobre os lotes 01–12 e 18–22 + nesga; os lotes 15, 16 e 17 são os itens 21, 03 e 22; titularidade dos lotes 13 e 14 a perguntar (pesa na unificação da quadra)</t>
        </is>
      </c>
    </row>
  </sheetData>
  <autoFilter ref="A1:AD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.9" customWidth="1" min="1" max="1"/>
    <col width="60" customWidth="1" min="2" max="2"/>
  </cols>
  <sheetData>
    <row r="1">
      <c r="A1" t="inlineStr">
        <is>
          <t>Situação</t>
        </is>
      </c>
      <c r="B1" t="inlineStr">
        <is>
          <t>Significado</t>
        </is>
      </c>
    </row>
    <row r="2">
      <c r="A2" t="inlineStr">
        <is>
          <t>Concorda</t>
        </is>
      </c>
      <c r="B2" t="inlineStr">
        <is>
          <t>mesmo valor no inventário 2025 e no balanço executado de Rafael</t>
        </is>
      </c>
    </row>
    <row r="3">
      <c r="A3" t="inlineStr">
        <is>
          <t>Discorda</t>
        </is>
      </c>
      <c r="B3" t="inlineStr">
        <is>
          <t>valores diferentes nas duas fontes</t>
        </is>
      </c>
    </row>
    <row r="4">
      <c r="A4" t="inlineStr">
        <is>
          <t>Só 2018</t>
        </is>
      </c>
      <c r="B4" t="inlineStr">
        <is>
          <t>extensão do plano: bem do inventário 2018 sem par em 2025 (destino a documentar, P4)</t>
        </is>
      </c>
    </row>
    <row r="5">
      <c r="A5" t="inlineStr">
        <is>
          <t>Só Rafael</t>
        </is>
      </c>
      <c r="B5" t="inlineStr">
        <is>
          <t>citado só por Rafael, fora do inventário</t>
        </is>
      </c>
    </row>
    <row r="6">
      <c r="A6" t="inlineStr">
        <is>
          <t>Não abordado</t>
        </is>
      </c>
      <c r="B6" t="inlineStr">
        <is>
          <t>achado em outra fonte; nem o grupo nem Rafael avaliam</t>
        </is>
      </c>
    </row>
    <row r="7"/>
    <row r="8">
      <c r="A8" t="inlineStr">
        <is>
          <t>Ref. 2018 / Ref. 2025</t>
        </is>
      </c>
      <c r="B8" t="inlineStr">
        <is>
          <t>número do item e número da tabela no docx (o docx não tem página fixa)</t>
        </is>
      </c>
    </row>
    <row r="9">
      <c r="A9" t="inlineStr">
        <is>
          <t>Direção C0</t>
        </is>
      </c>
      <c r="B9" t="inlineStr">
        <is>
          <t>para onde o critério C0 aponta quando há divergência; não é decisão</t>
        </is>
      </c>
    </row>
    <row r="10">
      <c r="A10" t="inlineStr">
        <is>
          <t>Chave</t>
        </is>
      </c>
      <c r="B10" t="inlineStr">
        <is>
          <t>inscrição imobiliária normalizada (4 grupos) | matrícula | código de imóvel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.3" customWidth="1" min="1" max="1"/>
    <col width="10" customWidth="1" min="2" max="2"/>
    <col width="15.3" customWidth="1" min="3" max="3"/>
    <col width="14.4" customWidth="1" min="4" max="4"/>
    <col width="22.5" customWidth="1" min="5" max="5"/>
    <col width="26.1" customWidth="1" min="6" max="6"/>
    <col width="60" customWidth="1" min="7" max="7"/>
    <col width="60" customWidth="1" min="8" max="8"/>
  </cols>
  <sheetData>
    <row r="1">
      <c r="A1" t="inlineStr">
        <is>
          <t>Componente</t>
        </is>
      </c>
      <c r="B1" t="inlineStr">
        <is>
          <t>Grupo 2018</t>
        </is>
      </c>
      <c r="C1" t="inlineStr">
        <is>
          <t>Grupo 2025 antigo</t>
        </is>
      </c>
      <c r="D1" t="inlineStr">
        <is>
          <t>Grupo 2025 atual</t>
        </is>
      </c>
      <c r="E1" t="inlineStr">
        <is>
          <t>Rafael (derivado da p. 7)</t>
        </is>
      </c>
      <c r="F1" t="inlineStr">
        <is>
          <t>Diferença Rafael − grupo 2025</t>
        </is>
      </c>
      <c r="G1" t="inlineStr">
        <is>
          <t>Base de cálculo</t>
        </is>
      </c>
      <c r="H1" t="inlineStr">
        <is>
          <t>Nota</t>
        </is>
      </c>
    </row>
    <row r="2">
      <c r="A2" t="inlineStr">
        <is>
          <t>1.1 Terreno</t>
        </is>
      </c>
      <c r="B2" s="2" t="n">
        <v>3800000</v>
      </c>
      <c r="C2" s="2" t="n">
        <v>6900000</v>
      </c>
      <c r="D2" s="2" t="n">
        <v>6900000</v>
      </c>
      <c r="E2" s="2" t="n">
        <v>34500000</v>
      </c>
      <c r="F2" s="2" t="n">
        <v>27600000</v>
      </c>
      <c r="G2" t="inlineStr">
        <is>
          <t>grupo 2025: 6.900,00 m², R$ 1.000,00; Rafael: 6.900,00 m² × R$ 5.000,00/m²</t>
        </is>
      </c>
      <c r="H2" t="inlineStr">
        <is>
          <t>2018: 6.900,00 m², R$ 550,72; nesga de 420 m² = 'parte do lote 12' (mat. 33.101), que também conta entre os 13 lotes de 360 m²: conferir a área da matrícula</t>
        </is>
      </c>
    </row>
    <row r="3">
      <c r="A3" t="inlineStr">
        <is>
          <t>1.2 Móveis 36 aptos novos</t>
        </is>
      </c>
      <c r="B3" s="2" t="n">
        <v>1800000</v>
      </c>
      <c r="C3" s="2" t="n">
        <v>1512000</v>
      </c>
      <c r="D3" s="2" t="n">
        <v>1512000</v>
      </c>
      <c r="E3" s="2" t="n"/>
      <c r="F3" s="2" t="n"/>
      <c r="G3" t="inlineStr">
        <is>
          <t>grupo 2025: R$ 42.000,00; Rafael: não avaliado em separado por Rafael (incluído ou omitido nos 66 milhões: a definir)</t>
        </is>
      </c>
      <c r="H3" t="inlineStr">
        <is>
          <t>2018: R$ 50.000,00</t>
        </is>
      </c>
    </row>
    <row r="4">
      <c r="A4" t="inlineStr">
        <is>
          <t>1.3 Móveis 108 aptos</t>
        </is>
      </c>
      <c r="B4" s="2" t="n">
        <v>3024000</v>
      </c>
      <c r="C4" s="2" t="n">
        <v>2592000</v>
      </c>
      <c r="D4" s="2" t="n">
        <v>2592000</v>
      </c>
      <c r="E4" s="2" t="n"/>
      <c r="F4" s="2" t="n"/>
      <c r="G4" t="inlineStr">
        <is>
          <t>grupo 2025: R$ 30.000,00, depreciação 20,00 %; Rafael: não avaliado em separado por Rafael (incluído ou omitido nos 66 milhões: a definir)</t>
        </is>
      </c>
      <c r="H4" t="inlineStr">
        <is>
          <t>2018: R$ 35.000,00</t>
        </is>
      </c>
    </row>
    <row r="5">
      <c r="A5" t="inlineStr">
        <is>
          <t>1.4 Obra civil</t>
        </is>
      </c>
      <c r="B5" s="2" t="n">
        <v>20679264</v>
      </c>
      <c r="C5" s="2" t="n">
        <v>26632368</v>
      </c>
      <c r="D5" s="2" t="n">
        <v>26632368</v>
      </c>
      <c r="E5" s="2" t="n">
        <v>31500000</v>
      </c>
      <c r="F5" s="2" t="n">
        <v>4867632</v>
      </c>
      <c r="G5" t="inlineStr">
        <is>
          <t>grupo 2025: 10.500,00 m², R$ 3.170,52, CUB/DEZEMBRO DE 2022, depreciação 20,00 %; Rafael: 10.500,00 m² × R$ 3.000,00/m² ('depreciação técnica … pelo CUB-RS modificado'); grupo líquido = R$ 2.536,42/m²</t>
        </is>
      </c>
      <c r="H5" t="inlineStr">
        <is>
          <t>2018: 12.000,00 m², R$ 2.154,09, CUB/AGOSTO DE 2017; área construída 12.000 m² em 2018 e 10.500 m² em 2025 (grupo e Rafael): a esclarecer; CUB do grupo é de dez/2022</t>
        </is>
      </c>
    </row>
    <row r="6">
      <c r="A6" t="inlineStr">
        <is>
          <t>1.5 Equipamentos diversos</t>
        </is>
      </c>
      <c r="B6" s="2" t="n">
        <v>6400000</v>
      </c>
      <c r="C6" s="2" t="n">
        <v>6400000</v>
      </c>
      <c r="D6" s="2" t="n">
        <v>6400000</v>
      </c>
      <c r="E6" s="2" t="n"/>
      <c r="F6" s="2" t="n"/>
      <c r="G6" t="inlineStr">
        <is>
          <t>grupo 2025: depreciação 20,00 %; Rafael: não avaliado em separado por Rafael (incluído ou omitido nos 66 milhões: a definir)</t>
        </is>
      </c>
      <c r="H6" t="inlineStr">
        <is>
          <t>inclui o poço com outorga, sem valor próprio</t>
        </is>
      </c>
    </row>
    <row r="7">
      <c r="A7" t="inlineStr">
        <is>
          <t>1.6 Vantagem da coisa feita</t>
        </is>
      </c>
      <c r="B7" s="2" t="n">
        <v>9570979.199999999</v>
      </c>
      <c r="C7" s="2" t="n">
        <v>9284092</v>
      </c>
      <c r="D7" s="2" t="n">
        <v>5570455.2</v>
      </c>
      <c r="E7" s="2" t="n"/>
      <c r="F7" s="2" t="n"/>
      <c r="G7" t="inlineStr">
        <is>
          <t>grupo 2025: 15,00 % sobre R$ 37.136.368,00; Rafael: não avaliado em separado por Rafael (incluído ou omitido nos 66 milhões: a definir)</t>
        </is>
      </c>
      <c r="H7" t="inlineStr">
        <is>
          <t>2018: 30,00 %; base R$ 37.136.368,00 = obra civil depreciada + móveis + equipamentos (não só a obra)</t>
        </is>
      </c>
    </row>
    <row r="8">
      <c r="A8" t="inlineStr">
        <is>
          <t>Total item 01</t>
        </is>
      </c>
      <c r="B8" s="2" t="n">
        <v>45274243.2</v>
      </c>
      <c r="C8" s="2" t="n">
        <v>53320460</v>
      </c>
      <c r="D8" s="2" t="n">
        <v>49606823.2</v>
      </c>
      <c r="E8" s="2" t="n">
        <v>66000000</v>
      </c>
      <c r="F8" s="2" t="n">
        <v>16393176.8</v>
      </c>
      <c r="G8" t="inlineStr">
        <is>
          <t>Rafael: balanço executado p. 17; faixa de mercado R$ 55 a 85 milhões; renda R$ 41,0 a 50,6 milhões (p. 7–8)</t>
        </is>
      </c>
      <c r="H8" t="inlineStr">
        <is>
          <t>decisão no nível do item, não por componente; a aritmética das premissas de renda de Rafael (p. 8–9: 140 quartos, R$ 520, 45%, margem 30%) dá lucro de R$ 3.587.220,00/ano e R$ 34.164.000,00 a 10,5 % e R$ 42.202.588,24 a 8,5 %, não os 41,0 e 50,6 milhões que ele escreve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.4" customWidth="1" min="1" max="1"/>
    <col width="16.2" customWidth="1" min="2" max="2"/>
    <col width="60" customWidth="1" min="3" max="3"/>
  </cols>
  <sheetData>
    <row r="1">
      <c r="A1" t="inlineStr">
        <is>
          <t>Linha</t>
        </is>
      </c>
      <c r="B1" t="inlineStr">
        <is>
          <t>Valor</t>
        </is>
      </c>
      <c r="C1" t="inlineStr">
        <is>
          <t>Fonte / conta</t>
        </is>
      </c>
    </row>
    <row r="2">
      <c r="A2" t="inlineStr">
        <is>
          <t>Total grupo 2025 (22 itens)</t>
        </is>
      </c>
      <c r="B2" s="2" t="n">
        <v>58076823.2</v>
      </c>
      <c r="C2" t="inlineStr">
        <is>
          <t>inventário 2025, TOTAL GERAL</t>
        </is>
      </c>
    </row>
    <row r="3">
      <c r="A3" t="inlineStr">
        <is>
          <t>Soma dos itens de Rafael (22 itens)</t>
        </is>
      </c>
      <c r="B3" s="2" t="n">
        <v>75870000</v>
      </c>
      <c r="C3" t="inlineStr">
        <is>
          <t>PDF Rafael p. 16–20</t>
        </is>
      </c>
    </row>
    <row r="4">
      <c r="A4" t="inlineStr">
        <is>
          <t>Total declarado por Rafael</t>
        </is>
      </c>
      <c r="B4" s="2" t="n">
        <v>76230000</v>
      </c>
      <c r="C4" t="inlineStr">
        <is>
          <t>PDF Rafael p. 20</t>
        </is>
      </c>
    </row>
    <row r="5">
      <c r="A5" t="inlineStr">
        <is>
          <t>Diferença de soma de Rafael (não identificada)</t>
        </is>
      </c>
      <c r="B5" s="2" t="n">
        <v>360000</v>
      </c>
      <c r="C5" t="inlineStr">
        <is>
          <t>total declarado − soma dos itens; igual ao valor de cada um dos itens 03, 04, 05, 06, 07, 08, 09, 10 (R$ 360.000,00); valores de lote de Rafael: 350.000,00, 360.000,00, 380.000,00, 390.000,00, 400.000,00, 2.400.000,00</t>
        </is>
      </c>
    </row>
    <row r="6">
      <c r="A6" t="inlineStr">
        <is>
          <t>1/6 declarado por Rafael</t>
        </is>
      </c>
      <c r="B6" s="2" t="n">
        <v>12705000</v>
      </c>
      <c r="C6" t="inlineStr">
        <is>
          <t>PDF Rafael p. 21</t>
        </is>
      </c>
    </row>
    <row r="7">
      <c r="A7" t="inlineStr">
        <is>
          <t>1/6 pela soma dos itens de Rafael</t>
        </is>
      </c>
      <c r="B7" s="2" t="n">
        <v>12645000</v>
      </c>
      <c r="C7" t="inlineStr">
        <is>
          <t>soma dos itens / 6</t>
        </is>
      </c>
    </row>
    <row r="8">
      <c r="A8" t="inlineStr">
        <is>
          <t>Crédito declarado por Rafael</t>
        </is>
      </c>
      <c r="B8" s="2" t="n">
        <v>10825000</v>
      </c>
      <c r="C8" t="inlineStr">
        <is>
          <t>PDF Rafael p. 21</t>
        </is>
      </c>
    </row>
    <row r="9">
      <c r="A9" t="inlineStr">
        <is>
          <t>Crédito pela soma dos itens de Rafael</t>
        </is>
      </c>
      <c r="B9" s="2" t="n">
        <v>10765000</v>
      </c>
      <c r="C9" t="inlineStr">
        <is>
          <t>1/6 pela soma − lotes escolhidos</t>
        </is>
      </c>
    </row>
    <row r="10">
      <c r="A10" t="inlineStr">
        <is>
          <t>Itens que concordam: valor (20 itens)</t>
        </is>
      </c>
      <c r="B10" s="2" t="n">
        <v>7470000</v>
      </c>
      <c r="C10" t="inlineStr"/>
    </row>
    <row r="11">
      <c r="A11" t="inlineStr">
        <is>
          <t>Itens que discordam: grupo (2 itens)</t>
        </is>
      </c>
      <c r="B11" s="2" t="n">
        <v>50606823.2</v>
      </c>
      <c r="C11" t="inlineStr"/>
    </row>
    <row r="12">
      <c r="A12" t="inlineStr">
        <is>
          <t>Itens que discordam: Rafael</t>
        </is>
      </c>
      <c r="B12" s="2" t="n">
        <v>68400000</v>
      </c>
      <c r="C12" t="inlineStr"/>
    </row>
    <row r="13">
      <c r="A13" t="inlineStr">
        <is>
          <t>Diferença explicada por itens</t>
        </is>
      </c>
      <c r="B13" s="2" t="n">
        <v>17793176.8</v>
      </c>
      <c r="C13" t="inlineStr">
        <is>
          <t>Rafael − grupo nos itens que discordam</t>
        </is>
      </c>
    </row>
    <row r="14">
      <c r="A14" t="inlineStr">
        <is>
          <t>Diferença total Rafael declarado − grupo</t>
        </is>
      </c>
      <c r="B14" s="2" t="n">
        <v>18153176.8</v>
      </c>
      <c r="C14">
        <f> explicada por itens + diferença de soma</f>
        <v/>
      </c>
    </row>
    <row r="15">
      <c r="A15" t="inlineStr">
        <is>
          <t>Total 2018 (19 itens com valor)</t>
        </is>
      </c>
      <c r="B15" s="2" t="n">
        <v>49684243.2</v>
      </c>
      <c r="C15" t="inlineStr">
        <is>
          <t>inventário 2018; o próprio documento ressalva '+ o valor da casa e lote – Élcio Siviero', não somado</t>
        </is>
      </c>
    </row>
    <row r="16">
      <c r="A16" t="inlineStr">
        <is>
          <t>Lista de Rafael (5 itens)</t>
        </is>
      </c>
      <c r="B16" s="2" t="n">
        <v>1880000</v>
      </c>
      <c r="C16" t="inlineStr">
        <is>
          <t>ativos-avaliados-valter.xlsx</t>
        </is>
      </c>
    </row>
    <row r="17">
      <c r="A17" t="inlineStr">
        <is>
          <t>Valores adotados (decisões aprovadas)</t>
        </is>
      </c>
      <c r="B17" s="2" t="n">
        <v>75870000</v>
      </c>
      <c r="C17" t="inlineStr">
        <is>
          <t>22 itens com decisão</t>
        </is>
      </c>
    </row>
    <row r="18">
      <c r="A18" t="inlineStr">
        <is>
          <t>Valores adotados: 1/6</t>
        </is>
      </c>
      <c r="B18" s="2" t="n">
        <v>12645000</v>
      </c>
      <c r="C18" t="inlineStr">
        <is>
          <t>valores adotados / 6</t>
        </is>
      </c>
    </row>
    <row r="19">
      <c r="A19" t="inlineStr">
        <is>
          <t>Decisão sem item: E4</t>
        </is>
      </c>
      <c r="B19" s="2" t="n">
        <v>0</v>
      </c>
      <c r="C19" t="inlineStr">
        <is>
          <t>Diferença não identificada de R$ 360.000,00 no total de Rafael (p. 20): não adotada (opção a). Se aparecer bem correspondente (ex.: lotes 13/14 q37), volta como item.</t>
        </is>
      </c>
    </row>
    <row r="20">
      <c r="A20" t="inlineStr">
        <is>
          <t>Pendência de componente: D6</t>
        </is>
      </c>
      <c r="B20" s="2" t="n"/>
      <c r="C20" t="inlineStr">
        <is>
          <t>Área construída do hotel 12.000 m² (2018) → 10.500 m² (2025): diferença de 1.500 m² sem destino documentado; pergunta G3 (Pacote 3).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.7" customWidth="1" min="3" max="3"/>
    <col width="12.6" customWidth="1" min="4" max="4"/>
    <col width="12.6" customWidth="1" min="5" max="5"/>
    <col width="10" customWidth="1" min="6" max="6"/>
    <col width="10" customWidth="1" min="7" max="7"/>
    <col width="44.1" customWidth="1" min="8" max="8"/>
    <col width="10" customWidth="1" min="9" max="9"/>
    <col width="10" customWidth="1" min="10" max="10"/>
  </cols>
  <sheetData>
    <row r="1">
      <c r="A1" t="inlineStr">
        <is>
          <t>Item 2025</t>
        </is>
      </c>
      <c r="B1" t="inlineStr">
        <is>
          <t>Item 2018</t>
        </is>
      </c>
      <c r="C1" t="inlineStr">
        <is>
          <t>Inscrição (normalizada)</t>
        </is>
      </c>
      <c r="D1" t="inlineStr">
        <is>
          <t>Matrícula 2025</t>
        </is>
      </c>
      <c r="E1" t="inlineStr">
        <is>
          <t>Matrícula 2018</t>
        </is>
      </c>
      <c r="F1" t="inlineStr">
        <is>
          <t>Código 2025</t>
        </is>
      </c>
      <c r="G1" t="inlineStr">
        <is>
          <t>Código 2018</t>
        </is>
      </c>
      <c r="H1" t="inlineStr">
        <is>
          <t>Critério</t>
        </is>
      </c>
      <c r="I1" t="inlineStr">
        <is>
          <t>Valor 2018</t>
        </is>
      </c>
      <c r="J1" t="inlineStr">
        <is>
          <t>Valor 2025</t>
        </is>
      </c>
    </row>
    <row r="2">
      <c r="A2" t="inlineStr">
        <is>
          <t>01</t>
        </is>
      </c>
      <c r="B2" t="inlineStr">
        <is>
          <t>01</t>
        </is>
      </c>
      <c r="D2" t="inlineStr">
        <is>
          <t>12 matrículas</t>
        </is>
      </c>
      <c r="E2" t="inlineStr">
        <is>
          <t>12 matrículas</t>
        </is>
      </c>
      <c r="H2" t="inlineStr">
        <is>
          <t>item 01: as mesmas 12 matrículas nas três versões</t>
        </is>
      </c>
      <c r="I2" t="n">
        <v>45274243.2</v>
      </c>
      <c r="J2" t="n">
        <v>49606823.2</v>
      </c>
    </row>
    <row r="3">
      <c r="A3" t="inlineStr">
        <is>
          <t>02</t>
        </is>
      </c>
      <c r="B3" t="inlineStr">
        <is>
          <t>02</t>
        </is>
      </c>
      <c r="C3" t="inlineStr">
        <is>
          <t>360.0019.003.000</t>
        </is>
      </c>
      <c r="D3" t="inlineStr">
        <is>
          <t>77.832</t>
        </is>
      </c>
      <c r="E3" t="inlineStr">
        <is>
          <t>77.832</t>
        </is>
      </c>
      <c r="F3" t="inlineStr">
        <is>
          <t>038998</t>
        </is>
      </c>
      <c r="G3" t="inlineStr">
        <is>
          <t>038998</t>
        </is>
      </c>
      <c r="H3" t="inlineStr">
        <is>
          <t>inscrição + código + matrícula</t>
        </is>
      </c>
      <c r="I3" t="n">
        <v>250000</v>
      </c>
      <c r="J3" t="n">
        <v>400000</v>
      </c>
    </row>
    <row r="4">
      <c r="A4" t="inlineStr">
        <is>
          <t>03</t>
        </is>
      </c>
      <c r="B4" t="inlineStr">
        <is>
          <t>03</t>
        </is>
      </c>
      <c r="C4" t="inlineStr">
        <is>
          <t>360.0037.016.000</t>
        </is>
      </c>
      <c r="D4" t="inlineStr">
        <is>
          <t>64.782</t>
        </is>
      </c>
      <c r="E4" t="inlineStr">
        <is>
          <t>64.782</t>
        </is>
      </c>
      <c r="F4" t="inlineStr">
        <is>
          <t>039395</t>
        </is>
      </c>
      <c r="G4" t="inlineStr">
        <is>
          <t>039395</t>
        </is>
      </c>
      <c r="H4" t="inlineStr">
        <is>
          <t>inscrição + código + matrícula</t>
        </is>
      </c>
      <c r="I4" t="n">
        <v>180000</v>
      </c>
      <c r="J4" t="n">
        <v>360000</v>
      </c>
    </row>
    <row r="5">
      <c r="A5" t="inlineStr">
        <is>
          <t>04</t>
        </is>
      </c>
      <c r="B5" t="inlineStr">
        <is>
          <t>04</t>
        </is>
      </c>
      <c r="C5" t="inlineStr">
        <is>
          <t>360.0071.023.000</t>
        </is>
      </c>
      <c r="D5" t="inlineStr">
        <is>
          <t>26.373</t>
        </is>
      </c>
      <c r="E5" t="inlineStr">
        <is>
          <t>26.373</t>
        </is>
      </c>
      <c r="F5" t="inlineStr">
        <is>
          <t>039839</t>
        </is>
      </c>
      <c r="G5" t="inlineStr">
        <is>
          <t>039839</t>
        </is>
      </c>
      <c r="H5" t="inlineStr">
        <is>
          <t>inscrição + código + matrícula</t>
        </is>
      </c>
      <c r="I5" t="n">
        <v>180000</v>
      </c>
      <c r="J5" t="n">
        <v>360000</v>
      </c>
    </row>
    <row r="6">
      <c r="A6" t="inlineStr">
        <is>
          <t>05</t>
        </is>
      </c>
      <c r="B6" t="inlineStr">
        <is>
          <t>05</t>
        </is>
      </c>
      <c r="C6" t="inlineStr">
        <is>
          <t>360.0071.024.000</t>
        </is>
      </c>
      <c r="D6" t="inlineStr">
        <is>
          <t>26.374</t>
        </is>
      </c>
      <c r="E6" t="inlineStr">
        <is>
          <t>26.374</t>
        </is>
      </c>
      <c r="F6" t="inlineStr">
        <is>
          <t>039840</t>
        </is>
      </c>
      <c r="G6" t="inlineStr">
        <is>
          <t>039840</t>
        </is>
      </c>
      <c r="H6" t="inlineStr">
        <is>
          <t>inscrição + código + matrícula</t>
        </is>
      </c>
      <c r="I6" t="n">
        <v>180000</v>
      </c>
      <c r="J6" t="n">
        <v>360000</v>
      </c>
    </row>
    <row r="7">
      <c r="A7" t="inlineStr">
        <is>
          <t>06</t>
        </is>
      </c>
      <c r="B7" t="inlineStr">
        <is>
          <t>06</t>
        </is>
      </c>
      <c r="C7" t="inlineStr">
        <is>
          <t>360.0071.025.000</t>
        </is>
      </c>
      <c r="D7" t="inlineStr">
        <is>
          <t>26.375</t>
        </is>
      </c>
      <c r="E7" t="inlineStr">
        <is>
          <t>26.375</t>
        </is>
      </c>
      <c r="F7" t="inlineStr">
        <is>
          <t>039841</t>
        </is>
      </c>
      <c r="G7" t="inlineStr">
        <is>
          <t>039841</t>
        </is>
      </c>
      <c r="H7" t="inlineStr">
        <is>
          <t>inscrição + código + matrícula</t>
        </is>
      </c>
      <c r="I7" t="n">
        <v>180000</v>
      </c>
      <c r="J7" t="n">
        <v>360000</v>
      </c>
    </row>
    <row r="8">
      <c r="A8" t="inlineStr">
        <is>
          <t>07</t>
        </is>
      </c>
      <c r="B8" t="inlineStr">
        <is>
          <t>07</t>
        </is>
      </c>
      <c r="C8" t="inlineStr">
        <is>
          <t>360.0071.026.000</t>
        </is>
      </c>
      <c r="D8" t="inlineStr">
        <is>
          <t>26.376</t>
        </is>
      </c>
      <c r="E8" t="inlineStr">
        <is>
          <t>26.376</t>
        </is>
      </c>
      <c r="F8" t="inlineStr">
        <is>
          <t>039842</t>
        </is>
      </c>
      <c r="G8" t="inlineStr">
        <is>
          <t>039842</t>
        </is>
      </c>
      <c r="H8" t="inlineStr">
        <is>
          <t>inscrição + código + matrícula</t>
        </is>
      </c>
      <c r="I8" t="n">
        <v>180000</v>
      </c>
      <c r="J8" t="n">
        <v>360000</v>
      </c>
    </row>
    <row r="9">
      <c r="A9" t="inlineStr">
        <is>
          <t>08</t>
        </is>
      </c>
      <c r="B9" t="inlineStr">
        <is>
          <t>08</t>
        </is>
      </c>
      <c r="C9" t="inlineStr">
        <is>
          <t>360.0071.027.000</t>
        </is>
      </c>
      <c r="D9" t="inlineStr">
        <is>
          <t>26.377</t>
        </is>
      </c>
      <c r="E9" t="inlineStr">
        <is>
          <t>26.377</t>
        </is>
      </c>
      <c r="F9" t="inlineStr">
        <is>
          <t>039843</t>
        </is>
      </c>
      <c r="G9" t="inlineStr">
        <is>
          <t>039843</t>
        </is>
      </c>
      <c r="H9" t="inlineStr">
        <is>
          <t>inscrição + código + matrícula</t>
        </is>
      </c>
      <c r="I9" t="n">
        <v>180000</v>
      </c>
      <c r="J9" t="n">
        <v>360000</v>
      </c>
    </row>
    <row r="10">
      <c r="A10" t="inlineStr">
        <is>
          <t>09</t>
        </is>
      </c>
      <c r="B10" t="inlineStr">
        <is>
          <t>09</t>
        </is>
      </c>
      <c r="C10" t="inlineStr">
        <is>
          <t>360.0071.028.000</t>
        </is>
      </c>
      <c r="D10" t="inlineStr">
        <is>
          <t>26.378</t>
        </is>
      </c>
      <c r="E10" t="inlineStr">
        <is>
          <t>26.378</t>
        </is>
      </c>
      <c r="F10" t="inlineStr">
        <is>
          <t>039844</t>
        </is>
      </c>
      <c r="G10" t="inlineStr">
        <is>
          <t>039844</t>
        </is>
      </c>
      <c r="H10" t="inlineStr">
        <is>
          <t>inscrição + código + matrícula</t>
        </is>
      </c>
      <c r="I10" t="n">
        <v>180000</v>
      </c>
      <c r="J10" t="n">
        <v>360000</v>
      </c>
    </row>
    <row r="11">
      <c r="A11" t="inlineStr">
        <is>
          <t>10</t>
        </is>
      </c>
      <c r="B11" t="inlineStr">
        <is>
          <t>10</t>
        </is>
      </c>
      <c r="C11" t="inlineStr">
        <is>
          <t>360.0071.029.000</t>
        </is>
      </c>
      <c r="D11" t="inlineStr">
        <is>
          <t>26.379</t>
        </is>
      </c>
      <c r="E11" t="inlineStr">
        <is>
          <t>26.379</t>
        </is>
      </c>
      <c r="F11" t="inlineStr">
        <is>
          <t>039845</t>
        </is>
      </c>
      <c r="G11" t="inlineStr">
        <is>
          <t>039845</t>
        </is>
      </c>
      <c r="H11" t="inlineStr">
        <is>
          <t>inscrição + código + matrícula</t>
        </is>
      </c>
      <c r="I11" t="n">
        <v>180000</v>
      </c>
      <c r="J11" t="n">
        <v>360000</v>
      </c>
    </row>
    <row r="12">
      <c r="A12" t="inlineStr">
        <is>
          <t>11</t>
        </is>
      </c>
      <c r="B12" t="inlineStr">
        <is>
          <t>11</t>
        </is>
      </c>
      <c r="C12" t="inlineStr">
        <is>
          <t>360.0038.009.000</t>
        </is>
      </c>
      <c r="D12" t="inlineStr">
        <is>
          <t>37.846</t>
        </is>
      </c>
      <c r="E12" t="inlineStr">
        <is>
          <t>37.846</t>
        </is>
      </c>
      <c r="F12" t="inlineStr">
        <is>
          <t>039410</t>
        </is>
      </c>
      <c r="G12" t="inlineStr">
        <is>
          <t>039410</t>
        </is>
      </c>
      <c r="H12" t="inlineStr">
        <is>
          <t>inscrição + código + matrícula</t>
        </is>
      </c>
      <c r="I12" t="n">
        <v>220000</v>
      </c>
      <c r="J12" t="n">
        <v>390000</v>
      </c>
    </row>
    <row r="13">
      <c r="A13" t="inlineStr">
        <is>
          <t>12</t>
        </is>
      </c>
      <c r="B13" t="inlineStr">
        <is>
          <t>12</t>
        </is>
      </c>
      <c r="C13" t="inlineStr">
        <is>
          <t>360.0038.010.000</t>
        </is>
      </c>
      <c r="D13" t="inlineStr">
        <is>
          <t>11.990</t>
        </is>
      </c>
      <c r="E13" t="inlineStr">
        <is>
          <t>11.990</t>
        </is>
      </c>
      <c r="F13" t="inlineStr">
        <is>
          <t>039411</t>
        </is>
      </c>
      <c r="G13" t="inlineStr">
        <is>
          <t>039411</t>
        </is>
      </c>
      <c r="H13" t="inlineStr">
        <is>
          <t>inscrição + código + matrícula</t>
        </is>
      </c>
      <c r="I13" t="n">
        <v>220000</v>
      </c>
      <c r="J13" t="n">
        <v>390000</v>
      </c>
    </row>
    <row r="14">
      <c r="A14" t="inlineStr">
        <is>
          <t>13</t>
        </is>
      </c>
      <c r="B14" t="inlineStr">
        <is>
          <t>13</t>
        </is>
      </c>
      <c r="C14" t="inlineStr">
        <is>
          <t>360.0038.011.000</t>
        </is>
      </c>
      <c r="D14" t="inlineStr">
        <is>
          <t>43.389</t>
        </is>
      </c>
      <c r="E14" t="inlineStr">
        <is>
          <t>43.389</t>
        </is>
      </c>
      <c r="F14" t="inlineStr">
        <is>
          <t>039412</t>
        </is>
      </c>
      <c r="G14" t="inlineStr">
        <is>
          <t>039412</t>
        </is>
      </c>
      <c r="H14" t="inlineStr">
        <is>
          <t>inscrição + código + matrícula</t>
        </is>
      </c>
      <c r="I14" t="n">
        <v>220000</v>
      </c>
      <c r="J14" t="n">
        <v>390000</v>
      </c>
    </row>
    <row r="15">
      <c r="A15" t="inlineStr">
        <is>
          <t>14</t>
        </is>
      </c>
      <c r="B15" t="inlineStr">
        <is>
          <t>14</t>
        </is>
      </c>
      <c r="C15" t="inlineStr">
        <is>
          <t>360.0038.012.000</t>
        </is>
      </c>
      <c r="D15" t="inlineStr">
        <is>
          <t>29.803</t>
        </is>
      </c>
      <c r="E15" t="inlineStr">
        <is>
          <t>29.803</t>
        </is>
      </c>
      <c r="F15" t="inlineStr">
        <is>
          <t>039413</t>
        </is>
      </c>
      <c r="G15" t="inlineStr">
        <is>
          <t>039413</t>
        </is>
      </c>
      <c r="H15" t="inlineStr">
        <is>
          <t>inscrição + código + matrícula</t>
        </is>
      </c>
      <c r="I15" t="n">
        <v>220000</v>
      </c>
      <c r="J15" t="n">
        <v>390000</v>
      </c>
    </row>
    <row r="16">
      <c r="A16" t="inlineStr">
        <is>
          <t>15</t>
        </is>
      </c>
      <c r="B16" t="inlineStr">
        <is>
          <t>15</t>
        </is>
      </c>
      <c r="C16" t="inlineStr">
        <is>
          <t>360.0038.013.000</t>
        </is>
      </c>
      <c r="D16" t="inlineStr">
        <is>
          <t>30.294</t>
        </is>
      </c>
      <c r="E16" t="inlineStr">
        <is>
          <t>30.294</t>
        </is>
      </c>
      <c r="F16" t="inlineStr">
        <is>
          <t>039414</t>
        </is>
      </c>
      <c r="G16" t="inlineStr">
        <is>
          <t>039414</t>
        </is>
      </c>
      <c r="H16" t="inlineStr">
        <is>
          <t>inscrição + código + matrícula</t>
        </is>
      </c>
      <c r="I16" t="n">
        <v>220000</v>
      </c>
      <c r="J16" t="n">
        <v>390000</v>
      </c>
    </row>
    <row r="17">
      <c r="A17" t="inlineStr">
        <is>
          <t>16</t>
        </is>
      </c>
      <c r="B17" t="inlineStr">
        <is>
          <t>16</t>
        </is>
      </c>
      <c r="C17" t="inlineStr">
        <is>
          <t>360.0038.014.000</t>
        </is>
      </c>
      <c r="D17" t="inlineStr">
        <is>
          <t>29.802</t>
        </is>
      </c>
      <c r="E17" t="inlineStr">
        <is>
          <t>29.802</t>
        </is>
      </c>
      <c r="F17" t="inlineStr">
        <is>
          <t>039415</t>
        </is>
      </c>
      <c r="G17" t="inlineStr">
        <is>
          <t>039415</t>
        </is>
      </c>
      <c r="H17" t="inlineStr">
        <is>
          <t>inscrição + código + matrícula</t>
        </is>
      </c>
      <c r="I17" t="n">
        <v>220000</v>
      </c>
      <c r="J17" t="n">
        <v>390000</v>
      </c>
    </row>
    <row r="18">
      <c r="A18" t="inlineStr">
        <is>
          <t>17</t>
        </is>
      </c>
      <c r="B18" t="inlineStr">
        <is>
          <t>21</t>
        </is>
      </c>
      <c r="C18" t="inlineStr">
        <is>
          <t>360.0038.015.000</t>
        </is>
      </c>
      <c r="D18" t="inlineStr">
        <is>
          <t>33.003</t>
        </is>
      </c>
      <c r="F18" t="inlineStr">
        <is>
          <t>039416</t>
        </is>
      </c>
      <c r="G18" t="inlineStr">
        <is>
          <t>039416</t>
        </is>
      </c>
      <c r="H18" t="inlineStr">
        <is>
          <t>inscrição + código (2018 sem matrícula)</t>
        </is>
      </c>
      <c r="J18" t="n">
        <v>390000</v>
      </c>
    </row>
    <row r="19">
      <c r="A19" t="inlineStr">
        <is>
          <t>18</t>
        </is>
      </c>
      <c r="B19" t="inlineStr">
        <is>
          <t>17</t>
        </is>
      </c>
      <c r="C19" t="inlineStr">
        <is>
          <t>360.0038.027.000</t>
        </is>
      </c>
      <c r="D19" t="inlineStr">
        <is>
          <t>73.482</t>
        </is>
      </c>
      <c r="E19" t="inlineStr">
        <is>
          <t>73.482</t>
        </is>
      </c>
      <c r="F19" t="inlineStr">
        <is>
          <t>039426</t>
        </is>
      </c>
      <c r="G19" t="inlineStr">
        <is>
          <t>039426</t>
        </is>
      </c>
      <c r="H19" t="inlineStr">
        <is>
          <t>inscrição + código + matrícula</t>
        </is>
      </c>
      <c r="I19" t="n">
        <v>200000</v>
      </c>
      <c r="J19" t="n">
        <v>350000</v>
      </c>
    </row>
    <row r="20">
      <c r="A20" t="inlineStr">
        <is>
          <t>19</t>
        </is>
      </c>
      <c r="B20" t="inlineStr">
        <is>
          <t>18</t>
        </is>
      </c>
      <c r="C20" t="inlineStr">
        <is>
          <t>360.0038.028.000</t>
        </is>
      </c>
      <c r="D20" t="inlineStr">
        <is>
          <t>73.482</t>
        </is>
      </c>
      <c r="E20" t="inlineStr">
        <is>
          <t>73.482</t>
        </is>
      </c>
      <c r="F20" t="inlineStr">
        <is>
          <t>039427</t>
        </is>
      </c>
      <c r="G20" t="inlineStr">
        <is>
          <t>039427</t>
        </is>
      </c>
      <c r="H20" t="inlineStr">
        <is>
          <t>inscrição + código + matrícula</t>
        </is>
      </c>
      <c r="I20" t="n">
        <v>200000</v>
      </c>
      <c r="J20" t="n">
        <v>350000</v>
      </c>
    </row>
    <row r="21">
      <c r="A21" t="inlineStr">
        <is>
          <t>20</t>
        </is>
      </c>
      <c r="B21" t="inlineStr">
        <is>
          <t>19</t>
        </is>
      </c>
      <c r="C21" t="inlineStr">
        <is>
          <t>645.0027.015.000</t>
        </is>
      </c>
      <c r="D21" t="inlineStr">
        <is>
          <t>69.488</t>
        </is>
      </c>
      <c r="E21" t="inlineStr">
        <is>
          <t>69.488</t>
        </is>
      </c>
      <c r="F21" t="inlineStr">
        <is>
          <t>076891</t>
        </is>
      </c>
      <c r="G21" t="inlineStr">
        <is>
          <t>076891</t>
        </is>
      </c>
      <c r="H21" t="inlineStr">
        <is>
          <t>inscrição + código + matrícula</t>
        </is>
      </c>
      <c r="I21" t="n">
        <v>1000000</v>
      </c>
      <c r="J21" t="n">
        <v>1000000</v>
      </c>
    </row>
    <row r="22">
      <c r="A22" t="inlineStr">
        <is>
          <t>21</t>
        </is>
      </c>
      <c r="B22" t="inlineStr"/>
      <c r="C22" t="inlineStr">
        <is>
          <t>360.0037.015.000</t>
        </is>
      </c>
      <c r="D22" t="inlineStr">
        <is>
          <t>86.669</t>
        </is>
      </c>
      <c r="E22" t="inlineStr"/>
      <c r="F22" t="inlineStr">
        <is>
          <t>039394</t>
        </is>
      </c>
      <c r="G22" t="inlineStr"/>
      <c r="H22" t="inlineStr">
        <is>
          <t>sem par</t>
        </is>
      </c>
      <c r="J22" t="n">
        <v>380000</v>
      </c>
    </row>
    <row r="23">
      <c r="A23" t="inlineStr">
        <is>
          <t>22</t>
        </is>
      </c>
      <c r="B23" t="inlineStr"/>
      <c r="C23" t="inlineStr">
        <is>
          <t>360.0037.017.000</t>
        </is>
      </c>
      <c r="D23" t="inlineStr">
        <is>
          <t>124.906</t>
        </is>
      </c>
      <c r="E23" t="inlineStr"/>
      <c r="F23" t="inlineStr">
        <is>
          <t>039396</t>
        </is>
      </c>
      <c r="G23" t="inlineStr"/>
      <c r="H23" t="inlineStr">
        <is>
          <t>sem par</t>
        </is>
      </c>
      <c r="J23" t="n">
        <v>380000</v>
      </c>
    </row>
    <row r="24">
      <c r="A24" t="inlineStr"/>
      <c r="B24" t="inlineStr">
        <is>
          <t>20</t>
        </is>
      </c>
      <c r="C24" t="inlineStr">
        <is>
          <t>360.0019.004.000</t>
        </is>
      </c>
      <c r="D24" t="inlineStr"/>
      <c r="F24" t="inlineStr"/>
      <c r="G24" t="inlineStr">
        <is>
          <t>038999</t>
        </is>
      </c>
      <c r="H24" t="inlineStr">
        <is>
          <t>sem par em 2025</t>
        </is>
      </c>
    </row>
    <row r="25">
      <c r="A25" t="inlineStr"/>
      <c r="B25" t="inlineStr">
        <is>
          <t>22</t>
        </is>
      </c>
      <c r="C25" t="inlineStr">
        <is>
          <t>360.0057.002.000</t>
        </is>
      </c>
      <c r="D25" t="inlineStr"/>
      <c r="F25" t="inlineStr"/>
      <c r="G25" t="inlineStr">
        <is>
          <t>039773</t>
        </is>
      </c>
      <c r="H25" t="inlineStr">
        <is>
          <t>sem par em 2025</t>
        </is>
      </c>
    </row>
    <row r="26">
      <c r="A26" t="inlineStr"/>
      <c r="B26" t="inlineStr">
        <is>
          <t>23</t>
        </is>
      </c>
      <c r="C26" t="inlineStr">
        <is>
          <t>360.0057.001.000</t>
        </is>
      </c>
      <c r="D26" t="inlineStr"/>
      <c r="F26" t="inlineStr"/>
      <c r="G26" t="inlineStr">
        <is>
          <t>039772</t>
        </is>
      </c>
      <c r="H26" t="inlineStr">
        <is>
          <t>sem par em 2025</t>
        </is>
      </c>
    </row>
    <row r="27">
      <c r="A27" t="inlineStr"/>
      <c r="B27" t="inlineStr">
        <is>
          <t>24</t>
        </is>
      </c>
      <c r="C27" t="inlineStr">
        <is>
          <t>360.0074.030.000</t>
        </is>
      </c>
      <c r="D27" t="inlineStr"/>
      <c r="E27" t="inlineStr">
        <is>
          <t>77.833</t>
        </is>
      </c>
      <c r="F27" t="inlineStr"/>
      <c r="G27" t="inlineStr">
        <is>
          <t>039863</t>
        </is>
      </c>
      <c r="H27" t="inlineStr">
        <is>
          <t>sem par em 2025</t>
        </is>
      </c>
    </row>
    <row r="28">
      <c r="A28" t="inlineStr"/>
      <c r="B28" t="inlineStr">
        <is>
          <t>25</t>
        </is>
      </c>
      <c r="C28" t="inlineStr">
        <is>
          <t>360.0074.031.000</t>
        </is>
      </c>
      <c r="D28" t="inlineStr"/>
      <c r="E28" t="inlineStr">
        <is>
          <t>74.857</t>
        </is>
      </c>
      <c r="F28" t="inlineStr"/>
      <c r="G28" t="inlineStr">
        <is>
          <t>039864</t>
        </is>
      </c>
      <c r="H28" t="inlineStr">
        <is>
          <t>sem par em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60" customWidth="1" min="3" max="3"/>
  </cols>
  <sheetData>
    <row r="1">
      <c r="A1" t="inlineStr">
        <is>
          <t>Fonte</t>
        </is>
      </c>
      <c r="B1" t="inlineStr">
        <is>
          <t>nº</t>
        </is>
      </c>
      <c r="C1" t="inlineStr">
        <is>
          <t>Parágrafo</t>
        </is>
      </c>
    </row>
    <row r="2">
      <c r="A2" t="inlineStr">
        <is>
          <t>inventário 2025 atual</t>
        </is>
      </c>
      <c r="B2" t="n">
        <v>1</v>
      </c>
      <c r="C2" t="inlineStr">
        <is>
          <t>OBSERVAÇÕES:</t>
        </is>
      </c>
    </row>
    <row r="3">
      <c r="A3" t="inlineStr">
        <is>
          <t>inventário 2025 atual</t>
        </is>
      </c>
      <c r="B3" t="n">
        <v>2</v>
      </c>
      <c r="C3" t="inlineStr">
        <is>
          <t>É necessário UNIFICAR OS LOTES ONDE ESTÁ CONSTRUÍDO O HOTEL, com mais os lotes que fazem parte do mesmo quarteirão, conforme o interesse e necessidade, para fins de efetuar a averbação da obra – prédio – na Matrícula unificada no Ofício de Registro de Imóveis da Comarca de Capão da Canoa – RS.</t>
        </is>
      </c>
    </row>
    <row r="4">
      <c r="A4" t="inlineStr">
        <is>
          <t>inventário 2025 atual</t>
        </is>
      </c>
      <c r="B4" t="n">
        <v>3</v>
      </c>
      <c r="C4" t="inlineStr">
        <is>
          <t>É necessário APROVAR todos os PROJETOS DO HOTEL (arquitetônico, elétrico, hidrossanitário, etc.), conforme como a obra está executada, junto à Prefeitura Municipal de Capão da Canoa – RS, para a devida obtenção do HABITE-SE.</t>
        </is>
      </c>
    </row>
    <row r="5">
      <c r="A5" t="inlineStr">
        <is>
          <t>inventário 2025 atual</t>
        </is>
      </c>
      <c r="B5" t="n">
        <v>4</v>
      </c>
      <c r="C5" t="inlineStr">
        <is>
          <t>É necessário PAGAR o I.N.S.S. DA OBRA, para fins de efetuar a averbação da obra – prédio – na Matrícula unificada no Ofício de Registro de Imóveis da Comarca de Capão da Canoa – RS.</t>
        </is>
      </c>
    </row>
    <row r="6">
      <c r="A6" t="inlineStr">
        <is>
          <t>inventário 2025 atual</t>
        </is>
      </c>
      <c r="B6" t="n">
        <v>5</v>
      </c>
      <c r="C6" t="inlineStr">
        <is>
          <t>Dos bens imóveis instalados sobre a propriedade da empresa, carecem de regularização:</t>
        </is>
      </c>
    </row>
    <row r="7">
      <c r="A7" t="inlineStr">
        <is>
          <t>inventário 2025 atual</t>
        </is>
      </c>
      <c r="B7" t="n">
        <v>6</v>
      </c>
      <c r="C7" t="inlineStr">
        <is>
          <t>A EDIFICAÇÃO DA PRÉDIO DO HOTEL (04 ANDARES), ÁREA DAS PISCINAS EXTERNAS E SALÃO DE CONVENÇÕES/EVENTOS: APROVAR o PROJETO junto à Prefeitura de Capão da Canoa - RS, pagar o I.N.S.S. resultante sobre a obra – HOTEL E DEPENDÊNCIAS ADJACENTES – para fins de averbação das benfeitorias na Matrícula do Imóvel Unificada, junto o Ofício de Registro de Imóveis da Comarca de Capão da Canoa – RS.</t>
        </is>
      </c>
    </row>
    <row r="8">
      <c r="A8" t="inlineStr">
        <is>
          <t>inventário 2025 atual</t>
        </is>
      </c>
      <c r="B8" t="n">
        <v>7</v>
      </c>
      <c r="C8" t="inlineStr">
        <is>
          <t>Conforme cálculo realizado para projetar o custo do imposto – I.N.S.S. – resulta numa importância de aproximadamente R$ 1.601.357,90 (Hum milhão, seiscentos e um mil, trezentos e cinquenta e sete reais e noventa centavos), afora ainda os custos de: A.P.P.C.I., A.R.T., ENGENHEIRO CIVIL, TAXAS PARA UNIFICAÇÃO DOS LOTES E APROVAÇÕES, EMOLUMENTOS DE REGISTRO, dentre outras despesas afins.</t>
        </is>
      </c>
    </row>
    <row r="9">
      <c r="A9" t="inlineStr">
        <is>
          <t>inventário 2025 atual</t>
        </is>
      </c>
      <c r="B9" t="n">
        <v>8</v>
      </c>
      <c r="C9" t="inlineStr">
        <is>
          <t>O valor real acima apontado não é líquido, à medida que:</t>
        </is>
      </c>
    </row>
    <row r="10">
      <c r="A10" t="inlineStr">
        <is>
          <t>inventário 2025 atual</t>
        </is>
      </c>
      <c r="B10" t="n">
        <v>9</v>
      </c>
      <c r="C10" t="inlineStr">
        <is>
          <t>O valor patrimonial lançado no “ÍTEM 01 DO INVENTÁRIO”, sofrerá redução pela regularização do imóvel, o que se estima numa redução de aproximadamente 4,00% = R$ 2.000.000,00 (DOIS MILHÕES DE REAIS) do valor avalizado do HOTEL ARAÇÁ LTDA., afora os ônus de eventual dissolução da empresa em relação a parte de algum(ns) sócio(s).</t>
        </is>
      </c>
    </row>
    <row r="11">
      <c r="A11" t="inlineStr">
        <is>
          <t>inventário 2025 atual</t>
        </is>
      </c>
      <c r="B11" t="n">
        <v>10</v>
      </c>
      <c r="C11" t="inlineStr">
        <is>
          <t>Há que se ter em mente, que haverá ônus de eventual dissolução da empresa em relação a parte de algum(ns) sócio(s), não podendo serem considerados como líquidos os valores alcançados na avaliação patrimonial.</t>
        </is>
      </c>
    </row>
    <row r="12">
      <c r="A12" t="inlineStr">
        <is>
          <t>inventário 2025 atual</t>
        </is>
      </c>
      <c r="B12" t="n">
        <v>11</v>
      </c>
      <c r="C12" t="inlineStr">
        <is>
          <t>O BALANÇO PATRIMONIAL E CONTÁBIL ESTÁ PRONTO E CONFERIDO, PELA ESCRITA CONTÁBIL NESSA DATA, QUE NÃO CORRESPONDE À REALIDADE FÁTICA DA EMPRESA.</t>
        </is>
      </c>
    </row>
    <row r="13">
      <c r="A13" t="inlineStr">
        <is>
          <t>inventário 2018</t>
        </is>
      </c>
      <c r="B13" t="n">
        <v>1</v>
      </c>
      <c r="C13" t="inlineStr">
        <is>
          <t>OBSERVAÇÕES: É necessário unificar os lotes onde está construído o Hotel, com mais os lotes que fazem parte do mesmo quarteirão, conforme o interesse e necessidade, para fins de efetuar a averbação da obra – prédio – na Matrícula unificada.</t>
        </is>
      </c>
    </row>
    <row r="14">
      <c r="A14" t="inlineStr">
        <is>
          <t>inventário 2018</t>
        </is>
      </c>
      <c r="B14" t="n">
        <v>2</v>
      </c>
      <c r="C14" t="inlineStr">
        <is>
          <t>Falta pagar o INSS da obra para fins do Registro da mesma, na Matrícula do Imóvel unificado, junto o Ofício de Registro der Imóveis da Comarca de Capão da Canoa – RS.</t>
        </is>
      </c>
    </row>
    <row r="15">
      <c r="A15" t="inlineStr">
        <is>
          <t>inventário 11 (SEI) 2025</t>
        </is>
      </c>
      <c r="B15" t="n">
        <v>1</v>
      </c>
      <c r="C15" t="inlineStr">
        <is>
          <t>SOLAR SERRA PLACAS SOLARES – MÁRIO BORDIGNON – A empresa deverá pagar e fazer um acerto pelos serviços prestados e materiais utilizados na instalação e colocação das placas solares no HOTEL ARAÇÁ LTDA., em Capão da Canoa – RS, para atendimento à quitação do valor conforme orçamento, donde o acerto combinado além do valor pago, também a importância de R$ 150.000,00 (Cento e cinquenta mil reais), representados por 01 LOTE URBANO, a escolher em um dos Loteamentos, em Veranópolis, da empresa, para cumprimento ao estabelecido nos acordos firmados dentre as partes.</t>
        </is>
      </c>
    </row>
    <row r="16">
      <c r="A16" t="inlineStr">
        <is>
          <t>doc 25 de 2018 (pagos pelo Hotel a favor de sócio)</t>
        </is>
      </c>
      <c r="B16" t="n">
        <v>1</v>
      </c>
      <c r="C16" t="inlineStr">
        <is>
          <t>Um apartamento adquirido no ano de 2011, localizado no Edifício Contemporâneo, Bairro Centro, na cidade de Veranópolis – RS, sendo pago pela empresa Hotel Araçá Ltda. e Siviero Empreendimentos Imobiliários Ltda. – R$ 680.000,00</t>
        </is>
      </c>
    </row>
    <row r="17">
      <c r="A17" t="inlineStr">
        <is>
          <t>doc 25 de 2018 (pagos pelo Hotel a favor de sócio)</t>
        </is>
      </c>
      <c r="B17" t="n">
        <v>2</v>
      </c>
      <c r="C17" t="inlineStr">
        <is>
          <t>Um apartamento adquirido no ano de 2011, localizado no Edifício Contemporâneo, Bairro Centro, sendo pago pelas empresas: Hotel Araçá Ltda. e Siviero Empreendimentos Imobiliários Ltda. – R$ 400.000,00</t>
        </is>
      </c>
    </row>
    <row r="18">
      <c r="A18" t="inlineStr">
        <is>
          <t>doc1 de 2018 (IPTU, Capão da Canoa)</t>
        </is>
      </c>
      <c r="B18" t="n">
        <v>1</v>
      </c>
      <c r="C18" t="inlineStr">
        <is>
          <t>Raul Siviero | Capão da Canoa | R$ 500,00</t>
        </is>
      </c>
    </row>
    <row r="19">
      <c r="A19" t="inlineStr">
        <is>
          <t>doc3 de 2018 (IPTU, Capão da Canoa)</t>
        </is>
      </c>
      <c r="B19" t="n">
        <v>1</v>
      </c>
      <c r="C19" t="inlineStr">
        <is>
          <t>Irineu Siviero | 360.0058.001.000 | Capão da Canoa | R$ 170,00</t>
        </is>
      </c>
    </row>
    <row r="20">
      <c r="A20" t="inlineStr">
        <is>
          <t>doc3 de 2018 (IPTU, Capão da Canoa)</t>
        </is>
      </c>
      <c r="B20" t="n">
        <v>2</v>
      </c>
      <c r="C20" t="inlineStr">
        <is>
          <t>Irineu Siviero | Circo | Capão da Canoa | R$ 170,00</t>
        </is>
      </c>
    </row>
    <row r="21">
      <c r="A21" t="inlineStr">
        <is>
          <t>doc4 de 2018 (IPTU, Capão da Canoa)</t>
        </is>
      </c>
      <c r="B21" t="n">
        <v>1</v>
      </c>
      <c r="C21" t="inlineStr">
        <is>
          <t>Pedro Siviero | Capão da Canoa | R$ 500,00</t>
        </is>
      </c>
    </row>
    <row r="22">
      <c r="A22" t="inlineStr">
        <is>
          <t>doc5 de 2018 (IPTU, Capão da Canoa)</t>
        </is>
      </c>
      <c r="B22" t="n">
        <v>1</v>
      </c>
      <c r="C22" t="inlineStr">
        <is>
          <t>Jose Valerio Siviero | Capão da Canoa | R$ 500,00</t>
        </is>
      </c>
    </row>
    <row r="23">
      <c r="A23" t="inlineStr">
        <is>
          <t>doc6 de 2018 (IPTU, Capão da Canoa)</t>
        </is>
      </c>
      <c r="B23" t="n">
        <v>1</v>
      </c>
      <c r="C23" t="inlineStr">
        <is>
          <t>Valter Siviero | 360.0019.004.000 | Capão da Canoa | R$ 500,00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2026-10-28T23:31:16Z</dcterms:created>
  <dcterms:modified xmlns:dcterms="http://purl.org/dc/terms/" xmlns:xsi="http://www.w3.org/2001/XMLSchema-instance" xsi:type="dcterms:W3CDTF">2026-10-28T23:31:17Z</dcterms:modified>
</cp:coreProperties>
</file>