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ntes" sheetId="1" state="visible" r:id="rId1"/>
    <sheet xmlns:r="http://schemas.openxmlformats.org/officeDocument/2006/relationships" name="Itens inventários" sheetId="2" state="visible" r:id="rId2"/>
    <sheet xmlns:r="http://schemas.openxmlformats.org/officeDocument/2006/relationships" name="Totais declarados" sheetId="3" state="visible" r:id="rId3"/>
    <sheet xmlns:r="http://schemas.openxmlformats.org/officeDocument/2006/relationships" name="Rafael adotado" sheetId="4" state="visible" r:id="rId4"/>
    <sheet xmlns:r="http://schemas.openxmlformats.org/officeDocument/2006/relationships" name="Rafael itens" sheetId="5" state="visible" r:id="rId5"/>
    <sheet xmlns:r="http://schemas.openxmlformats.org/officeDocument/2006/relationships" name="Rafael quadro-resumo" sheetId="6" state="visible" r:id="rId6"/>
    <sheet xmlns:r="http://schemas.openxmlformats.org/officeDocument/2006/relationships" name="Rafael faixas" sheetId="7" state="visible" r:id="rId7"/>
    <sheet xmlns:r="http://schemas.openxmlformats.org/officeDocument/2006/relationships" name="Pares 2018×2025" sheetId="8" state="visible" r:id="rId8"/>
    <sheet xmlns:r="http://schemas.openxmlformats.org/officeDocument/2006/relationships" name="Planilha Google" sheetId="9" state="visible" r:id="rId9"/>
    <sheet xmlns:r="http://schemas.openxmlformats.org/officeDocument/2006/relationships" name="Notas do autor (planilha)" sheetId="10" state="visible" r:id="rId10"/>
    <sheet xmlns:r="http://schemas.openxmlformats.org/officeDocument/2006/relationships" name="Marcas doc 00" sheetId="11" state="visible" r:id="rId11"/>
    <sheet xmlns:r="http://schemas.openxmlformats.org/officeDocument/2006/relationships" name="Conferência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
  <sheetViews>
    <sheetView workbookViewId="0">
      <pane ySplit="1" topLeftCell="A2" activePane="bottomLeft" state="frozen"/>
      <selection pane="bottomLeft" activeCell="A1" sqref="A1"/>
    </sheetView>
  </sheetViews>
  <sheetFormatPr baseColWidth="8" defaultRowHeight="15"/>
  <sheetData>
    <row r="1">
      <c r="A1" s="1" t="inlineStr">
        <is>
          <t>fonte</t>
        </is>
      </c>
      <c r="B1" s="1" t="inlineStr">
        <is>
          <t>arquivo</t>
        </is>
      </c>
      <c r="C1" s="1" t="inlineStr">
        <is>
          <t>md5 (10)</t>
        </is>
      </c>
    </row>
    <row r="2">
      <c r="A2" t="inlineStr">
        <is>
          <t>2025 atual 01</t>
        </is>
      </c>
      <c r="B2" t="inlineStr">
        <is>
          <t>C:\entrega-cisao-siviero\01_fontes\inventario-2025\01. INVENTÁRIO - 31.12.2024 - ABASTECEDORA DE COMBUSTÍVEIS SIVIERO LTDA..docx</t>
        </is>
      </c>
      <c r="C2" t="inlineStr">
        <is>
          <t>92e48032ae</t>
        </is>
      </c>
    </row>
    <row r="3">
      <c r="A3" t="inlineStr">
        <is>
          <t>2025 atual 08</t>
        </is>
      </c>
      <c r="B3" t="inlineStr">
        <is>
          <t>C:\entrega-cisao-siviero\01_fontes\inventario-2025\08. INVENTÁRIO - 31.12.2024 - TRANSPORTADORA IRMÃOS SIVIERO LTDA..docx</t>
        </is>
      </c>
      <c r="C3" t="inlineStr">
        <is>
          <t>d3882994f6</t>
        </is>
      </c>
    </row>
    <row r="4">
      <c r="A4" t="inlineStr">
        <is>
          <t>2025 atual 00</t>
        </is>
      </c>
      <c r="B4" t="inlineStr">
        <is>
          <t>C:\entrega-cisao-siviero\01_fontes\inventario-2025\00. PLANILHA DO VALOR DO CAPITAL DE CADA EMPRESA - 31.12.2024.docx</t>
        </is>
      </c>
      <c r="C4" t="inlineStr">
        <is>
          <t>a1670b10fe</t>
        </is>
      </c>
    </row>
    <row r="5">
      <c r="A5" t="inlineStr">
        <is>
          <t>2025 atual 11 (SEI)</t>
        </is>
      </c>
      <c r="B5" t="inlineStr">
        <is>
          <t>C:\entrega-cisao-siviero\01_fontes\inventario-2025\11. INVENTÁRIO - 31.12.2024 - SIVIERO EMPREENDIMENTOS IMOBILIÁRIOS LTDA..docx</t>
        </is>
      </c>
      <c r="C5" t="inlineStr">
        <is>
          <t>5c9d13d0d9</t>
        </is>
      </c>
    </row>
    <row r="6">
      <c r="A6" t="inlineStr">
        <is>
          <t>2025 antigo 00</t>
        </is>
      </c>
      <c r="B6" t="inlineStr">
        <is>
          <t>C:\entrega-cisao-siviero\01_fontes\inventario-2025-antigo\ANTIGO 00. PLANILHA DO VALOR DO CAPITAL DE CADA EMPRESA - 31.12.2024.docx</t>
        </is>
      </c>
      <c r="C6" t="inlineStr">
        <is>
          <t>8ed9d82a32</t>
        </is>
      </c>
    </row>
    <row r="7">
      <c r="A7" t="inlineStr">
        <is>
          <t>2025 antigo 01</t>
        </is>
      </c>
      <c r="B7" t="inlineStr">
        <is>
          <t>C:\entrega-cisao-siviero\01_fontes\inventario-2025-antigo\ANTIGO 01. INVENTÁRIO - 31.12.2024 - ABASTECEDORA DE COMBUSTÍVEIS SIVIERO LTDA..docx</t>
        </is>
      </c>
      <c r="C7" t="inlineStr">
        <is>
          <t>65b09c17e1</t>
        </is>
      </c>
    </row>
    <row r="8">
      <c r="A8" t="inlineStr">
        <is>
          <t>2025 antigo 08</t>
        </is>
      </c>
      <c r="B8" t="inlineStr">
        <is>
          <t>C:\entrega-cisao-siviero\01_fontes\inventario-2025-antigo\ANTIGO 08. INVENTÁRIO - 31.12.2024 - TRANSPORTADORA IRMÃOS SIVIERO LTDA..docx</t>
        </is>
      </c>
      <c r="C8" t="inlineStr">
        <is>
          <t>f3c4896281</t>
        </is>
      </c>
    </row>
    <row r="9">
      <c r="A9" t="inlineStr">
        <is>
          <t>2018 doc 12 Abastecedora</t>
        </is>
      </c>
      <c r="B9" t="inlineStr">
        <is>
          <t>G:\Meu Drive\02_Patrimonio_e_Sociedades\Cisao_Siviero\Material Siviero\2018\inventário-2018\12. 1. ABASTECEDORA DE COMBUSTÍVEIS SIVIERO LTDA. = I N V E N T Á R I O = E M P R E S A   D A   S I V I E R O   -   Dezembro de 2018.docx</t>
        </is>
      </c>
      <c r="C9" t="inlineStr">
        <is>
          <t>daa4d92fec</t>
        </is>
      </c>
    </row>
    <row r="10">
      <c r="A10" t="inlineStr">
        <is>
          <t>2018 doc 15 Transportadora</t>
        </is>
      </c>
      <c r="B10" t="inlineStr">
        <is>
          <t>G:\Meu Drive\02_Patrimonio_e_Sociedades\Cisao_Siviero\Material Siviero\2018\inventário-2018\15. 1. TRANSPORTADORA IRMÃOS SIVIERO LTDA. = I N V E N T Á R I O = E M P R E S A   D A   S I V I E R O   -   Dezembro de 2018.docx</t>
        </is>
      </c>
      <c r="C10" t="inlineStr">
        <is>
          <t>19a23a2931</t>
        </is>
      </c>
    </row>
    <row r="11">
      <c r="A11" t="inlineStr">
        <is>
          <t>2018 doc 10 Oficina Mecânica</t>
        </is>
      </c>
      <c r="B11" t="inlineStr">
        <is>
          <t>G:\Meu Drive\02_Patrimonio_e_Sociedades\Cisao_Siviero\Material Siviero\2018\inventário-2018\10. 1. OFICINA MECÂNICA SIVIERO LTDA. = I N V E N T Á R I O = E M P R E S A   D A   S I V I E R O   -   Dezembro de 2018.docx</t>
        </is>
      </c>
      <c r="C11" t="inlineStr">
        <is>
          <t>eec7ef3270</t>
        </is>
      </c>
    </row>
    <row r="12">
      <c r="A12" t="inlineStr">
        <is>
          <t>2018 doc 17 Agropecuária</t>
        </is>
      </c>
      <c r="B12" t="inlineStr">
        <is>
          <t>G:\Meu Drive\02_Patrimonio_e_Sociedades\Cisao_Siviero\Material Siviero\2018\inventário-2018\17. 1. AGROPECUÁRIA FAZENDA SÃO CRISPIN LTDA. = I N V E N T Á R I O = E M P R E S A   D A   S I V I E R O   -   Dezembro de 2018.docx</t>
        </is>
      </c>
      <c r="C12" t="inlineStr">
        <is>
          <t>dc0476f1f7</t>
        </is>
      </c>
    </row>
    <row r="13">
      <c r="A13" t="inlineStr">
        <is>
          <t>2018 doc 27 Resumo</t>
        </is>
      </c>
      <c r="B13" t="inlineStr">
        <is>
          <t>G:\Meu Drive\02_Patrimonio_e_Sociedades\Cisao_Siviero\Material Siviero\2018\inventário-2018\27. 1. PLANILHA DO VALOR DO CAPITAL DE CADA EMPRESA - RESUMO   -   Dezembro de 2018.docx</t>
        </is>
      </c>
      <c r="C13" t="inlineStr">
        <is>
          <t>af5ec6c22e</t>
        </is>
      </c>
    </row>
    <row r="14">
      <c r="A14" t="inlineStr">
        <is>
          <t>Rafael 01</t>
        </is>
      </c>
      <c r="B14" t="inlineStr">
        <is>
          <t>C:\entrega-cisao-siviero\01_fontes\estudo-rafael\ABASTECEDORA DE COMBUSTIVEIS SIVIERO LTDA, BELISE LTDA.pdf</t>
        </is>
      </c>
      <c r="C14" t="inlineStr">
        <is>
          <t>84a05e9b14</t>
        </is>
      </c>
    </row>
    <row r="15">
      <c r="A15" t="inlineStr">
        <is>
          <t>Rafael 08</t>
        </is>
      </c>
      <c r="B15" t="inlineStr">
        <is>
          <t>C:\entrega-cisao-siviero\01_fontes\estudo-rafael\TRANSPORTADORA IRMÃOS SIVIERO LTDA, BELISE LTDA.pdf</t>
        </is>
      </c>
      <c r="C15" t="inlineStr">
        <is>
          <t>b09ef6ee08</t>
        </is>
      </c>
    </row>
    <row r="16">
      <c r="A16" t="inlineStr">
        <is>
          <t>Rafael Diretrizes</t>
        </is>
      </c>
      <c r="B16" t="inlineStr">
        <is>
          <t>C:\entrega-cisao-siviero\01_fontes\estudo-rafael\DIRETRIZES PARA SELEÇÃO DE ATIVOS NA SEPARAÇÃO PATRIMONIAL E SOCIETÁRIA , BENTA E V SIVIERO BELISE LTDA.pdf</t>
        </is>
      </c>
      <c r="C16" t="inlineStr">
        <is>
          <t>aff2b08f2a</t>
        </is>
      </c>
    </row>
    <row r="17">
      <c r="A17" t="inlineStr">
        <is>
          <t>Rafael Introdução</t>
        </is>
      </c>
      <c r="B17" t="inlineStr">
        <is>
          <t>C:\entrega-cisao-siviero\01_fontes\estudo-rafael\INTRODUÇÃO AO ESTUDO DO BALANÇO PATRIMONIAL DO GRUPO SIVIERO - BELISE LTDA.pdf</t>
        </is>
      </c>
      <c r="C17" t="inlineStr">
        <is>
          <t>01a85c04c0</t>
        </is>
      </c>
    </row>
    <row r="18">
      <c r="A18" t="inlineStr">
        <is>
          <t>Lista de Rafael (Valter)</t>
        </is>
      </c>
      <c r="B18" t="inlineStr">
        <is>
          <t>C:\entrega-cisao-siviero\01_fontes\outros\ativos-avaliados-valter.xlsx</t>
        </is>
      </c>
      <c r="C18" t="inlineStr">
        <is>
          <t>935282c1aa</t>
        </is>
      </c>
    </row>
    <row r="19">
      <c r="A19" t="inlineStr">
        <is>
          <t>Planilha Google 2_0</t>
        </is>
      </c>
      <c r="B19" t="inlineStr">
        <is>
          <t>C:\entrega-cisao-siviero\01_fontes\planilhas-google\2_0_Comparativo Patrimonial Siviero 2018 x 2025.xlsx</t>
        </is>
      </c>
      <c r="C19" t="inlineStr">
        <is>
          <t>11a81ef0aa</t>
        </is>
      </c>
    </row>
    <row r="20">
      <c r="A20" t="inlineStr">
        <is>
          <t>Respostas arq. 1</t>
        </is>
      </c>
      <c r="B20" t="inlineStr">
        <is>
          <t>C:\entrega-cisao-siviero\01_fontes\respostas-docs-2026-08-13\1 - grupo siviero - encaminhamento esclarecimentos ao Dr. Pablo - 13.08.2026.pdf</t>
        </is>
      </c>
      <c r="C20" t="inlineStr">
        <is>
          <t>03968eb843</t>
        </is>
      </c>
    </row>
    <row r="21">
      <c r="A21" t="inlineStr">
        <is>
          <t>Respostas arq. 2</t>
        </is>
      </c>
      <c r="B21" t="inlineStr">
        <is>
          <t>C:\entrega-cisao-siviero\01_fontes\respostas-docs-2026-08-13\2 - ABASTECEDORA DE COMBUSTÍVEIS SIVIERO LTDA. - CONTRATO COMPRA DE PRODUTOS E USO DA MARCA PETROBRÁS.pdf</t>
        </is>
      </c>
      <c r="C21" t="inlineStr">
        <is>
          <t>03f8c4559f</t>
        </is>
      </c>
    </row>
    <row r="22">
      <c r="A22" t="inlineStr">
        <is>
          <t>Respostas arq. 3</t>
        </is>
      </c>
      <c r="B22" t="inlineStr">
        <is>
          <t>C:\entrega-cisao-siviero\01_fontes\respostas-docs-2026-08-13\3 - ABASTECEDORA DE COMBUSTÍVEIS SIVIERO LTDA. - CONTRATO DE ANTECIPAÇÃO DE BONIFICAÇÃO PETROBRÁS.pdf</t>
        </is>
      </c>
      <c r="C22" t="inlineStr">
        <is>
          <t>b83ae4ba92</t>
        </is>
      </c>
    </row>
    <row r="23">
      <c r="A23" t="inlineStr">
        <is>
          <t>Respostas arq. 4</t>
        </is>
      </c>
      <c r="B23" t="inlineStr">
        <is>
          <t>C:\entrega-cisao-siviero\01_fontes\respostas-docs-2026-08-13\4 - ABASTECEDORA DE COMBUSTÍVEIS SIVIERO LTDA. - CONTRATO DE LOCAÇÃO SIM ADMINISTRADORA DE IMÓVEIS LTDA..pdf</t>
        </is>
      </c>
      <c r="C23" t="inlineStr">
        <is>
          <t>361f8b3a52</t>
        </is>
      </c>
    </row>
    <row r="24">
      <c r="A24" t="inlineStr">
        <is>
          <t>Respostas arq. 10</t>
        </is>
      </c>
      <c r="B24" t="inlineStr">
        <is>
          <t>C:\entrega-cisao-siviero\01_fontes\respostas-docs-2026-08-13\10 - CONTRATO DE COMPRA E VENDA DE QUOTAS DE CAPITAL - ROVÍLIO SIVIERO.pdf</t>
        </is>
      </c>
      <c r="C24" t="inlineStr">
        <is>
          <t>23d9b1732d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sheetData>
    <row r="1">
      <c r="A1" s="1" t="inlineStr">
        <is>
          <t>Empresa</t>
        </is>
      </c>
      <c r="B1" s="1" t="inlineStr">
        <is>
          <t>Fonte</t>
        </is>
      </c>
      <c r="C1" s="1" t="inlineStr">
        <is>
          <t>Tabela.linha</t>
        </is>
      </c>
      <c r="D1" s="1" t="inlineStr">
        <is>
          <t>Item</t>
        </is>
      </c>
      <c r="E1" s="1" t="inlineStr">
        <is>
          <t>Valor (R$)</t>
        </is>
      </c>
      <c r="F1" s="1" t="inlineStr">
        <is>
          <t>Valor recomposto (R$)</t>
        </is>
      </c>
      <c r="G1" s="1" t="inlineStr">
        <is>
          <t>Texto da célula de valor</t>
        </is>
      </c>
      <c r="H1" s="1" t="inlineStr">
        <is>
          <t>Descrição</t>
        </is>
      </c>
    </row>
    <row r="2">
      <c r="A2" t="inlineStr">
        <is>
          <t>01 Abastecedora</t>
        </is>
      </c>
      <c r="B2" t="inlineStr">
        <is>
          <t>2025 atual 01</t>
        </is>
      </c>
      <c r="C2" t="inlineStr">
        <is>
          <t>T3.R2</t>
        </is>
      </c>
      <c r="D2" t="inlineStr">
        <is>
          <t>01</t>
        </is>
      </c>
      <c r="F2" t="n">
        <v>9661414</v>
      </c>
      <c r="G2" t="inlineStr">
        <is>
          <t>R$</t>
        </is>
      </c>
      <c r="H2" t="inlineStr">
        <is>
          <t>Um imóvel urbano sob Matrícula nº 3.752, com área de 3.450,00m², que compreende um lote urbano e instalação de um Posto de Combustíveis, totalmente equipado e em pleno funcionamento. O contrato com a Companhia Ipiranga está cumprido e com condições de renegociação e/ou renegociação com outra Companhia e/ou também com a possibilidade de exploração direta. Agrega ao valor do Posto, o aluguel da Lancharia/Restaurante. Valor do Terreno e Pavimentação: 3.450,00m² x R$ 2.100,00 = R$ 7.245.000,00 (considerado o valor ao metro quadrado da pavimentação e o valor da área conforme sua localização comercial). Valor do Posto em área construída: 292,85m² x R$ 1.500,00 = R$ 439.275,00 (valor do CUB da construção – agosto de 2017). Valor do Posto em área coberta: 699,55m² x R$ 1.100,00 = R$ 769.505,00 (valor do CUB da construção – agosto de 2017). Valor do Posto com equipamentos, bombas, quadros, tanques, sistema elétrico e licenciamento, etc. = R$ 650.000,00. Valor do Posto em vantagem da coisa feita: 30,00% x R$ 557.634,00.</t>
        </is>
      </c>
    </row>
    <row r="3">
      <c r="A3" t="inlineStr">
        <is>
          <t>08 Transportadora</t>
        </is>
      </c>
      <c r="B3" t="inlineStr">
        <is>
          <t>2025 atual 08</t>
        </is>
      </c>
      <c r="C3" t="inlineStr">
        <is>
          <t>T3.R2</t>
        </is>
      </c>
      <c r="D3" t="inlineStr">
        <is>
          <t>01</t>
        </is>
      </c>
      <c r="E3" t="n">
        <v>8637186</v>
      </c>
      <c r="G3" t="inlineStr">
        <is>
          <t>R$ 8.637.186,00</t>
        </is>
      </c>
      <c r="H3" t="inlineStr">
        <is>
          <t>Um terreno urbano, com a área de 8.700,00m², localizado na Rodovia BR 470, Km 175,4, no Bairro São Pelegrino, devidamente registrado no Ofício de Registro de Imóveis da Comarca de Veranópolis, sob Matrícula nº 3.753, que faz fundos e acesso na lateral com a área da Abastecedora de Combustíveis Siviero Ltda., onde está instalada a OFICINA MECÂNICA = considerado o valor de R$ 992,78, ao metro quadrado.</t>
        </is>
      </c>
    </row>
    <row r="4">
      <c r="A4" t="inlineStr">
        <is>
          <t>08 Transportadora</t>
        </is>
      </c>
      <c r="B4" t="inlineStr">
        <is>
          <t>2025 atual 08</t>
        </is>
      </c>
      <c r="C4" t="inlineStr">
        <is>
          <t>T3.R3</t>
        </is>
      </c>
      <c r="D4" t="inlineStr">
        <is>
          <t>02</t>
        </is>
      </c>
      <c r="E4" t="n">
        <v>1427800</v>
      </c>
      <c r="G4" t="inlineStr">
        <is>
          <t>R$ 1.427.800,00</t>
        </is>
      </c>
      <c r="H4" t="inlineStr">
        <is>
          <t>Um pavilhão novo – em fase FINAL de construção – onde está sendo instalada a OFICINA MECÂNICA, não sendo considerado o valor da construção do mezanino com área construída de 1.298,00m² - valor de R$ 1.100,00, ao metro = R$ 1.427.800,00. Valor do Pavilhão construído – obra civil = 30,00% (Trinta por cento) da obra feita: R$ 0,00 (considerado o valor agregado à coisa feita, como tal se encontra). NÃO FOI CALCULADO – CARECE AINDA DE REGULARIZAÇÃO DA OBRA JUNTO À PREFEITURA MUNICIPAL (APROVAÇÃO DO PROJETO), A.P.P.C.I. E PAGAMENTO DO I.N.S.S. DA OBRA.</t>
        </is>
      </c>
    </row>
    <row r="5">
      <c r="A5" t="inlineStr">
        <is>
          <t>08 Transportadora</t>
        </is>
      </c>
      <c r="B5" t="inlineStr">
        <is>
          <t>2025 atual 08</t>
        </is>
      </c>
      <c r="C5" t="inlineStr">
        <is>
          <t>T3.R4</t>
        </is>
      </c>
      <c r="D5" t="inlineStr">
        <is>
          <t>03</t>
        </is>
      </c>
      <c r="E5" t="n">
        <v>500000</v>
      </c>
      <c r="G5" t="inlineStr">
        <is>
          <t>R$ 500.000,00</t>
        </is>
      </c>
      <c r="H5" t="inlineStr">
        <is>
          <t>Equipamentos em geral, como: macacos, guindastes; ferramentas em geral de todas as espécies e de necessidade para o funcionamento da oficina mecânica, peças, óleos e graxas – todo o estoque existente na oficina, telefone, câmeras de monitoramento, etc.</t>
        </is>
      </c>
    </row>
    <row r="6">
      <c r="A6" t="inlineStr">
        <is>
          <t>08 Transportadora</t>
        </is>
      </c>
      <c r="B6" t="inlineStr">
        <is>
          <t>2025 atual 08</t>
        </is>
      </c>
      <c r="C6" t="inlineStr">
        <is>
          <t>T3.R5</t>
        </is>
      </c>
      <c r="D6" t="inlineStr">
        <is>
          <t>04</t>
        </is>
      </c>
      <c r="E6" t="n">
        <v>300000</v>
      </c>
      <c r="G6" t="inlineStr">
        <is>
          <t>R$ 300.000,00</t>
        </is>
      </c>
      <c r="H6" t="inlineStr">
        <is>
          <t>Uma rampa de lavagem devidamente licenciada para lavagem de caminhões pesados e carros, que pode ser utilizada para fins próprios ou manter locada para terceiros. Os equipamentos são de propriedade da empresa locatária. Valor do Pavilhão construído – obra civil = 30,00% (Trinta por cento) da obra feita: R$ 0,00 (considerado o valor agregado à coisa feita, como tal se encontra). NÃO FOI CALCULADO – CARECE AINDA DE REGULARIZAÇÃO DA OBRA JUNTO À PREFEITURA MUNICIPAL (APROVAÇÃO DO PROJETO), A.P.P.C.I. E PAGAMENTO DO I.N.S.S. DA OBRA.</t>
        </is>
      </c>
    </row>
    <row r="7">
      <c r="A7" t="inlineStr">
        <is>
          <t>08 Transportadora</t>
        </is>
      </c>
      <c r="B7" t="inlineStr">
        <is>
          <t>2025 atual 08</t>
        </is>
      </c>
      <c r="C7" t="inlineStr">
        <is>
          <t>T3.R6</t>
        </is>
      </c>
      <c r="D7" t="inlineStr">
        <is>
          <t>05</t>
        </is>
      </c>
      <c r="E7" t="n">
        <v>220000</v>
      </c>
      <c r="G7" t="inlineStr">
        <is>
          <t>R$ 220.000,00</t>
        </is>
      </c>
      <c r="H7" t="inlineStr">
        <is>
          <t>Uma borracharia, que pode ser utilizada para fins próprios ou manter locada para terceiros. Os equipamentos são de propriedade da empresa locatária. Valor do Pavilhão construído – obra civil = 30,00% (Trinta por cento) da obra feita: R$ 0,00 (considerado o valor agregado à coisa feita, como tal se encontra). NÃO FOI CALCULADO – CARECE AINDA DE REGULARIZAÇÃO DA OBRA JUNTO À PREFEITURA MUNICIPAL (APROVAÇÃO DO PROJETO), A.P.P.C.I. E PAGAMENTO DO I.N.S.S. DA OBRA.</t>
        </is>
      </c>
    </row>
    <row r="8">
      <c r="A8" t="inlineStr">
        <is>
          <t>08 Transportadora</t>
        </is>
      </c>
      <c r="B8" t="inlineStr">
        <is>
          <t>2025 atual 08</t>
        </is>
      </c>
      <c r="C8" t="inlineStr">
        <is>
          <t>T3.R7</t>
        </is>
      </c>
      <c r="D8" t="inlineStr">
        <is>
          <t>06</t>
        </is>
      </c>
      <c r="E8" t="n">
        <v>840000</v>
      </c>
      <c r="G8" t="inlineStr">
        <is>
          <t>R$ 840.000,00</t>
        </is>
      </c>
      <c r="H8" t="inlineStr">
        <is>
          <t>Uma sala comercial, utilizada com o escritório das empresas, localizada na Avenida Pinheiro Machado, nº 710, Sala nº 01, Bairro Centro, no Edifício Luiz Siviero, na cidade de Veranópolis – RS, com área de 243,30m², devidamente registrada no Ofício de Registros de Imóveis da Comarca de Veranópolis – RS, sob Matrícula nº 7.393. CUB ao metro quadrado X R$ 3.236,85 + instalações.</t>
        </is>
      </c>
    </row>
    <row r="9">
      <c r="A9" t="inlineStr">
        <is>
          <t>08 Transportadora</t>
        </is>
      </c>
      <c r="B9" t="inlineStr">
        <is>
          <t>2025 atual 08</t>
        </is>
      </c>
      <c r="C9" t="inlineStr">
        <is>
          <t>T4.R2</t>
        </is>
      </c>
      <c r="D9" t="inlineStr">
        <is>
          <t>07</t>
        </is>
      </c>
      <c r="E9" t="n">
        <v>3500000</v>
      </c>
      <c r="G9" t="inlineStr">
        <is>
          <t>R$ 3.500.000,00</t>
        </is>
      </c>
      <c r="H9" t="inlineStr">
        <is>
          <t>Uma área de terras rurais, denominada de LOTES RURAIS Nº 63, 65, 66 e LETRA “N”, com área total de 69,8 hectares, localizada na Linha Júlio de Castilhos, Capela de São Brás, no Município de Cotiporã – RS, área esta registrada sob Matrículas nº.: 459, 460, 461 e 558. Considerado o valor médio de R$ 50.000,00, ao ha. Matrículas nº 459, 460, 461 e 558 = 69,8 hectares. Cadastrada no CCIR – Receita Federal sob nº 2.898.227-4</t>
        </is>
      </c>
    </row>
    <row r="10">
      <c r="A10" t="inlineStr">
        <is>
          <t>08 Transportadora</t>
        </is>
      </c>
      <c r="B10" t="inlineStr">
        <is>
          <t>2025 atual 08</t>
        </is>
      </c>
      <c r="C10" t="inlineStr">
        <is>
          <t>T4.R3</t>
        </is>
      </c>
      <c r="D10" t="inlineStr">
        <is>
          <t>08</t>
        </is>
      </c>
      <c r="E10" t="n">
        <v>250000</v>
      </c>
      <c r="G10" t="inlineStr">
        <is>
          <t>R$ 250.000,00</t>
        </is>
      </c>
      <c r="H10" t="inlineStr">
        <is>
          <t>Uma área de terras rurais, denominada de Parte do lote Rural nº 63, da Linha Dr. Júlio de Castilhos, com área total de 4,5 hectares, DENTRO DE UM TODO MAIOR, localizada ao lado das terras na Capela de São Brás, no Município de Cotiporã – RS, adquirida do Senhor Tercílio Dal Más, área está registrada sob Registro nº.: 15.922 = 4,5 hectares. Considerado o valor médio de R$ 50.000,00, ao ha. Cadastrada no CCIR – Receita Federal sob nº ......... Adquirida por CONTRATO DE COMPRA E VENDA, datado de 25 setembro de 2008, pelo valor de R$ 50.000,00.</t>
        </is>
      </c>
    </row>
    <row r="11">
      <c r="A11" t="inlineStr">
        <is>
          <t>08 Transportadora</t>
        </is>
      </c>
      <c r="B11" t="inlineStr">
        <is>
          <t>2025 atual 08</t>
        </is>
      </c>
      <c r="C11" t="inlineStr">
        <is>
          <t>T4.R4</t>
        </is>
      </c>
      <c r="D11" t="inlineStr">
        <is>
          <t>09</t>
        </is>
      </c>
      <c r="E11" t="n">
        <v>360000</v>
      </c>
      <c r="G11" t="inlineStr">
        <is>
          <t>R$ 360.000,00</t>
        </is>
      </c>
      <c r="H11" t="inlineStr">
        <is>
          <t>Um apartamento residencial, localizado na Avenida Pinheiro Machado, nº 710, denominado de nº 401, Bairro Centro, no Edifício Luiz Siviero, na cidade de Veranópolis – RS, com área total de 168,91m², área privativa de 127,05m², devidamente registrado no Ofício de Registros de Imóveis da Comarca de Veranópolis – RS, sob Matrícula nº 7.400.</t>
        </is>
      </c>
    </row>
    <row r="12">
      <c r="A12" t="inlineStr">
        <is>
          <t>08 Transportadora</t>
        </is>
      </c>
      <c r="B12" t="inlineStr">
        <is>
          <t>2025 atual 08</t>
        </is>
      </c>
      <c r="C12" t="inlineStr">
        <is>
          <t>T4.R5</t>
        </is>
      </c>
      <c r="D12" t="inlineStr">
        <is>
          <t>10</t>
        </is>
      </c>
      <c r="E12" t="n">
        <v>140000</v>
      </c>
      <c r="G12" t="inlineStr">
        <is>
          <t>R$ 140.000,00</t>
        </is>
      </c>
      <c r="H12" t="inlineStr">
        <is>
          <t>Um veículo caminhão SCANIA = PLACA IKR 2054, ano 2002. Trabalha para a JBS – Thiago Binda.</t>
        </is>
      </c>
    </row>
    <row r="13">
      <c r="A13" t="inlineStr">
        <is>
          <t>08 Transportadora</t>
        </is>
      </c>
      <c r="B13" t="inlineStr">
        <is>
          <t>2025 atual 08</t>
        </is>
      </c>
      <c r="C13" t="inlineStr">
        <is>
          <t>T4.R6</t>
        </is>
      </c>
      <c r="D13" t="inlineStr">
        <is>
          <t>11</t>
        </is>
      </c>
      <c r="E13" t="n">
        <v>30000</v>
      </c>
      <c r="G13" t="inlineStr">
        <is>
          <t>R$ 30.000,00</t>
        </is>
      </c>
      <c r="H13" t="inlineStr">
        <is>
          <t>Uma carreta RANDON = PLACA IQB 0612, ano 2009.</t>
        </is>
      </c>
    </row>
    <row r="14">
      <c r="A14" t="inlineStr">
        <is>
          <t>08 Transportadora</t>
        </is>
      </c>
      <c r="B14" t="inlineStr">
        <is>
          <t>2025 atual 08</t>
        </is>
      </c>
      <c r="C14" t="inlineStr">
        <is>
          <t>T4.R7</t>
        </is>
      </c>
      <c r="D14" t="inlineStr">
        <is>
          <t>12</t>
        </is>
      </c>
      <c r="E14" t="n">
        <v>140000</v>
      </c>
      <c r="G14" t="inlineStr">
        <is>
          <t>R$ 140.000,00</t>
        </is>
      </c>
      <c r="H14" t="inlineStr">
        <is>
          <t>Um veículo caminhão SCANIA = PLACA IJZ 5399, ano 2001. Trabalha para a SEI – prancha.</t>
        </is>
      </c>
    </row>
    <row r="15">
      <c r="A15" t="inlineStr">
        <is>
          <t>08 Transportadora</t>
        </is>
      </c>
      <c r="B15" t="inlineStr">
        <is>
          <t>2025 atual 08</t>
        </is>
      </c>
      <c r="C15" t="inlineStr">
        <is>
          <t>T4.R8</t>
        </is>
      </c>
      <c r="D15" t="inlineStr">
        <is>
          <t>13</t>
        </is>
      </c>
      <c r="E15" t="n">
        <v>30000</v>
      </c>
      <c r="G15" t="inlineStr">
        <is>
          <t>R$ 30.000,00</t>
        </is>
      </c>
      <c r="H15" t="inlineStr">
        <is>
          <t>Uma carreta RANDON = PLACA IJZ 8207, ano 2001.</t>
        </is>
      </c>
    </row>
    <row r="16">
      <c r="A16" t="inlineStr">
        <is>
          <t>01 Abastecedora</t>
        </is>
      </c>
      <c r="B16" t="inlineStr">
        <is>
          <t>2025 antigo 01</t>
        </is>
      </c>
      <c r="C16" t="inlineStr">
        <is>
          <t>T3.R2</t>
        </is>
      </c>
      <c r="D16" t="inlineStr">
        <is>
          <t>01</t>
        </is>
      </c>
      <c r="E16" t="n">
        <v>9661414</v>
      </c>
      <c r="G16" t="inlineStr">
        <is>
          <t>R$ 9.661.414,00</t>
        </is>
      </c>
      <c r="H16" t="inlineStr">
        <is>
          <t>Um imóvel urbano sob Matrícula nº 3.752, com área de 3.450,00m², que compreende um lote urbano e instalação de um Posto de Combustíveis, totalmente equipado e em pleno funcionamento. O contrato com a Companhia Ipiranga está cumprido e com condições de renegociação e/ou renegociação com outra Companhia e/ou também com a possibilidade de exploração direta. Agrega ao valor do Posto, o aluguel da Lancharia/Restaurante. Valor do Terreno e Pavimentação: 3.450,00m² x R$ 2.100,00 = R$ 7.245.000,00 (considerado o valor ao metro quadrado da pavimentação e o valor da área conforme sua localização comercial). Valor do Posto em área construída: 292,85m² x R$ 1.500,00 = R$ 439.275,00 (valor do CUB da construção – agosto de 2017). Valor do Posto em área coberta: 699,55m² x R$ 1.100,00 = R$ 769.505,00 (valor do CUB da construção – agosto de 2017). Valor do Posto com equipamentos, bombas, quadros, tanques, sistema elétrico e licenciamento, etc. = R$ 650.000,00. Valor do Posto em vantagem da coisa feita: 30,00% x R$ 557.634,00.</t>
        </is>
      </c>
    </row>
    <row r="17">
      <c r="A17" t="inlineStr">
        <is>
          <t>08 Transportadora</t>
        </is>
      </c>
      <c r="B17" t="inlineStr">
        <is>
          <t>2025 antigo 08</t>
        </is>
      </c>
      <c r="C17" t="inlineStr">
        <is>
          <t>T3.R2</t>
        </is>
      </c>
      <c r="D17" t="inlineStr">
        <is>
          <t>01</t>
        </is>
      </c>
      <c r="E17" t="n">
        <v>8637186</v>
      </c>
      <c r="G17" t="inlineStr">
        <is>
          <t>R$ 8.637.186,00</t>
        </is>
      </c>
      <c r="H17" t="inlineStr">
        <is>
          <t>Um terreno urbano, com a área de 8.700,00m², localizado na Rodovia BR 470, Km 175,4, no Bairro São Pelegrino, devidamente registrado no Ofício de Registro de Imóveis da Comarca de Veranópolis, sob Matrícula nº 3.753, que faz fundos e acesso na lateral com a área da Abastecedora de Combustíveis Siviero Ltda., onde está instalada a OFICINA MECÂNICA = considerado o valor de R$ 992,78, ao metro quadrado.</t>
        </is>
      </c>
    </row>
    <row r="18">
      <c r="A18" t="inlineStr">
        <is>
          <t>08 Transportadora</t>
        </is>
      </c>
      <c r="B18" t="inlineStr">
        <is>
          <t>2025 antigo 08</t>
        </is>
      </c>
      <c r="C18" t="inlineStr">
        <is>
          <t>T3.R3</t>
        </is>
      </c>
      <c r="D18" t="inlineStr">
        <is>
          <t>02</t>
        </is>
      </c>
      <c r="E18" t="n">
        <v>1427800</v>
      </c>
      <c r="G18" t="inlineStr">
        <is>
          <t>R$ 1.427.800,00</t>
        </is>
      </c>
      <c r="H18" t="inlineStr">
        <is>
          <t>Um pavilhão novo – em fase FINAL de construção – onde está sendo instalada a OFICINA MECÂNICA, não sendo considerado o valor da construção do mezanino com área construída de 1.298,00m² - valor de R$ 1.100,00, ao metro = R$ 1.427.800,00. Valor do Pavilhão construído – obra civil = 30,00% (Trinta por cento) da obra feita: R$ 0,00 (considerado o valor agregado à coisa feita, como tal se encontra). NÃO FOI CALCULADO – CARECE AINDA DE REGULARIZAÇÃO DA OBRA JUNTO À PREFEITURA MUNICIPAL (APROVAÇÃO DO PROJETO), A.P.P.C.I. E PAGAMENTO DO I.N.S.S. DA OBRA.</t>
        </is>
      </c>
    </row>
    <row r="19">
      <c r="A19" t="inlineStr">
        <is>
          <t>08 Transportadora</t>
        </is>
      </c>
      <c r="B19" t="inlineStr">
        <is>
          <t>2025 antigo 08</t>
        </is>
      </c>
      <c r="C19" t="inlineStr">
        <is>
          <t>T3.R4</t>
        </is>
      </c>
      <c r="D19" t="inlineStr">
        <is>
          <t>03</t>
        </is>
      </c>
      <c r="E19" t="n">
        <v>500000</v>
      </c>
      <c r="G19" t="inlineStr">
        <is>
          <t>R$ 500.000,00</t>
        </is>
      </c>
      <c r="H19" t="inlineStr">
        <is>
          <t>Equipamentos em geral, como: macacos, guindastes; ferramentas em geral de todas as espécies e de necessidade para o funcionamento da oficina mecânica, peças, óleos e graxas – todo o estoque existente na oficina, telefone, câmeras de monitoramento, etc.</t>
        </is>
      </c>
    </row>
    <row r="20">
      <c r="A20" t="inlineStr">
        <is>
          <t>08 Transportadora</t>
        </is>
      </c>
      <c r="B20" t="inlineStr">
        <is>
          <t>2025 antigo 08</t>
        </is>
      </c>
      <c r="C20" t="inlineStr">
        <is>
          <t>T3.R5</t>
        </is>
      </c>
      <c r="D20" t="inlineStr">
        <is>
          <t>04</t>
        </is>
      </c>
      <c r="E20" t="n">
        <v>300000</v>
      </c>
      <c r="G20" t="inlineStr">
        <is>
          <t>R$ 300.000,00</t>
        </is>
      </c>
      <c r="H20" t="inlineStr">
        <is>
          <t>Uma rampa de lavagem devidamente licenciada para lavagem de caminhões pesados e carros, que pode ser utilizada para fins próprios ou manter locada para terceiros. Os equipamentos são de propriedade da empresa locatária. Valor do Pavilhão construído – obra civil = 30,00% (Trinta por cento) da obra feita: R$ 0,00 (considerado o valor agregado à coisa feita, como tal se encontra). NÃO FOI CALCULADO – CARECE AINDA DE REGULARIZAÇÃO DA OBRA JUNTO À PREFEITURA MUNICIPAL (APROVAÇÃO DO PROJETO), A.P.P.C.I. E PAGAMENTO DO I.N.S.S. DA OBRA.</t>
        </is>
      </c>
    </row>
    <row r="21">
      <c r="A21" t="inlineStr">
        <is>
          <t>08 Transportadora</t>
        </is>
      </c>
      <c r="B21" t="inlineStr">
        <is>
          <t>2025 antigo 08</t>
        </is>
      </c>
      <c r="C21" t="inlineStr">
        <is>
          <t>T3.R6</t>
        </is>
      </c>
      <c r="D21" t="inlineStr">
        <is>
          <t>05</t>
        </is>
      </c>
      <c r="E21" t="n">
        <v>220000</v>
      </c>
      <c r="G21" t="inlineStr">
        <is>
          <t>R$ 220.000,00</t>
        </is>
      </c>
      <c r="H21" t="inlineStr">
        <is>
          <t>Uma borracharia, que pode ser utilizada para fins próprios ou manter locada para terceiros. Os equipamentos são de propriedade da empresa locatária. Valor do Pavilhão construído – obra civil = 30,00% (Trinta por cento) da obra feita: R$ 0,00 (considerado o valor agregado à coisa feita, como tal se encontra). NÃO FOI CALCULADO – CARECE AINDA DE REGULARIZAÇÃO DA OBRA JUNTO À PREFEITURA MUNICIPAL (APROVAÇÃO DO PROJETO), A.P.P.C.I. E PAGAMENTO DO I.N.S.S. DA OBRA.</t>
        </is>
      </c>
    </row>
    <row r="22">
      <c r="A22" t="inlineStr">
        <is>
          <t>08 Transportadora</t>
        </is>
      </c>
      <c r="B22" t="inlineStr">
        <is>
          <t>2025 antigo 08</t>
        </is>
      </c>
      <c r="C22" t="inlineStr">
        <is>
          <t>T3.R7</t>
        </is>
      </c>
      <c r="D22" t="inlineStr">
        <is>
          <t>06</t>
        </is>
      </c>
      <c r="E22" t="n">
        <v>840000</v>
      </c>
      <c r="G22" t="inlineStr">
        <is>
          <t>R$ 840.000,00</t>
        </is>
      </c>
      <c r="H22" t="inlineStr">
        <is>
          <t>Uma sala comercial, utilizada com o escritório das empresas, localizada na Avenida Pinheiro Machado, nº 710, Sala nº 01, Bairro Centro, no Edifício Luiz Siviero, na cidade de Veranópolis – RS, com área de 243,30m², devidamente registrada no Ofício de Registros de Imóveis da Comarca de Veranópolis – RS, sob Matrícula nº 7.393. CUB ao metro quadrado X R$ 3.236,85 + instalações.</t>
        </is>
      </c>
    </row>
    <row r="23">
      <c r="A23" t="inlineStr">
        <is>
          <t>08 Transportadora</t>
        </is>
      </c>
      <c r="B23" t="inlineStr">
        <is>
          <t>2025 antigo 08</t>
        </is>
      </c>
      <c r="C23" t="inlineStr">
        <is>
          <t>T4.R2</t>
        </is>
      </c>
      <c r="D23" t="inlineStr">
        <is>
          <t>07</t>
        </is>
      </c>
      <c r="E23" t="n">
        <v>3500000</v>
      </c>
      <c r="G23" t="inlineStr">
        <is>
          <t>R$ 3.500.000,00</t>
        </is>
      </c>
      <c r="H23" t="inlineStr">
        <is>
          <t>Uma área de terras rurais, denominada de LOTES RURAIS Nº 63, 65, 66 e LETRA “N”, com área total de 69,8 hectares, localizada na Linha Júlio de Castilhos, Capela de São Brás, no Município de Cotiporã – RS, área esta registrada sob Matrículas nº.: 459, 460, 461 e 558. Considerado o valor médio de R$ 50.000,00, ao ha. Matrículas nº 459, 460, 461 e 558 = 69,8 hectares. Cadastrada no CCIR – Receita Federal sob nº 2.898.227-4</t>
        </is>
      </c>
    </row>
    <row r="24">
      <c r="A24" t="inlineStr">
        <is>
          <t>08 Transportadora</t>
        </is>
      </c>
      <c r="B24" t="inlineStr">
        <is>
          <t>2025 antigo 08</t>
        </is>
      </c>
      <c r="C24" t="inlineStr">
        <is>
          <t>T4.R3</t>
        </is>
      </c>
      <c r="D24" t="inlineStr">
        <is>
          <t>08</t>
        </is>
      </c>
      <c r="E24" t="n">
        <v>250000</v>
      </c>
      <c r="G24" t="inlineStr">
        <is>
          <t>R$ 250.000,00</t>
        </is>
      </c>
      <c r="H24" t="inlineStr">
        <is>
          <t>Uma área de terras rurais, denominada de Parte do lote Rural nº 63, da Linha Dr. Júlio de Castilhos, com área total de 4,5 hectares, DENTRO DE UM TODO MAIOR, localizada ao lado das terras na Capela de São Brás, no Município de Cotiporã – RS, adquirida do Senhor Tercílio Dal Más, área está registrada sob Registro nº.: 15.922 = 4,5 hectares. Considerado o valor médio de R$ 50.000,00, ao ha. Cadastrada no CCIR – Receita Federal sob nº ......... Adquirida por CONTRATO DE COMPRA E VENDA, datado de 25 setembro de 2008, pelo valor de R$ 50.000,00.</t>
        </is>
      </c>
    </row>
    <row r="25">
      <c r="A25" t="inlineStr">
        <is>
          <t>08 Transportadora</t>
        </is>
      </c>
      <c r="B25" t="inlineStr">
        <is>
          <t>2025 antigo 08</t>
        </is>
      </c>
      <c r="C25" t="inlineStr">
        <is>
          <t>T4.R4</t>
        </is>
      </c>
      <c r="D25" t="inlineStr">
        <is>
          <t>09</t>
        </is>
      </c>
      <c r="E25" t="n">
        <v>360000</v>
      </c>
      <c r="G25" t="inlineStr">
        <is>
          <t>R$ 360.000,00</t>
        </is>
      </c>
      <c r="H25" t="inlineStr">
        <is>
          <t>Um apartamento residencial, localizado na Avenida Pinheiro Machado, nº 710, denominado de nº 401, Bairro Centro, no Edifício Luiz Siviero, na cidade de Veranópolis – RS, com área total de 168,91m², área privativa de 127,05m², devidamente registrado no Ofício de Registros de Imóveis da Comarca de Veranópolis – RS, sob Matrícula nº 7.400.</t>
        </is>
      </c>
    </row>
    <row r="26">
      <c r="A26" t="inlineStr">
        <is>
          <t>08 Transportadora</t>
        </is>
      </c>
      <c r="B26" t="inlineStr">
        <is>
          <t>2025 antigo 08</t>
        </is>
      </c>
      <c r="C26" t="inlineStr">
        <is>
          <t>T4.R5</t>
        </is>
      </c>
      <c r="D26" t="inlineStr">
        <is>
          <t>10</t>
        </is>
      </c>
      <c r="E26" t="n">
        <v>140000</v>
      </c>
      <c r="G26" t="inlineStr">
        <is>
          <t>R$ 140.000,00</t>
        </is>
      </c>
      <c r="H26" t="inlineStr">
        <is>
          <t>Um veículo caminhão SCANIA = PLACA IKR 2054, ano 2002. Trabalha para a JBS – Thiago Binda.</t>
        </is>
      </c>
    </row>
    <row r="27">
      <c r="A27" t="inlineStr">
        <is>
          <t>08 Transportadora</t>
        </is>
      </c>
      <c r="B27" t="inlineStr">
        <is>
          <t>2025 antigo 08</t>
        </is>
      </c>
      <c r="C27" t="inlineStr">
        <is>
          <t>T4.R6</t>
        </is>
      </c>
      <c r="D27" t="inlineStr">
        <is>
          <t>11</t>
        </is>
      </c>
      <c r="E27" t="n">
        <v>30000</v>
      </c>
      <c r="G27" t="inlineStr">
        <is>
          <t>R$ 30.000,00</t>
        </is>
      </c>
      <c r="H27" t="inlineStr">
        <is>
          <t>Uma carreta RANDON = PLACA IQB 0612, ano 2009.</t>
        </is>
      </c>
    </row>
    <row r="28">
      <c r="A28" t="inlineStr">
        <is>
          <t>08 Transportadora</t>
        </is>
      </c>
      <c r="B28" t="inlineStr">
        <is>
          <t>2025 antigo 08</t>
        </is>
      </c>
      <c r="C28" t="inlineStr">
        <is>
          <t>T4.R7</t>
        </is>
      </c>
      <c r="D28" t="inlineStr">
        <is>
          <t>12</t>
        </is>
      </c>
      <c r="E28" t="n">
        <v>140000</v>
      </c>
      <c r="G28" t="inlineStr">
        <is>
          <t>R$ 140.000,00</t>
        </is>
      </c>
      <c r="H28" t="inlineStr">
        <is>
          <t>Um veículo caminhão SCANIA = PLACA IJZ 5399, ano 2001. Trabalha para a SEI – prancha.</t>
        </is>
      </c>
    </row>
    <row r="29">
      <c r="A29" t="inlineStr">
        <is>
          <t>08 Transportadora</t>
        </is>
      </c>
      <c r="B29" t="inlineStr">
        <is>
          <t>2025 antigo 08</t>
        </is>
      </c>
      <c r="C29" t="inlineStr">
        <is>
          <t>T4.R8</t>
        </is>
      </c>
      <c r="D29" t="inlineStr">
        <is>
          <t>13</t>
        </is>
      </c>
      <c r="E29" t="n">
        <v>30000</v>
      </c>
      <c r="G29" t="inlineStr">
        <is>
          <t>R$ 30.000,00</t>
        </is>
      </c>
      <c r="H29" t="inlineStr">
        <is>
          <t>Uma carreta RANDON = PLACA IJZ 8207, ano 2001.</t>
        </is>
      </c>
    </row>
    <row r="30">
      <c r="A30" t="inlineStr">
        <is>
          <t>01 Abastecedora</t>
        </is>
      </c>
      <c r="B30" t="inlineStr">
        <is>
          <t>2018 doc 12 Abastecedora</t>
        </is>
      </c>
      <c r="C30" t="inlineStr">
        <is>
          <t>T3.R2</t>
        </is>
      </c>
      <c r="D30" t="inlineStr">
        <is>
          <t>01</t>
        </is>
      </c>
      <c r="E30" t="n">
        <v>12216851.89</v>
      </c>
      <c r="G30" t="inlineStr">
        <is>
          <t>R$ 12.216.851,89</t>
        </is>
      </c>
      <c r="H30" t="inlineStr">
        <is>
          <t>Um imóvel urbano sob Matrícula nº 3.752, com área de 3.450,00m², que compreende um lote urbano e instalação de um Posto de Combustíveis, totalmente equipado e em pleno funcionamento. O contrato com a Companhia Ipiranga está cumprido e com condições de renegociação e/ou renegociação com outra Companhia e/ou também com a possibilidade de exploração direta. Agrega ao valor do Posto, o aluguel da Lancharia/Restaurante. Valor do Terreno e Pavimentação: 3.450,00m² x R$ 2.500,00 = R$ 8.625.000,00 (considerado o valor ao metro quadrado da pavimentação e o valor da área conforme sua localização comercial). Valor do Posto em área construída: 292,85m² x R$ 2.154,09 = R$ 630.825,26 (valor do CUB da construção – agosto de 2017). Valor do Posto em área coberta: 699,55m² x R$ 1.618,38 = R$ 1.132.137,73 (valor do CUB da construção – agosto de 2017). Valor do Posto com equipamentos, bombas, quadros, tanques, sistema elétrico e licenciamento, etc. = R$ 1.000.000,00. Valor do Posto em vantagem da coisa feita: 30,00% x R$ 828.888,90.</t>
        </is>
      </c>
    </row>
    <row r="31">
      <c r="A31" t="inlineStr">
        <is>
          <t>01 Abastecedora</t>
        </is>
      </c>
      <c r="B31" t="inlineStr">
        <is>
          <t>2018 doc 12 Abastecedora</t>
        </is>
      </c>
      <c r="C31" t="inlineStr">
        <is>
          <t>T3.R3</t>
        </is>
      </c>
      <c r="D31" t="inlineStr">
        <is>
          <t>02</t>
        </is>
      </c>
      <c r="E31" t="n">
        <v>145000</v>
      </c>
      <c r="G31" t="inlineStr">
        <is>
          <t>R$ 145.000,00</t>
        </is>
      </c>
      <c r="H31" t="inlineStr">
        <is>
          <t>Um caminhão carro tanque placa: ICW 8342, ano: 1995, modelo: MERCEBES BENZ/L 1618.</t>
        </is>
      </c>
    </row>
    <row r="32">
      <c r="A32" t="inlineStr">
        <is>
          <t>08 Transportadora</t>
        </is>
      </c>
      <c r="B32" t="inlineStr">
        <is>
          <t>2018 doc 15 Transportadora</t>
        </is>
      </c>
      <c r="C32" t="inlineStr">
        <is>
          <t>T3.R2</t>
        </is>
      </c>
      <c r="D32" t="inlineStr">
        <is>
          <t>01</t>
        </is>
      </c>
      <c r="E32" t="n">
        <v>140000</v>
      </c>
      <c r="G32" t="inlineStr">
        <is>
          <t>R$ 140.000,00</t>
        </is>
      </c>
      <c r="H32" t="inlineStr">
        <is>
          <t>Um veículo caminhão SCANIA = PLACA IKR 2054, ano 2002. Trabalha para a JBS – Thiago Binda.</t>
        </is>
      </c>
    </row>
    <row r="33">
      <c r="A33" t="inlineStr">
        <is>
          <t>08 Transportadora</t>
        </is>
      </c>
      <c r="B33" t="inlineStr">
        <is>
          <t>2018 doc 15 Transportadora</t>
        </is>
      </c>
      <c r="C33" t="inlineStr">
        <is>
          <t>T3.R3</t>
        </is>
      </c>
      <c r="D33" t="inlineStr">
        <is>
          <t>02</t>
        </is>
      </c>
      <c r="E33" t="n">
        <v>30000</v>
      </c>
      <c r="G33" t="inlineStr">
        <is>
          <t>R$ 30.000,00</t>
        </is>
      </c>
      <c r="H33" t="inlineStr">
        <is>
          <t>Uma carreta RANDON = PLACA IQB 0612, ano 2009.</t>
        </is>
      </c>
    </row>
    <row r="34">
      <c r="A34" t="inlineStr">
        <is>
          <t>08 Transportadora</t>
        </is>
      </c>
      <c r="B34" t="inlineStr">
        <is>
          <t>2018 doc 15 Transportadora</t>
        </is>
      </c>
      <c r="C34" t="inlineStr">
        <is>
          <t>T3.R4</t>
        </is>
      </c>
      <c r="D34" t="inlineStr">
        <is>
          <t>03</t>
        </is>
      </c>
      <c r="E34" t="n">
        <v>140000</v>
      </c>
      <c r="G34" t="inlineStr">
        <is>
          <t>R$ 140.000,00</t>
        </is>
      </c>
      <c r="H34" t="inlineStr">
        <is>
          <t>Um veículo caminhão SCANIA = PLACA IJZ 5399, ano 2001. Trabalha para a SEI – prancha.</t>
        </is>
      </c>
    </row>
    <row r="35">
      <c r="A35" t="inlineStr">
        <is>
          <t>08 Transportadora</t>
        </is>
      </c>
      <c r="B35" t="inlineStr">
        <is>
          <t>2018 doc 15 Transportadora</t>
        </is>
      </c>
      <c r="C35" t="inlineStr">
        <is>
          <t>T3.R5</t>
        </is>
      </c>
      <c r="D35" t="inlineStr">
        <is>
          <t>04</t>
        </is>
      </c>
      <c r="E35" t="n">
        <v>30000</v>
      </c>
      <c r="G35" t="inlineStr">
        <is>
          <t>R$ 30.000,00</t>
        </is>
      </c>
      <c r="H35" t="inlineStr">
        <is>
          <t>Uma carreta RANDON = PLACA IJZ 8207, ano 2001.</t>
        </is>
      </c>
    </row>
    <row r="36">
      <c r="A36" t="inlineStr">
        <is>
          <t>08 Transportadora</t>
        </is>
      </c>
      <c r="B36" t="inlineStr">
        <is>
          <t>2018 doc 15 Transportadora</t>
        </is>
      </c>
      <c r="C36" t="inlineStr">
        <is>
          <t>T3.R6</t>
        </is>
      </c>
      <c r="D36" t="inlineStr">
        <is>
          <t>05</t>
        </is>
      </c>
      <c r="E36" t="n">
        <v>149000</v>
      </c>
      <c r="G36" t="inlineStr">
        <is>
          <t>R$ 149.000,00</t>
        </is>
      </c>
      <c r="H36" t="inlineStr">
        <is>
          <t>Uma sala comercial, utilizada com o consultório da Fisioterapeuta Araceli Siviero, localizada na Avenida Dr. José Montaury, nº 1678, Sala nº 01, Bairro Palugana, no Edifício Dona Ângela Siviero, na cidade de Veranópolis – RS, com área de 52,91m², devidamente registrada no Ofício de Registros de Imóveis da Comarca de Veranópolis – RS, sob Matrícula nº 18.952. 02 CUB ao metro quadrado X R$ 1.407,45.</t>
        </is>
      </c>
    </row>
    <row r="37">
      <c r="A37" t="inlineStr">
        <is>
          <t>08 Transportadora</t>
        </is>
      </c>
      <c r="B37" t="inlineStr">
        <is>
          <t>2018 doc 15 Transportadora</t>
        </is>
      </c>
      <c r="C37" t="inlineStr">
        <is>
          <t>T3.R7</t>
        </is>
      </c>
      <c r="D37" t="inlineStr">
        <is>
          <t>06</t>
        </is>
      </c>
      <c r="E37" t="n">
        <v>685000</v>
      </c>
      <c r="G37" t="inlineStr">
        <is>
          <t>R$ 685.000,00</t>
        </is>
      </c>
      <c r="H37" t="inlineStr">
        <is>
          <t>Uma sala comercial, utilizada com o escritório das empresas, localizada na Avenida Pinheiro Machado, nº 710, Sala nº 01, Bairro Centro, no Edifício Luiz Siviero, na cidade de Veranópolis – RS, com área de 243,30m², devidamente registrada no Ofício de Registros de Imóveis da Comarca de Veranópolis – RS, sob Matrícula nº 7.393. 02 CUB ao metro quadrado X R$ 1.407,45.</t>
        </is>
      </c>
    </row>
    <row r="38">
      <c r="A38" t="inlineStr">
        <is>
          <t>08 Transportadora</t>
        </is>
      </c>
      <c r="B38" t="inlineStr">
        <is>
          <t>2018 doc 15 Transportadora</t>
        </is>
      </c>
      <c r="C38" t="inlineStr">
        <is>
          <t>T3.R8</t>
        </is>
      </c>
      <c r="D38" t="inlineStr">
        <is>
          <t>07</t>
        </is>
      </c>
      <c r="E38" t="n">
        <v>30000</v>
      </c>
      <c r="G38" t="inlineStr">
        <is>
          <t>R$ 30.000,00</t>
        </is>
      </c>
      <c r="H38" t="inlineStr">
        <is>
          <t>Móveis, materiais diversos (mesas, cadeiras, telefone, etc...), equipamentos de informática e outros equipamentos instalados no Escritório das empresas Siviero, na cidade de Veranópolis – RS, na Avenida Pinheiro Machado, nº 710 – Sala nº 01, Bairro Centro.</t>
        </is>
      </c>
    </row>
    <row r="39">
      <c r="A39" t="inlineStr">
        <is>
          <t>08 Transportadora</t>
        </is>
      </c>
      <c r="B39" t="inlineStr">
        <is>
          <t>2018 doc 15 Transportadora</t>
        </is>
      </c>
      <c r="C39" t="inlineStr">
        <is>
          <t>T3.R9</t>
        </is>
      </c>
      <c r="D39" t="inlineStr">
        <is>
          <t>08</t>
        </is>
      </c>
      <c r="E39" t="n">
        <v>360000</v>
      </c>
      <c r="G39" t="inlineStr">
        <is>
          <t>R$ 360.000,00</t>
        </is>
      </c>
      <c r="H39" t="inlineStr">
        <is>
          <t>Um apartamento residencial, localizado na Avenida Pinheiro Machado, nº 710, denominado de nº 401, Bairro Centro, no Edifício Luiz Siviero, na cidade de Veranópolis – RS, com área total de 168,91m², área privativa de 127,05m², devidamente registrado no Ofício de Registros de Imóveis da Comarca de Veranópolis – RS, sob Matrícula nº 7.400.</t>
        </is>
      </c>
    </row>
    <row r="40">
      <c r="A40" t="inlineStr">
        <is>
          <t>08 Transportadora</t>
        </is>
      </c>
      <c r="B40" t="inlineStr">
        <is>
          <t>2018 doc 15 Transportadora</t>
        </is>
      </c>
      <c r="C40" t="inlineStr">
        <is>
          <t>T4.R2</t>
        </is>
      </c>
      <c r="D40" t="inlineStr">
        <is>
          <t>09</t>
        </is>
      </c>
      <c r="E40" t="n">
        <v>220000</v>
      </c>
      <c r="G40" t="inlineStr">
        <is>
          <t>R$ 220.000,00</t>
        </is>
      </c>
      <c r="H40" t="inlineStr">
        <is>
          <t>Um apartamento residencial, localizado na Avenida Pinheiro Machado, nº 710, denominado de nº 102, Bairro Centro, no Edifício Luiz Siviero, na cidade de Veranópolis – RS, com área total de 125,89m², área privativa de 84,03m², devidamente registrado no Ofício de Registros de Imóveis da Comarca de Veranópolis – RS, sob Matrícula nº 7.395. - Conforme acordo dentre as partes, este imóvel foi doado para a Senhora Geni Siviero Mattiuz, pelos motivos de conhecimento de todos – cuidados dispensados para a Nona Dona Ângela A. B. Siviero.</t>
        </is>
      </c>
    </row>
    <row r="41">
      <c r="A41" t="inlineStr">
        <is>
          <t>Oficina Mecânica (2018)</t>
        </is>
      </c>
      <c r="B41" t="inlineStr">
        <is>
          <t>2018 doc 10 Oficina Mecânica</t>
        </is>
      </c>
      <c r="C41" t="inlineStr">
        <is>
          <t>T3.R2</t>
        </is>
      </c>
      <c r="D41" t="inlineStr">
        <is>
          <t>01</t>
        </is>
      </c>
      <c r="E41" t="n">
        <v>8637186</v>
      </c>
      <c r="G41" t="inlineStr">
        <is>
          <t>R$ 8.637.186,00</t>
        </is>
      </c>
      <c r="H41" t="inlineStr">
        <is>
          <t>Um terreno urbano, com a área de 8.700,00m², localizado na Rodovia BR 470, Km 175,4, no Bairro São Pelegrino, devidamente registrado no Ofício de Registro de Imóveis da Comarca de Veranópolis, sob Matrícula nº 3.753, que faz fundos e acesso na lateral com a área da Abastecedora de Combustíveis Siviero Ltda., onde está instalada a OFICINA MECÂNICA = considerado o valor de R$ 992,78, ao metro quadrado.</t>
        </is>
      </c>
    </row>
    <row r="42">
      <c r="A42" t="inlineStr">
        <is>
          <t>Oficina Mecânica (2018)</t>
        </is>
      </c>
      <c r="B42" t="inlineStr">
        <is>
          <t>2018 doc 10 Oficina Mecânica</t>
        </is>
      </c>
      <c r="C42" t="inlineStr">
        <is>
          <t>T3.R3</t>
        </is>
      </c>
      <c r="D42" t="inlineStr">
        <is>
          <t>02</t>
        </is>
      </c>
      <c r="E42" t="n">
        <v>1259812.84</v>
      </c>
      <c r="G42" t="inlineStr">
        <is>
          <t>R$ 1.259.812,84</t>
        </is>
      </c>
      <c r="H42" t="inlineStr">
        <is>
          <t>Um pavilhão novo – em fase de construção – onde será instalada a OFICINA MECÂNICA, não sendo considerado o valor da construção do mezanino com párea construída de 1.298,00m² - valor de R$ 746,60, ao metro = R$ 969.086,80 Valor do Pavilhão construído – obra civil = 30,00% (Trinta por cento) da obra feita: R$ 290.726,04 (considerado o valor agregado à coisa feita, como tal se encontra).</t>
        </is>
      </c>
    </row>
    <row r="43">
      <c r="A43" t="inlineStr">
        <is>
          <t>Oficina Mecânica (2018)</t>
        </is>
      </c>
      <c r="B43" t="inlineStr">
        <is>
          <t>2018 doc 10 Oficina Mecânica</t>
        </is>
      </c>
      <c r="C43" t="inlineStr">
        <is>
          <t>T3.R4</t>
        </is>
      </c>
      <c r="D43" t="inlineStr">
        <is>
          <t>03</t>
        </is>
      </c>
      <c r="E43" t="n">
        <v>500000</v>
      </c>
      <c r="G43" t="inlineStr">
        <is>
          <t>R$ 500.000,00</t>
        </is>
      </c>
      <c r="H43" t="inlineStr">
        <is>
          <t>Equipamentos em geral, como: macacos, guindastes; ferramentas em geral de todas as espécies e de necessidade para o funcionamento da oficina mecânica, peças, óleos e graxas – todo o estoque existente na oficina, telefone, etc.</t>
        </is>
      </c>
    </row>
    <row r="44">
      <c r="A44" t="inlineStr">
        <is>
          <t>Oficina Mecânica (2018)</t>
        </is>
      </c>
      <c r="B44" t="inlineStr">
        <is>
          <t>2018 doc 10 Oficina Mecânica</t>
        </is>
      </c>
      <c r="C44" t="inlineStr">
        <is>
          <t>T3.R5</t>
        </is>
      </c>
      <c r="D44" t="inlineStr">
        <is>
          <t>04</t>
        </is>
      </c>
      <c r="E44" t="n">
        <v>300000</v>
      </c>
      <c r="G44" t="inlineStr">
        <is>
          <t>R$ 300.000,00</t>
        </is>
      </c>
      <c r="H44" t="inlineStr">
        <is>
          <t>Uma rampa de lavagem devidamente licenciada para lavagem de caminhões pesados e carros, que pode ser utilizada para fins próprios ou manter locada para terceiros. Os equipamentos são de propriedade da empresa locatária.</t>
        </is>
      </c>
    </row>
    <row r="45">
      <c r="A45" t="inlineStr">
        <is>
          <t>Oficina Mecânica (2018)</t>
        </is>
      </c>
      <c r="B45" t="inlineStr">
        <is>
          <t>2018 doc 10 Oficina Mecânica</t>
        </is>
      </c>
      <c r="C45" t="inlineStr">
        <is>
          <t>T3.R6</t>
        </is>
      </c>
      <c r="D45" t="inlineStr">
        <is>
          <t>05</t>
        </is>
      </c>
      <c r="E45" t="n">
        <v>25000</v>
      </c>
      <c r="G45" t="inlineStr">
        <is>
          <t>R$ 25.000,00</t>
        </is>
      </c>
      <c r="H45" t="inlineStr">
        <is>
          <t>Uma borracharia, que pode ser utilizada para fins próprios ou manter locada para terceiros. Os equipamentos são de propriedade da empresa locatária.</t>
        </is>
      </c>
    </row>
    <row r="46">
      <c r="A46" t="inlineStr">
        <is>
          <t>Oficina Mecânica (2018)</t>
        </is>
      </c>
      <c r="B46" t="inlineStr">
        <is>
          <t>2018 doc 10 Oficina Mecânica</t>
        </is>
      </c>
      <c r="C46" t="inlineStr">
        <is>
          <t>T3.R7</t>
        </is>
      </c>
      <c r="D46" t="inlineStr">
        <is>
          <t>06</t>
        </is>
      </c>
      <c r="E46" t="n">
        <v>4950000</v>
      </c>
      <c r="G46" t="inlineStr">
        <is>
          <t>R$ 4.950.000,00</t>
        </is>
      </c>
      <c r="H46" t="inlineStr">
        <is>
          <t>Um terreno urbano, com a área de 4.986,00m², localizado na Rodovia BR 470, Km 175,4, no Bairro São Pelegrino, devidamente registrado no Ofício de Registro de Imóveis da Comarca de Veranópolis, sob Matrícula nº 3.754, localizado na lateral da Abastecedora de Combustíveis Siviero Ltda., onde estava instalada a SERRARIA, considerado o valor de R$ 992,78, ao metro quadrado, conforme sua localização e referência comercial.</t>
        </is>
      </c>
    </row>
    <row r="47">
      <c r="A47" t="inlineStr">
        <is>
          <t>Oficina Mecânica (2018)</t>
        </is>
      </c>
      <c r="B47" t="inlineStr">
        <is>
          <t>2018 doc 10 Oficina Mecânica</t>
        </is>
      </c>
      <c r="C47" t="inlineStr">
        <is>
          <t>T3.R8</t>
        </is>
      </c>
      <c r="D47" t="inlineStr">
        <is>
          <t>07</t>
        </is>
      </c>
      <c r="E47" t="n">
        <v>13631378.6</v>
      </c>
      <c r="G47" t="inlineStr">
        <is>
          <t>R$ 13.631.378,60</t>
        </is>
      </c>
      <c r="H47" t="inlineStr">
        <is>
          <t>Um terreno urbano, com a área de 1.942,03m², localizado na Rodovia BR 470, Km 175,4, no Bairro Valverde, devidamente registrado no Ofício de Registro de Imóveis da Comarca de Veranópolis, sob a Matrícula nº 17.409, localizado ao lado da empresa Oleoplan S/A, considerado o valor de R$ 2.000,00, ao metro quadrado, conforme sua localização e referência comercial = R$ 3.884.060,00. Um terreno urbano, com a área de 2.850,00m², localizado na Rodovia BR 470, Km 175,4, no Bairro Valverde, devidamente registrado no Ofício de Registro de Imóveis da Comarca de Veranópolis, sob a Matrícula nº 6.136, localizado ao lado da empresa Oleoplan S/A, considerado o valor de R$ 2.000,00, ao metro quadrado, conforme sua localização e referência comercial = R$ 5.700.000,00. Sob estes imóveis estão construídos os PAVILHÕES, com área total construída de 4.170,00m², atualmente locados para a empresa Oleoplan S/A, avaliado conforme o CUB da construção civil referente ao mês de AGOSTO/2017 = R$ 746,60, ao metro quadrado = R$ 3.113.322,00. Valor dos Pavilhões construídos – obra civil = 30,00% (Trinta por cento) da obra feita: R$ 933.996,60 (considerado o valor agregado à coisa feita, como tal se encontra).</t>
        </is>
      </c>
    </row>
    <row r="48">
      <c r="A48" t="inlineStr">
        <is>
          <t>02 Agropecuária (2018)</t>
        </is>
      </c>
      <c r="B48" t="inlineStr">
        <is>
          <t>2018 doc 17 Agropecuária</t>
        </is>
      </c>
      <c r="C48" t="inlineStr">
        <is>
          <t>T5.R2</t>
        </is>
      </c>
      <c r="D48" t="inlineStr">
        <is>
          <t>07</t>
        </is>
      </c>
      <c r="G48" t="inlineStr">
        <is>
          <t>R$ NÃO DIVISÍVEL</t>
        </is>
      </c>
      <c r="H48" t="inlineStr">
        <is>
          <t>Uma área de terras rurais, denominada de LOTES RURAIS Nº 63, 65, 66 e LETRA “N”, com área total de 69,8 hectares, localizada na Linha Júlio de Castilhos, Capela de São Brás, no Município de Cotiporã – RS, área esta registrada sob Matrículas nº.: 459, 460, 461 e 558. Matrículas nº 459, 460, 461 e 558 = 69,8 hectares. Cadastrada no CCIR – Receita Federal sob nº 2.898.227-4</t>
        </is>
      </c>
    </row>
    <row r="49">
      <c r="A49" t="inlineStr">
        <is>
          <t>02 Agropecuária (2018)</t>
        </is>
      </c>
      <c r="B49" t="inlineStr">
        <is>
          <t>2018 doc 17 Agropecuária</t>
        </is>
      </c>
      <c r="C49" t="inlineStr">
        <is>
          <t>T5.R3</t>
        </is>
      </c>
      <c r="D49" t="inlineStr">
        <is>
          <t>08</t>
        </is>
      </c>
      <c r="G49" t="inlineStr">
        <is>
          <t>R$ NÃO DIVISÍVEL</t>
        </is>
      </c>
      <c r="H49" t="inlineStr">
        <is>
          <t>Uma área de terras rurais, denominada de Parte do lote Rural nº 63, da Linha Dr. Júlio de Castilhos, com área total de 4,5 hectares, DENTRO DE UM TODO MAIOR, localizada ao lado das terras na Capela de São Brás, no Município de Cotiporã – RS, adquirida do Senhor Tercílio Dal Más, área esta registrada sob Registro nº.: 15.922 = 4,5 hectares. Cadastrada no CCIR – Receita Federal sob nº ......... Adquirida por CONTRATO DE COMPRA E VENDA, datado de 25 setembro de 2008, pelo valor de R$ 50.000,00.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sheetData>
    <row r="1">
      <c r="A1" s="1" t="inlineStr">
        <is>
          <t>Fonte</t>
        </is>
      </c>
      <c r="B1" s="1" t="inlineStr">
        <is>
          <t>Tabela.linha</t>
        </is>
      </c>
      <c r="C1" s="1" t="inlineStr">
        <is>
          <t>Rótulo</t>
        </is>
      </c>
      <c r="D1" s="1" t="inlineStr">
        <is>
          <t>Valores na linha de total (R$)</t>
        </is>
      </c>
    </row>
    <row r="2">
      <c r="A2" t="inlineStr">
        <is>
          <t>2025 atual 01</t>
        </is>
      </c>
      <c r="B2" t="inlineStr">
        <is>
          <t>T3.R3</t>
        </is>
      </c>
      <c r="C2" t="inlineStr">
        <is>
          <t>TOTAL GERAL DA EMPRESA</t>
        </is>
      </c>
      <c r="D2" t="inlineStr">
        <is>
          <t>9.661.414,00</t>
        </is>
      </c>
    </row>
    <row r="3">
      <c r="A3" t="inlineStr">
        <is>
          <t>2025 atual 08</t>
        </is>
      </c>
      <c r="B3" t="inlineStr">
        <is>
          <t>T4.R9</t>
        </is>
      </c>
      <c r="C3" t="inlineStr">
        <is>
          <t>TOTAL GERAL DA EMPRESA</t>
        </is>
      </c>
      <c r="D3" t="inlineStr">
        <is>
          <t>16.374.986,00</t>
        </is>
      </c>
    </row>
    <row r="4">
      <c r="A4" t="inlineStr">
        <is>
          <t>2025 antigo 01</t>
        </is>
      </c>
      <c r="B4" t="inlineStr">
        <is>
          <t>T3.R3</t>
        </is>
      </c>
      <c r="C4" t="inlineStr">
        <is>
          <t>TOTAL GERAL DA EMPRESA</t>
        </is>
      </c>
      <c r="D4" t="inlineStr">
        <is>
          <t>9.661.414,00</t>
        </is>
      </c>
    </row>
    <row r="5">
      <c r="A5" t="inlineStr">
        <is>
          <t>2025 antigo 08</t>
        </is>
      </c>
      <c r="B5" t="inlineStr">
        <is>
          <t>T4.R9</t>
        </is>
      </c>
      <c r="C5" t="inlineStr">
        <is>
          <t>TOTAL GERAL DA EMPRESA</t>
        </is>
      </c>
      <c r="D5" t="inlineStr">
        <is>
          <t>16.374.986,00</t>
        </is>
      </c>
    </row>
    <row r="6">
      <c r="A6" t="inlineStr">
        <is>
          <t>2018 doc 12 Abastecedora</t>
        </is>
      </c>
      <c r="B6" t="inlineStr">
        <is>
          <t>T3.R4</t>
        </is>
      </c>
      <c r="C6" t="inlineStr">
        <is>
          <t>TOTAL GERAL DA EMPRESA</t>
        </is>
      </c>
      <c r="D6" t="inlineStr">
        <is>
          <t>12.361.851,89</t>
        </is>
      </c>
    </row>
    <row r="7">
      <c r="A7" t="inlineStr">
        <is>
          <t>2018 doc 15 Transportadora</t>
        </is>
      </c>
      <c r="B7" t="inlineStr">
        <is>
          <t>T4.R3</t>
        </is>
      </c>
      <c r="C7" t="inlineStr">
        <is>
          <t>TOTAL GERAL DA EMPRESA</t>
        </is>
      </c>
      <c r="D7" t="inlineStr">
        <is>
          <t>1.784.000,00 | 220.000,00 | 1.564.000,00</t>
        </is>
      </c>
    </row>
    <row r="8">
      <c r="A8" t="inlineStr">
        <is>
          <t>2018 doc 10 Oficina Mecânica</t>
        </is>
      </c>
      <c r="B8" t="inlineStr">
        <is>
          <t>T3.R9</t>
        </is>
      </c>
      <c r="C8" t="inlineStr">
        <is>
          <t>TOTAL GERAL DA EMPRESA</t>
        </is>
      </c>
      <c r="D8" t="inlineStr">
        <is>
          <t>29.303.377,44</t>
        </is>
      </c>
    </row>
    <row r="9">
      <c r="A9" t="inlineStr">
        <is>
          <t>2018 doc 17 Agropecuária</t>
        </is>
      </c>
      <c r="B9" t="inlineStr">
        <is>
          <t>T5.R6</t>
        </is>
      </c>
      <c r="C9" t="inlineStr">
        <is>
          <t>TOTAL GERAL DA EMPRESA</t>
        </is>
      </c>
      <c r="D9" t="inlineStr">
        <is>
          <t>24.112.390,00</t>
        </is>
      </c>
    </row>
    <row r="10">
      <c r="A10" t="inlineStr">
        <is>
          <t>2018 doc 17 Agropecuária</t>
        </is>
      </c>
      <c r="B10" t="inlineStr">
        <is>
          <t>T7.R3</t>
        </is>
      </c>
      <c r="C10" t="inlineStr">
        <is>
          <t>TOTAL LÍQUIDO DA EMPRESA</t>
        </is>
      </c>
      <c r="D10" t="inlineStr">
        <is>
          <t>12.054.390,00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5"/>
  <sheetViews>
    <sheetView workbookViewId="0">
      <pane ySplit="1" topLeftCell="A2" activePane="bottomLeft" state="frozen"/>
      <selection pane="bottomLeft" activeCell="A1" sqref="A1"/>
    </sheetView>
  </sheetViews>
  <sheetFormatPr baseColWidth="8" defaultRowHeight="15"/>
  <sheetData>
    <row r="1">
      <c r="A1" s="1" t="inlineStr">
        <is>
          <t>Empresa</t>
        </is>
      </c>
      <c r="B1" s="1" t="inlineStr">
        <is>
          <t>Item</t>
        </is>
      </c>
      <c r="C1" s="1" t="inlineStr">
        <is>
          <t>Grupo 2025 (R$)</t>
        </is>
      </c>
      <c r="D1" s="1" t="inlineStr">
        <is>
          <t>Rafael: balanço do grupo transcrito (R$)</t>
        </is>
      </c>
      <c r="E1" s="1" t="inlineStr">
        <is>
          <t>p.</t>
        </is>
      </c>
      <c r="F1" s="1" t="inlineStr">
        <is>
          <t>Rafael: seção 'avaliação' (R$)</t>
        </is>
      </c>
      <c r="G1" s="1" t="inlineStr">
        <is>
          <t>p.</t>
        </is>
      </c>
      <c r="H1" s="1" t="inlineStr">
        <is>
          <t>Rafael: declaração (R$)</t>
        </is>
      </c>
      <c r="I1" s="1" t="inlineStr">
        <is>
          <t>p.</t>
        </is>
      </c>
      <c r="J1" s="1" t="inlineStr">
        <is>
          <t>Rafael: valor adotado, balanço executado por Valter (R$)</t>
        </is>
      </c>
      <c r="K1" s="1" t="inlineStr">
        <is>
          <t>p.</t>
        </is>
      </c>
      <c r="L1" s="1" t="inlineStr">
        <is>
          <t>Diferença adotado − grupo (R$)</t>
        </is>
      </c>
    </row>
    <row r="2">
      <c r="A2" t="inlineStr">
        <is>
          <t>01 Abastecedora</t>
        </is>
      </c>
      <c r="B2" t="inlineStr">
        <is>
          <t>01</t>
        </is>
      </c>
      <c r="C2" t="n">
        <v>9661414</v>
      </c>
      <c r="D2" t="n">
        <v>9661414</v>
      </c>
      <c r="E2" t="n">
        <v>1</v>
      </c>
      <c r="J2" t="n">
        <v>12361850</v>
      </c>
      <c r="K2" t="n">
        <v>3</v>
      </c>
      <c r="L2" t="n">
        <v>2700436</v>
      </c>
    </row>
    <row r="3">
      <c r="A3" t="inlineStr">
        <is>
          <t>08 Transportadora</t>
        </is>
      </c>
      <c r="B3" t="inlineStr">
        <is>
          <t>01</t>
        </is>
      </c>
      <c r="C3" t="n">
        <v>8637186</v>
      </c>
      <c r="D3" t="n">
        <v>8637186</v>
      </c>
      <c r="E3" t="n">
        <v>1</v>
      </c>
      <c r="F3" t="n">
        <v>8637186</v>
      </c>
      <c r="G3" t="n">
        <v>4</v>
      </c>
      <c r="J3" t="n">
        <v>8637186</v>
      </c>
      <c r="K3" t="n">
        <v>13</v>
      </c>
      <c r="L3" t="n">
        <v>0</v>
      </c>
    </row>
    <row r="4">
      <c r="A4" t="inlineStr">
        <is>
          <t>08 Transportadora</t>
        </is>
      </c>
      <c r="B4" t="inlineStr">
        <is>
          <t>02</t>
        </is>
      </c>
      <c r="C4" t="n">
        <v>1427800</v>
      </c>
      <c r="D4" t="n">
        <v>1427800</v>
      </c>
      <c r="E4" t="n">
        <v>1</v>
      </c>
      <c r="F4" t="n">
        <v>1427800</v>
      </c>
      <c r="G4" t="n">
        <v>5</v>
      </c>
      <c r="J4" t="n">
        <v>1427800</v>
      </c>
      <c r="K4" t="n">
        <v>13</v>
      </c>
      <c r="L4" t="n">
        <v>0</v>
      </c>
    </row>
    <row r="5">
      <c r="A5" t="inlineStr">
        <is>
          <t>08 Transportadora</t>
        </is>
      </c>
      <c r="B5" t="inlineStr">
        <is>
          <t>03</t>
        </is>
      </c>
      <c r="C5" t="n">
        <v>500000</v>
      </c>
      <c r="D5" t="n">
        <v>500000</v>
      </c>
      <c r="E5" t="n">
        <v>2</v>
      </c>
      <c r="F5" t="n">
        <v>500000</v>
      </c>
      <c r="G5" t="n">
        <v>5</v>
      </c>
      <c r="H5" t="n">
        <v>1000000</v>
      </c>
      <c r="I5" t="n">
        <v>6</v>
      </c>
      <c r="J5" t="n">
        <v>1000000</v>
      </c>
      <c r="K5" t="n">
        <v>13</v>
      </c>
      <c r="L5" t="n">
        <v>500000</v>
      </c>
    </row>
    <row r="6">
      <c r="A6" t="inlineStr">
        <is>
          <t>08 Transportadora</t>
        </is>
      </c>
      <c r="B6" t="inlineStr">
        <is>
          <t>04</t>
        </is>
      </c>
      <c r="C6" t="n">
        <v>300000</v>
      </c>
      <c r="D6" t="n">
        <v>300000</v>
      </c>
      <c r="E6" t="n">
        <v>2</v>
      </c>
      <c r="F6" t="n">
        <v>300000</v>
      </c>
      <c r="G6" t="n">
        <v>6</v>
      </c>
      <c r="J6" t="n">
        <v>300000</v>
      </c>
      <c r="K6" t="n">
        <v>14</v>
      </c>
      <c r="L6" t="n">
        <v>0</v>
      </c>
    </row>
    <row r="7">
      <c r="A7" t="inlineStr">
        <is>
          <t>08 Transportadora</t>
        </is>
      </c>
      <c r="B7" t="inlineStr">
        <is>
          <t>05</t>
        </is>
      </c>
      <c r="C7" t="n">
        <v>220000</v>
      </c>
      <c r="D7" t="n">
        <v>220000</v>
      </c>
      <c r="E7" t="n">
        <v>2</v>
      </c>
      <c r="F7" t="n">
        <v>220000</v>
      </c>
      <c r="G7" t="n">
        <v>6</v>
      </c>
      <c r="J7" t="n">
        <v>220000</v>
      </c>
      <c r="K7" t="n">
        <v>14</v>
      </c>
      <c r="L7" t="n">
        <v>0</v>
      </c>
    </row>
    <row r="8">
      <c r="A8" t="inlineStr">
        <is>
          <t>08 Transportadora</t>
        </is>
      </c>
      <c r="B8" t="inlineStr">
        <is>
          <t>06</t>
        </is>
      </c>
      <c r="C8" t="n">
        <v>840000</v>
      </c>
      <c r="D8" t="n">
        <v>840000</v>
      </c>
      <c r="E8" t="n">
        <v>2</v>
      </c>
      <c r="F8" t="n">
        <v>840000</v>
      </c>
      <c r="G8" t="n">
        <v>7</v>
      </c>
      <c r="J8" t="n">
        <v>840000</v>
      </c>
      <c r="K8" t="n">
        <v>14</v>
      </c>
      <c r="L8" t="n">
        <v>0</v>
      </c>
    </row>
    <row r="9">
      <c r="A9" t="inlineStr">
        <is>
          <t>08 Transportadora</t>
        </is>
      </c>
      <c r="B9" t="inlineStr">
        <is>
          <t>07</t>
        </is>
      </c>
      <c r="C9" t="n">
        <v>3500000</v>
      </c>
      <c r="D9" t="n">
        <v>3500000</v>
      </c>
      <c r="E9" t="n">
        <v>3</v>
      </c>
      <c r="F9" t="n">
        <v>3500000</v>
      </c>
      <c r="G9" t="n">
        <v>7</v>
      </c>
      <c r="J9" t="n">
        <v>3500000</v>
      </c>
      <c r="K9" t="n">
        <v>14</v>
      </c>
      <c r="L9" t="n">
        <v>0</v>
      </c>
    </row>
    <row r="10">
      <c r="A10" t="inlineStr">
        <is>
          <t>08 Transportadora</t>
        </is>
      </c>
      <c r="B10" t="inlineStr">
        <is>
          <t>08</t>
        </is>
      </c>
      <c r="C10" t="n">
        <v>250000</v>
      </c>
      <c r="D10" t="n">
        <v>250000</v>
      </c>
      <c r="E10" t="n">
        <v>3</v>
      </c>
      <c r="F10" t="n">
        <v>250000</v>
      </c>
      <c r="G10" t="n">
        <v>8</v>
      </c>
      <c r="J10" t="n">
        <v>250000</v>
      </c>
      <c r="K10" t="n">
        <v>15</v>
      </c>
      <c r="L10" t="n">
        <v>0</v>
      </c>
    </row>
    <row r="11">
      <c r="A11" t="inlineStr">
        <is>
          <t>08 Transportadora</t>
        </is>
      </c>
      <c r="B11" t="inlineStr">
        <is>
          <t>09</t>
        </is>
      </c>
      <c r="C11" t="n">
        <v>360000</v>
      </c>
      <c r="D11" t="n">
        <v>360000</v>
      </c>
      <c r="E11" t="n">
        <v>3</v>
      </c>
      <c r="F11" t="n">
        <v>360000</v>
      </c>
      <c r="G11" t="n">
        <v>8</v>
      </c>
      <c r="J11" t="n">
        <v>360000</v>
      </c>
      <c r="K11" t="n">
        <v>15</v>
      </c>
      <c r="L11" t="n">
        <v>0</v>
      </c>
    </row>
    <row r="12">
      <c r="A12" t="inlineStr">
        <is>
          <t>08 Transportadora</t>
        </is>
      </c>
      <c r="B12" t="inlineStr">
        <is>
          <t>10</t>
        </is>
      </c>
      <c r="C12" t="n">
        <v>140000</v>
      </c>
      <c r="D12" t="n">
        <v>140000</v>
      </c>
      <c r="E12" t="n">
        <v>3</v>
      </c>
      <c r="F12" t="n">
        <v>140000</v>
      </c>
      <c r="G12" t="n">
        <v>8</v>
      </c>
      <c r="J12" t="n">
        <v>140000</v>
      </c>
      <c r="K12" t="n">
        <v>15</v>
      </c>
      <c r="L12" t="n">
        <v>0</v>
      </c>
    </row>
    <row r="13">
      <c r="A13" t="inlineStr">
        <is>
          <t>08 Transportadora</t>
        </is>
      </c>
      <c r="B13" t="inlineStr">
        <is>
          <t>11</t>
        </is>
      </c>
      <c r="C13" t="n">
        <v>30000</v>
      </c>
      <c r="D13" t="n">
        <v>30000</v>
      </c>
      <c r="E13" t="n">
        <v>3</v>
      </c>
      <c r="F13" t="n">
        <v>30000</v>
      </c>
      <c r="G13" t="n">
        <v>9</v>
      </c>
      <c r="J13" t="n">
        <v>50000</v>
      </c>
      <c r="K13" t="n">
        <v>15</v>
      </c>
      <c r="L13" t="n">
        <v>20000</v>
      </c>
    </row>
    <row r="14">
      <c r="A14" t="inlineStr">
        <is>
          <t>08 Transportadora</t>
        </is>
      </c>
      <c r="B14" t="inlineStr">
        <is>
          <t>12</t>
        </is>
      </c>
      <c r="C14" t="n">
        <v>140000</v>
      </c>
      <c r="D14" t="n">
        <v>140000</v>
      </c>
      <c r="E14" t="n">
        <v>3</v>
      </c>
      <c r="F14" t="n">
        <v>140000</v>
      </c>
      <c r="G14" t="n">
        <v>10</v>
      </c>
      <c r="J14" t="n">
        <v>160000</v>
      </c>
      <c r="K14" t="n">
        <v>15</v>
      </c>
      <c r="L14" t="n">
        <v>20000</v>
      </c>
    </row>
    <row r="15">
      <c r="A15" t="inlineStr">
        <is>
          <t>08 Transportadora</t>
        </is>
      </c>
      <c r="B15" t="inlineStr">
        <is>
          <t>13</t>
        </is>
      </c>
      <c r="C15" t="n">
        <v>30000</v>
      </c>
      <c r="D15" t="n">
        <v>30000</v>
      </c>
      <c r="E15" t="n">
        <v>3</v>
      </c>
      <c r="F15" t="n">
        <v>30000</v>
      </c>
      <c r="G15" t="n">
        <v>12</v>
      </c>
      <c r="J15" t="n">
        <v>40000</v>
      </c>
      <c r="K15" t="n">
        <v>15</v>
      </c>
      <c r="L15" t="n">
        <v>10000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7"/>
  <sheetViews>
    <sheetView workbookViewId="0">
      <pane ySplit="1" topLeftCell="A2" activePane="bottomLeft" state="frozen"/>
      <selection pane="bottomLeft" activeCell="A1" sqref="A1"/>
    </sheetView>
  </sheetViews>
  <sheetFormatPr baseColWidth="8" defaultRowHeight="15"/>
  <sheetData>
    <row r="1">
      <c r="A1" s="1" t="inlineStr">
        <is>
          <t>Empresa</t>
        </is>
      </c>
      <c r="B1" s="1" t="inlineStr">
        <is>
          <t>Fonte</t>
        </is>
      </c>
      <c r="C1" s="1" t="inlineStr">
        <is>
          <t>Seção</t>
        </is>
      </c>
      <c r="D1" s="1" t="inlineStr">
        <is>
          <t>Página</t>
        </is>
      </c>
      <c r="E1" s="1" t="inlineStr">
        <is>
          <t>Item</t>
        </is>
      </c>
      <c r="F1" s="1" t="inlineStr">
        <is>
          <t>Valor (R$)</t>
        </is>
      </c>
    </row>
    <row r="2">
      <c r="A2" t="inlineStr">
        <is>
          <t>01 Abastecedora</t>
        </is>
      </c>
      <c r="B2" t="inlineStr">
        <is>
          <t>Rafael 01</t>
        </is>
      </c>
      <c r="C2" t="inlineStr">
        <is>
          <t>Balanço apresentado pelo grupo</t>
        </is>
      </c>
      <c r="D2" t="n">
        <v>1</v>
      </c>
      <c r="E2" t="inlineStr">
        <is>
          <t>01</t>
        </is>
      </c>
      <c r="F2" t="n">
        <v>9661414</v>
      </c>
    </row>
    <row r="3">
      <c r="A3" t="inlineStr">
        <is>
          <t>01 Abastecedora</t>
        </is>
      </c>
      <c r="B3" t="inlineStr">
        <is>
          <t>Rafael 01</t>
        </is>
      </c>
      <c r="C3" t="inlineStr">
        <is>
          <t>Balanço executado por Valter</t>
        </is>
      </c>
      <c r="D3" t="n">
        <v>3</v>
      </c>
      <c r="E3" t="inlineStr">
        <is>
          <t>01</t>
        </is>
      </c>
      <c r="F3" t="n">
        <v>12361850</v>
      </c>
    </row>
    <row r="4">
      <c r="A4" t="inlineStr">
        <is>
          <t>08 Transportadora</t>
        </is>
      </c>
      <c r="B4" t="inlineStr">
        <is>
          <t>Rafael 08</t>
        </is>
      </c>
      <c r="C4" t="inlineStr">
        <is>
          <t>Balanço apresentado pelo grupo</t>
        </is>
      </c>
      <c r="D4" t="n">
        <v>1</v>
      </c>
      <c r="E4" t="inlineStr">
        <is>
          <t>01</t>
        </is>
      </c>
      <c r="F4" t="n">
        <v>8637186</v>
      </c>
    </row>
    <row r="5">
      <c r="A5" t="inlineStr">
        <is>
          <t>08 Transportadora</t>
        </is>
      </c>
      <c r="B5" t="inlineStr">
        <is>
          <t>Rafael 08</t>
        </is>
      </c>
      <c r="C5" t="inlineStr">
        <is>
          <t>Balanço apresentado pelo grupo</t>
        </is>
      </c>
      <c r="D5" t="n">
        <v>1</v>
      </c>
      <c r="E5" t="inlineStr">
        <is>
          <t>02</t>
        </is>
      </c>
      <c r="F5" t="n">
        <v>1427800</v>
      </c>
    </row>
    <row r="6">
      <c r="A6" t="inlineStr">
        <is>
          <t>08 Transportadora</t>
        </is>
      </c>
      <c r="B6" t="inlineStr">
        <is>
          <t>Rafael 08</t>
        </is>
      </c>
      <c r="C6" t="inlineStr">
        <is>
          <t>Balanço apresentado pelo grupo</t>
        </is>
      </c>
      <c r="D6" t="n">
        <v>2</v>
      </c>
      <c r="E6" t="inlineStr">
        <is>
          <t>03</t>
        </is>
      </c>
      <c r="F6" t="n">
        <v>500000</v>
      </c>
    </row>
    <row r="7">
      <c r="A7" t="inlineStr">
        <is>
          <t>08 Transportadora</t>
        </is>
      </c>
      <c r="B7" t="inlineStr">
        <is>
          <t>Rafael 08</t>
        </is>
      </c>
      <c r="C7" t="inlineStr">
        <is>
          <t>Balanço apresentado pelo grupo</t>
        </is>
      </c>
      <c r="D7" t="n">
        <v>2</v>
      </c>
      <c r="E7" t="inlineStr">
        <is>
          <t>04</t>
        </is>
      </c>
      <c r="F7" t="n">
        <v>300000</v>
      </c>
    </row>
    <row r="8">
      <c r="A8" t="inlineStr">
        <is>
          <t>08 Transportadora</t>
        </is>
      </c>
      <c r="B8" t="inlineStr">
        <is>
          <t>Rafael 08</t>
        </is>
      </c>
      <c r="C8" t="inlineStr">
        <is>
          <t>Balanço apresentado pelo grupo</t>
        </is>
      </c>
      <c r="D8" t="n">
        <v>2</v>
      </c>
      <c r="E8" t="inlineStr">
        <is>
          <t>05</t>
        </is>
      </c>
      <c r="F8" t="n">
        <v>220000</v>
      </c>
    </row>
    <row r="9">
      <c r="A9" t="inlineStr">
        <is>
          <t>08 Transportadora</t>
        </is>
      </c>
      <c r="B9" t="inlineStr">
        <is>
          <t>Rafael 08</t>
        </is>
      </c>
      <c r="C9" t="inlineStr">
        <is>
          <t>Balanço apresentado pelo grupo</t>
        </is>
      </c>
      <c r="D9" t="n">
        <v>2</v>
      </c>
      <c r="E9" t="inlineStr">
        <is>
          <t>06</t>
        </is>
      </c>
      <c r="F9" t="n">
        <v>840000</v>
      </c>
    </row>
    <row r="10">
      <c r="A10" t="inlineStr">
        <is>
          <t>08 Transportadora</t>
        </is>
      </c>
      <c r="B10" t="inlineStr">
        <is>
          <t>Rafael 08</t>
        </is>
      </c>
      <c r="C10" t="inlineStr">
        <is>
          <t>Balanço apresentado pelo grupo</t>
        </is>
      </c>
      <c r="D10" t="n">
        <v>3</v>
      </c>
      <c r="E10" t="inlineStr">
        <is>
          <t>07</t>
        </is>
      </c>
      <c r="F10" t="n">
        <v>3500000</v>
      </c>
    </row>
    <row r="11">
      <c r="A11" t="inlineStr">
        <is>
          <t>08 Transportadora</t>
        </is>
      </c>
      <c r="B11" t="inlineStr">
        <is>
          <t>Rafael 08</t>
        </is>
      </c>
      <c r="C11" t="inlineStr">
        <is>
          <t>Balanço apresentado pelo grupo</t>
        </is>
      </c>
      <c r="D11" t="n">
        <v>3</v>
      </c>
      <c r="E11" t="inlineStr">
        <is>
          <t>08</t>
        </is>
      </c>
      <c r="F11" t="n">
        <v>250000</v>
      </c>
    </row>
    <row r="12">
      <c r="A12" t="inlineStr">
        <is>
          <t>08 Transportadora</t>
        </is>
      </c>
      <c r="B12" t="inlineStr">
        <is>
          <t>Rafael 08</t>
        </is>
      </c>
      <c r="C12" t="inlineStr">
        <is>
          <t>Balanço apresentado pelo grupo</t>
        </is>
      </c>
      <c r="D12" t="n">
        <v>3</v>
      </c>
      <c r="E12" t="inlineStr">
        <is>
          <t>09</t>
        </is>
      </c>
      <c r="F12" t="n">
        <v>360000</v>
      </c>
    </row>
    <row r="13">
      <c r="A13" t="inlineStr">
        <is>
          <t>08 Transportadora</t>
        </is>
      </c>
      <c r="B13" t="inlineStr">
        <is>
          <t>Rafael 08</t>
        </is>
      </c>
      <c r="C13" t="inlineStr">
        <is>
          <t>Balanço apresentado pelo grupo</t>
        </is>
      </c>
      <c r="D13" t="n">
        <v>3</v>
      </c>
      <c r="E13" t="inlineStr">
        <is>
          <t>10</t>
        </is>
      </c>
      <c r="F13" t="n">
        <v>140000</v>
      </c>
    </row>
    <row r="14">
      <c r="A14" t="inlineStr">
        <is>
          <t>08 Transportadora</t>
        </is>
      </c>
      <c r="B14" t="inlineStr">
        <is>
          <t>Rafael 08</t>
        </is>
      </c>
      <c r="C14" t="inlineStr">
        <is>
          <t>Balanço apresentado pelo grupo</t>
        </is>
      </c>
      <c r="D14" t="n">
        <v>3</v>
      </c>
      <c r="E14" t="inlineStr">
        <is>
          <t>11</t>
        </is>
      </c>
      <c r="F14" t="n">
        <v>30000</v>
      </c>
    </row>
    <row r="15">
      <c r="A15" t="inlineStr">
        <is>
          <t>08 Transportadora</t>
        </is>
      </c>
      <c r="B15" t="inlineStr">
        <is>
          <t>Rafael 08</t>
        </is>
      </c>
      <c r="C15" t="inlineStr">
        <is>
          <t>Balanço apresentado pelo grupo</t>
        </is>
      </c>
      <c r="D15" t="n">
        <v>3</v>
      </c>
      <c r="E15" t="inlineStr">
        <is>
          <t>12</t>
        </is>
      </c>
      <c r="F15" t="n">
        <v>140000</v>
      </c>
    </row>
    <row r="16">
      <c r="A16" t="inlineStr">
        <is>
          <t>08 Transportadora</t>
        </is>
      </c>
      <c r="B16" t="inlineStr">
        <is>
          <t>Rafael 08</t>
        </is>
      </c>
      <c r="C16" t="inlineStr">
        <is>
          <t>Balanço apresentado pelo grupo</t>
        </is>
      </c>
      <c r="D16" t="n">
        <v>3</v>
      </c>
      <c r="E16" t="inlineStr">
        <is>
          <t>13</t>
        </is>
      </c>
      <c r="F16" t="n">
        <v>30000</v>
      </c>
    </row>
    <row r="17">
      <c r="A17" t="inlineStr">
        <is>
          <t>08 Transportadora</t>
        </is>
      </c>
      <c r="B17" t="inlineStr">
        <is>
          <t>Rafael 08</t>
        </is>
      </c>
      <c r="C17" t="inlineStr">
        <is>
          <t>Avaliação executada por Valter</t>
        </is>
      </c>
      <c r="D17" t="n">
        <v>4</v>
      </c>
      <c r="E17" t="inlineStr">
        <is>
          <t>01</t>
        </is>
      </c>
      <c r="F17" t="n">
        <v>8637186</v>
      </c>
    </row>
    <row r="18">
      <c r="A18" t="inlineStr">
        <is>
          <t>08 Transportadora</t>
        </is>
      </c>
      <c r="B18" t="inlineStr">
        <is>
          <t>Rafael 08</t>
        </is>
      </c>
      <c r="C18" t="inlineStr">
        <is>
          <t>Avaliação executada por Valter</t>
        </is>
      </c>
      <c r="D18" t="n">
        <v>5</v>
      </c>
      <c r="E18" t="inlineStr">
        <is>
          <t>02</t>
        </is>
      </c>
      <c r="F18" t="n">
        <v>1427800</v>
      </c>
    </row>
    <row r="19">
      <c r="A19" t="inlineStr">
        <is>
          <t>08 Transportadora</t>
        </is>
      </c>
      <c r="B19" t="inlineStr">
        <is>
          <t>Rafael 08</t>
        </is>
      </c>
      <c r="C19" t="inlineStr">
        <is>
          <t>Avaliação executada por Valter</t>
        </is>
      </c>
      <c r="D19" t="n">
        <v>5</v>
      </c>
      <c r="E19" t="inlineStr">
        <is>
          <t>03</t>
        </is>
      </c>
      <c r="F19" t="n">
        <v>500000</v>
      </c>
    </row>
    <row r="20">
      <c r="A20" t="inlineStr">
        <is>
          <t>08 Transportadora</t>
        </is>
      </c>
      <c r="B20" t="inlineStr">
        <is>
          <t>Rafael 08</t>
        </is>
      </c>
      <c r="C20" t="inlineStr">
        <is>
          <t>Avaliação executada por Valter</t>
        </is>
      </c>
      <c r="D20" t="n">
        <v>6</v>
      </c>
      <c r="E20" t="inlineStr">
        <is>
          <t>04</t>
        </is>
      </c>
      <c r="F20" t="n">
        <v>300000</v>
      </c>
    </row>
    <row r="21">
      <c r="A21" t="inlineStr">
        <is>
          <t>08 Transportadora</t>
        </is>
      </c>
      <c r="B21" t="inlineStr">
        <is>
          <t>Rafael 08</t>
        </is>
      </c>
      <c r="C21" t="inlineStr">
        <is>
          <t>Avaliação executada por Valter</t>
        </is>
      </c>
      <c r="D21" t="n">
        <v>6</v>
      </c>
      <c r="E21" t="inlineStr">
        <is>
          <t>05</t>
        </is>
      </c>
      <c r="F21" t="n">
        <v>220000</v>
      </c>
    </row>
    <row r="22">
      <c r="A22" t="inlineStr">
        <is>
          <t>08 Transportadora</t>
        </is>
      </c>
      <c r="B22" t="inlineStr">
        <is>
          <t>Rafael 08</t>
        </is>
      </c>
      <c r="C22" t="inlineStr">
        <is>
          <t>Avaliação executada por Valter</t>
        </is>
      </c>
      <c r="D22" t="n">
        <v>7</v>
      </c>
      <c r="E22" t="inlineStr">
        <is>
          <t>06</t>
        </is>
      </c>
      <c r="F22" t="n">
        <v>840000</v>
      </c>
    </row>
    <row r="23">
      <c r="A23" t="inlineStr">
        <is>
          <t>08 Transportadora</t>
        </is>
      </c>
      <c r="B23" t="inlineStr">
        <is>
          <t>Rafael 08</t>
        </is>
      </c>
      <c r="C23" t="inlineStr">
        <is>
          <t>Avaliação executada por Valter</t>
        </is>
      </c>
      <c r="D23" t="n">
        <v>7</v>
      </c>
      <c r="E23" t="inlineStr">
        <is>
          <t>07</t>
        </is>
      </c>
      <c r="F23" t="n">
        <v>3500000</v>
      </c>
    </row>
    <row r="24">
      <c r="A24" t="inlineStr">
        <is>
          <t>08 Transportadora</t>
        </is>
      </c>
      <c r="B24" t="inlineStr">
        <is>
          <t>Rafael 08</t>
        </is>
      </c>
      <c r="C24" t="inlineStr">
        <is>
          <t>Avaliação executada por Valter</t>
        </is>
      </c>
      <c r="D24" t="n">
        <v>8</v>
      </c>
      <c r="E24" t="inlineStr">
        <is>
          <t>08</t>
        </is>
      </c>
      <c r="F24" t="n">
        <v>250000</v>
      </c>
    </row>
    <row r="25">
      <c r="A25" t="inlineStr">
        <is>
          <t>08 Transportadora</t>
        </is>
      </c>
      <c r="B25" t="inlineStr">
        <is>
          <t>Rafael 08</t>
        </is>
      </c>
      <c r="C25" t="inlineStr">
        <is>
          <t>Avaliação executada por Valter</t>
        </is>
      </c>
      <c r="D25" t="n">
        <v>8</v>
      </c>
      <c r="E25" t="inlineStr">
        <is>
          <t>09</t>
        </is>
      </c>
      <c r="F25" t="n">
        <v>360000</v>
      </c>
    </row>
    <row r="26">
      <c r="A26" t="inlineStr">
        <is>
          <t>08 Transportadora</t>
        </is>
      </c>
      <c r="B26" t="inlineStr">
        <is>
          <t>Rafael 08</t>
        </is>
      </c>
      <c r="C26" t="inlineStr">
        <is>
          <t>Avaliação executada por Valter</t>
        </is>
      </c>
      <c r="D26" t="n">
        <v>8</v>
      </c>
      <c r="E26" t="inlineStr">
        <is>
          <t>10</t>
        </is>
      </c>
      <c r="F26" t="n">
        <v>140000</v>
      </c>
    </row>
    <row r="27">
      <c r="A27" t="inlineStr">
        <is>
          <t>08 Transportadora</t>
        </is>
      </c>
      <c r="B27" t="inlineStr">
        <is>
          <t>Rafael 08</t>
        </is>
      </c>
      <c r="C27" t="inlineStr">
        <is>
          <t>Avaliação executada por Valter</t>
        </is>
      </c>
      <c r="D27" t="n">
        <v>9</v>
      </c>
      <c r="E27" t="inlineStr">
        <is>
          <t>11</t>
        </is>
      </c>
      <c r="F27" t="n">
        <v>30000</v>
      </c>
    </row>
    <row r="28">
      <c r="A28" t="inlineStr">
        <is>
          <t>08 Transportadora</t>
        </is>
      </c>
      <c r="B28" t="inlineStr">
        <is>
          <t>Rafael 08</t>
        </is>
      </c>
      <c r="C28" t="inlineStr">
        <is>
          <t>Avaliação executada por Valter</t>
        </is>
      </c>
      <c r="D28" t="n">
        <v>10</v>
      </c>
      <c r="E28" t="inlineStr">
        <is>
          <t>12</t>
        </is>
      </c>
      <c r="F28" t="n">
        <v>140000</v>
      </c>
    </row>
    <row r="29">
      <c r="A29" t="inlineStr">
        <is>
          <t>08 Transportadora</t>
        </is>
      </c>
      <c r="B29" t="inlineStr">
        <is>
          <t>Rafael 08</t>
        </is>
      </c>
      <c r="C29" t="inlineStr">
        <is>
          <t>Avaliação executada por Valter</t>
        </is>
      </c>
      <c r="D29" t="n">
        <v>12</v>
      </c>
      <c r="E29" t="inlineStr">
        <is>
          <t>13</t>
        </is>
      </c>
      <c r="F29" t="n">
        <v>30000</v>
      </c>
    </row>
    <row r="30">
      <c r="A30" t="inlineStr">
        <is>
          <t>08 Transportadora</t>
        </is>
      </c>
      <c r="B30" t="inlineStr">
        <is>
          <t>Rafael 08</t>
        </is>
      </c>
      <c r="C30" t="inlineStr">
        <is>
          <t>Balanço executado por Valter</t>
        </is>
      </c>
      <c r="D30" t="n">
        <v>13</v>
      </c>
      <c r="E30" t="inlineStr">
        <is>
          <t>01</t>
        </is>
      </c>
      <c r="F30" t="n">
        <v>8637186</v>
      </c>
    </row>
    <row r="31">
      <c r="A31" t="inlineStr">
        <is>
          <t>08 Transportadora</t>
        </is>
      </c>
      <c r="B31" t="inlineStr">
        <is>
          <t>Rafael 08</t>
        </is>
      </c>
      <c r="C31" t="inlineStr">
        <is>
          <t>Balanço executado por Valter</t>
        </is>
      </c>
      <c r="D31" t="n">
        <v>13</v>
      </c>
      <c r="E31" t="inlineStr">
        <is>
          <t>02</t>
        </is>
      </c>
      <c r="F31" t="n">
        <v>1427800</v>
      </c>
    </row>
    <row r="32">
      <c r="A32" t="inlineStr">
        <is>
          <t>08 Transportadora</t>
        </is>
      </c>
      <c r="B32" t="inlineStr">
        <is>
          <t>Rafael 08</t>
        </is>
      </c>
      <c r="C32" t="inlineStr">
        <is>
          <t>Balanço executado por Valter</t>
        </is>
      </c>
      <c r="D32" t="n">
        <v>13</v>
      </c>
      <c r="E32" t="inlineStr">
        <is>
          <t>03</t>
        </is>
      </c>
      <c r="F32" t="n">
        <v>1000000</v>
      </c>
    </row>
    <row r="33">
      <c r="A33" t="inlineStr">
        <is>
          <t>08 Transportadora</t>
        </is>
      </c>
      <c r="B33" t="inlineStr">
        <is>
          <t>Rafael 08</t>
        </is>
      </c>
      <c r="C33" t="inlineStr">
        <is>
          <t>Balanço executado por Valter</t>
        </is>
      </c>
      <c r="D33" t="n">
        <v>14</v>
      </c>
      <c r="E33" t="inlineStr">
        <is>
          <t>04</t>
        </is>
      </c>
      <c r="F33" t="n">
        <v>300000</v>
      </c>
    </row>
    <row r="34">
      <c r="A34" t="inlineStr">
        <is>
          <t>08 Transportadora</t>
        </is>
      </c>
      <c r="B34" t="inlineStr">
        <is>
          <t>Rafael 08</t>
        </is>
      </c>
      <c r="C34" t="inlineStr">
        <is>
          <t>Balanço executado por Valter</t>
        </is>
      </c>
      <c r="D34" t="n">
        <v>14</v>
      </c>
      <c r="E34" t="inlineStr">
        <is>
          <t>05</t>
        </is>
      </c>
      <c r="F34" t="n">
        <v>220000</v>
      </c>
    </row>
    <row r="35">
      <c r="A35" t="inlineStr">
        <is>
          <t>08 Transportadora</t>
        </is>
      </c>
      <c r="B35" t="inlineStr">
        <is>
          <t>Rafael 08</t>
        </is>
      </c>
      <c r="C35" t="inlineStr">
        <is>
          <t>Balanço executado por Valter</t>
        </is>
      </c>
      <c r="D35" t="n">
        <v>14</v>
      </c>
      <c r="E35" t="inlineStr">
        <is>
          <t>06</t>
        </is>
      </c>
      <c r="F35" t="n">
        <v>840000</v>
      </c>
    </row>
    <row r="36">
      <c r="A36" t="inlineStr">
        <is>
          <t>08 Transportadora</t>
        </is>
      </c>
      <c r="B36" t="inlineStr">
        <is>
          <t>Rafael 08</t>
        </is>
      </c>
      <c r="C36" t="inlineStr">
        <is>
          <t>Balanço executado por Valter</t>
        </is>
      </c>
      <c r="D36" t="n">
        <v>14</v>
      </c>
      <c r="E36" t="inlineStr">
        <is>
          <t>07</t>
        </is>
      </c>
      <c r="F36" t="n">
        <v>3500000</v>
      </c>
    </row>
    <row r="37">
      <c r="A37" t="inlineStr">
        <is>
          <t>08 Transportadora</t>
        </is>
      </c>
      <c r="B37" t="inlineStr">
        <is>
          <t>Rafael 08</t>
        </is>
      </c>
      <c r="C37" t="inlineStr">
        <is>
          <t>Balanço executado por Valter</t>
        </is>
      </c>
      <c r="D37" t="n">
        <v>15</v>
      </c>
      <c r="E37" t="inlineStr">
        <is>
          <t>08</t>
        </is>
      </c>
      <c r="F37" t="n">
        <v>250000</v>
      </c>
    </row>
    <row r="38">
      <c r="A38" t="inlineStr">
        <is>
          <t>08 Transportadora</t>
        </is>
      </c>
      <c r="B38" t="inlineStr">
        <is>
          <t>Rafael 08</t>
        </is>
      </c>
      <c r="C38" t="inlineStr">
        <is>
          <t>Balanço executado por Valter</t>
        </is>
      </c>
      <c r="D38" t="n">
        <v>15</v>
      </c>
      <c r="E38" t="inlineStr">
        <is>
          <t>09</t>
        </is>
      </c>
      <c r="F38" t="n">
        <v>360000</v>
      </c>
    </row>
    <row r="39">
      <c r="A39" t="inlineStr">
        <is>
          <t>08 Transportadora</t>
        </is>
      </c>
      <c r="B39" t="inlineStr">
        <is>
          <t>Rafael 08</t>
        </is>
      </c>
      <c r="C39" t="inlineStr">
        <is>
          <t>Balanço executado por Valter</t>
        </is>
      </c>
      <c r="D39" t="n">
        <v>15</v>
      </c>
      <c r="E39" t="inlineStr">
        <is>
          <t>10</t>
        </is>
      </c>
      <c r="F39" t="n">
        <v>140000</v>
      </c>
    </row>
    <row r="40">
      <c r="A40" t="inlineStr">
        <is>
          <t>08 Transportadora</t>
        </is>
      </c>
      <c r="B40" t="inlineStr">
        <is>
          <t>Rafael 08</t>
        </is>
      </c>
      <c r="C40" t="inlineStr">
        <is>
          <t>Balanço executado por Valter</t>
        </is>
      </c>
      <c r="D40" t="n">
        <v>15</v>
      </c>
      <c r="E40" t="inlineStr">
        <is>
          <t>11</t>
        </is>
      </c>
      <c r="F40" t="n">
        <v>50000</v>
      </c>
    </row>
    <row r="41">
      <c r="A41" t="inlineStr">
        <is>
          <t>08 Transportadora</t>
        </is>
      </c>
      <c r="B41" t="inlineStr">
        <is>
          <t>Rafael 08</t>
        </is>
      </c>
      <c r="C41" t="inlineStr">
        <is>
          <t>Balanço executado por Valter</t>
        </is>
      </c>
      <c r="D41" t="n">
        <v>15</v>
      </c>
      <c r="E41" t="inlineStr">
        <is>
          <t>12</t>
        </is>
      </c>
      <c r="F41" t="n">
        <v>160000</v>
      </c>
    </row>
    <row r="42">
      <c r="A42" t="inlineStr">
        <is>
          <t>08 Transportadora</t>
        </is>
      </c>
      <c r="B42" t="inlineStr">
        <is>
          <t>Rafael 08</t>
        </is>
      </c>
      <c r="C42" t="inlineStr">
        <is>
          <t>Balanço executado por Valter</t>
        </is>
      </c>
      <c r="D42" t="n">
        <v>15</v>
      </c>
      <c r="E42" t="inlineStr">
        <is>
          <t>13</t>
        </is>
      </c>
      <c r="F42" t="n">
        <v>40000</v>
      </c>
    </row>
    <row r="43">
      <c r="A43" t="inlineStr"/>
      <c r="B43" t="inlineStr">
        <is>
          <t>Rafael 01</t>
        </is>
      </c>
      <c r="C43" t="inlineStr">
        <is>
          <t>Balanço apresentado pelo grupo</t>
        </is>
      </c>
      <c r="D43" t="n">
        <v>2</v>
      </c>
      <c r="E43" t="inlineStr">
        <is>
          <t>TOTAL GERAL</t>
        </is>
      </c>
      <c r="F43" t="n">
        <v>9661414</v>
      </c>
    </row>
    <row r="44">
      <c r="A44" t="inlineStr"/>
      <c r="B44" t="inlineStr">
        <is>
          <t>Rafael 08</t>
        </is>
      </c>
      <c r="C44" t="inlineStr">
        <is>
          <t>Balanço apresentado pelo grupo</t>
        </is>
      </c>
      <c r="D44" t="n">
        <v>3</v>
      </c>
      <c r="E44" t="inlineStr">
        <is>
          <t>TOTAL GERAL</t>
        </is>
      </c>
      <c r="F44" t="n">
        <v>16374986</v>
      </c>
    </row>
    <row r="45">
      <c r="A45" t="inlineStr"/>
      <c r="B45" t="inlineStr">
        <is>
          <t>Rafael 08</t>
        </is>
      </c>
      <c r="C45" t="inlineStr">
        <is>
          <t>Balanço executado por Valter</t>
        </is>
      </c>
      <c r="D45" t="n">
        <v>16</v>
      </c>
      <c r="E45" t="inlineStr">
        <is>
          <t>TOTAL GERAL</t>
        </is>
      </c>
      <c r="F45" t="n">
        <v>16924986</v>
      </c>
    </row>
    <row r="46">
      <c r="A46" t="inlineStr">
        <is>
          <t>01 Abastecedora</t>
        </is>
      </c>
      <c r="B46" t="inlineStr">
        <is>
          <t>Rafael 01</t>
        </is>
      </c>
      <c r="C46" t="inlineStr">
        <is>
          <t>Quadro-resumo (declaração 'aproximadamente')</t>
        </is>
      </c>
      <c r="D46" t="n">
        <v>4</v>
      </c>
      <c r="F46" t="n">
        <v>2060.16</v>
      </c>
    </row>
    <row r="47">
      <c r="A47" t="inlineStr">
        <is>
          <t>08 Transportadora</t>
        </is>
      </c>
      <c r="B47" t="inlineStr">
        <is>
          <t>Rafael 08</t>
        </is>
      </c>
      <c r="C47" t="inlineStr">
        <is>
          <t>Avaliação executada por Valter (declaração 'aproximadamente')</t>
        </is>
      </c>
      <c r="D47" t="n">
        <v>6</v>
      </c>
      <c r="E47" t="inlineStr">
        <is>
          <t>03</t>
        </is>
      </c>
      <c r="F47" t="n">
        <v>1000000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sheetData>
    <row r="1">
      <c r="A1" s="1" t="inlineStr">
        <is>
          <t>Empresa</t>
        </is>
      </c>
      <c r="B1" s="1" t="inlineStr">
        <is>
          <t>Fonte</t>
        </is>
      </c>
      <c r="C1" s="1" t="inlineStr">
        <is>
          <t>Página</t>
        </is>
      </c>
      <c r="D1" s="1" t="inlineStr">
        <is>
          <t>Como está escrito</t>
        </is>
      </c>
      <c r="E1" s="1" t="inlineStr">
        <is>
          <t>Valor lido (R$)</t>
        </is>
      </c>
      <c r="F1" s="1" t="inlineStr">
        <is>
          <t>Texto anterior</t>
        </is>
      </c>
    </row>
    <row r="2">
      <c r="A2" t="inlineStr">
        <is>
          <t>01 Abastecedora</t>
        </is>
      </c>
      <c r="B2" t="inlineStr">
        <is>
          <t>Rafael 01</t>
        </is>
      </c>
      <c r="C2" t="n">
        <v>4</v>
      </c>
      <c r="D2" t="inlineStr">
        <is>
          <t>R$ 12.361,850</t>
        </is>
      </c>
      <c r="E2" t="n">
        <v>12361850</v>
      </c>
      <c r="F2" t="inlineStr">
        <is>
          <t>Patrimônio total dos bens 100% do patrimônio relacionado</t>
        </is>
      </c>
    </row>
    <row r="3">
      <c r="A3" t="inlineStr">
        <is>
          <t>01 Abastecedora</t>
        </is>
      </c>
      <c r="B3" t="inlineStr">
        <is>
          <t>Rafael 01</t>
        </is>
      </c>
      <c r="C3" t="n">
        <v>4</v>
      </c>
      <c r="D3" t="inlineStr">
        <is>
          <t>R$   2.060,166</t>
        </is>
      </c>
      <c r="E3" t="n">
        <v>2060166</v>
      </c>
      <c r="F3" t="inlineStr">
        <is>
          <t>R$ 12.361,850 Participação atribuída a Valter 1/6 do patrimônio total 0,16 bens</t>
        </is>
      </c>
    </row>
    <row r="4">
      <c r="A4" t="inlineStr">
        <is>
          <t>01 Abastecedora</t>
        </is>
      </c>
      <c r="B4" t="inlineStr">
        <is>
          <t>Rafael 01</t>
        </is>
      </c>
      <c r="C4" t="n">
        <v>4</v>
      </c>
      <c r="D4" t="inlineStr">
        <is>
          <t>R$ 12.361.850,00</t>
        </is>
      </c>
      <c r="E4" t="n">
        <v>12361850</v>
      </c>
      <c r="F4" t="inlineStr">
        <is>
          <t>PATRIMONIAL DA VALTER PARTICIPAÇÕES SOCIETÁRIAS LTDA Indicador Montante</t>
        </is>
      </c>
    </row>
    <row r="5">
      <c r="A5" t="inlineStr">
        <is>
          <t>01 Abastecedora</t>
        </is>
      </c>
      <c r="B5" t="inlineStr">
        <is>
          <t>Rafael 01</t>
        </is>
      </c>
      <c r="C5" t="n">
        <v>5</v>
      </c>
      <c r="D5" t="inlineStr">
        <is>
          <t>R$ 2.060,166</t>
        </is>
      </c>
      <c r="E5" t="n">
        <v>2060166</v>
      </c>
      <c r="F5" t="inlineStr">
        <is>
          <t>Participação patrimonial de referência — 1/6</t>
        </is>
      </c>
    </row>
    <row r="6">
      <c r="A6" t="inlineStr">
        <is>
          <t>01 Abastecedora</t>
        </is>
      </c>
      <c r="B6" t="inlineStr">
        <is>
          <t>Rafael 01</t>
        </is>
      </c>
      <c r="C6" t="n">
        <v>5</v>
      </c>
      <c r="D6" t="inlineStr">
        <is>
          <t>R$ 2.060,166</t>
        </is>
      </c>
      <c r="E6" t="n">
        <v>2060166</v>
      </c>
      <c r="F6" t="inlineStr">
        <is>
          <t>0,16 bens Crédito Patrimonial a Valter Participações Ltda</t>
        </is>
      </c>
    </row>
    <row r="7">
      <c r="A7" t="inlineStr">
        <is>
          <t>08 Transportadora</t>
        </is>
      </c>
      <c r="B7" t="inlineStr">
        <is>
          <t>Rafael 08</t>
        </is>
      </c>
      <c r="C7" t="n">
        <v>16</v>
      </c>
      <c r="D7" t="inlineStr">
        <is>
          <t>R$ 16.924.986,00</t>
        </is>
      </c>
      <c r="E7" t="n">
        <v>16924986</v>
      </c>
      <c r="F7" t="inlineStr">
        <is>
          <t>TOTAL GERAL DA EMPRESA</t>
        </is>
      </c>
    </row>
    <row r="8">
      <c r="A8" t="inlineStr">
        <is>
          <t>08 Transportadora</t>
        </is>
      </c>
      <c r="B8" t="inlineStr">
        <is>
          <t>Rafael 08</t>
        </is>
      </c>
      <c r="C8" t="n">
        <v>16</v>
      </c>
      <c r="D8" t="inlineStr">
        <is>
          <t>R$ 16.924.986,00</t>
        </is>
      </c>
      <c r="E8" t="n">
        <v>16924986</v>
      </c>
      <c r="F8" t="inlineStr">
        <is>
          <t>Participações societárias Ltda 100% do patrimônio relacionado</t>
        </is>
      </c>
    </row>
    <row r="9">
      <c r="A9" t="inlineStr">
        <is>
          <t>08 Transportadora</t>
        </is>
      </c>
      <c r="B9" t="inlineStr">
        <is>
          <t>Rafael 08</t>
        </is>
      </c>
      <c r="C9" t="n">
        <v>16</v>
      </c>
      <c r="D9" t="inlineStr">
        <is>
          <t>R$ 2.820.831,00</t>
        </is>
      </c>
      <c r="E9" t="n">
        <v>2820831</v>
      </c>
      <c r="F9" t="inlineStr">
        <is>
          <t>1/6 do patrimônio total 2,16 bens móveis ou imóveis</t>
        </is>
      </c>
    </row>
    <row r="10">
      <c r="A10" t="inlineStr">
        <is>
          <t>08 Transportadora</t>
        </is>
      </c>
      <c r="B10" t="inlineStr">
        <is>
          <t>Rafael 08</t>
        </is>
      </c>
      <c r="C10" t="n">
        <v>17</v>
      </c>
      <c r="D10" t="inlineStr">
        <is>
          <t>R$ 2.820.831,00</t>
        </is>
      </c>
      <c r="E10" t="n">
        <v>2820831</v>
      </c>
      <c r="F10" t="inlineStr">
        <is>
          <t>Participações Societárias Ltda pelos bens imóveis selecionados de</t>
        </is>
      </c>
    </row>
    <row r="11">
      <c r="A11" t="inlineStr">
        <is>
          <t>08 Transportadora</t>
        </is>
      </c>
      <c r="B11" t="inlineStr">
        <is>
          <t>Rafael 08</t>
        </is>
      </c>
      <c r="C11" t="n">
        <v>17</v>
      </c>
      <c r="D11" t="inlineStr">
        <is>
          <t>R$ 2.820.831,00</t>
        </is>
      </c>
      <c r="E11" t="n">
        <v>2820831</v>
      </c>
      <c r="F11" t="inlineStr">
        <is>
          <t>eitura do quadro. Considerando exclusivamente os números apresentados, 1/6 do patrimônio e os bens imóveis selecionados,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sheetData>
    <row r="1">
      <c r="A1" s="1" t="inlineStr">
        <is>
          <t>Empresa</t>
        </is>
      </c>
      <c r="B1" s="1" t="inlineStr">
        <is>
          <t>Item</t>
        </is>
      </c>
      <c r="C1" s="1" t="inlineStr">
        <is>
          <t>Página</t>
        </is>
      </c>
      <c r="D1" s="1" t="inlineStr">
        <is>
          <t>Mínimo (R$)</t>
        </is>
      </c>
      <c r="E1" s="1" t="inlineStr">
        <is>
          <t>Máximo (R$)</t>
        </is>
      </c>
      <c r="F1" s="1" t="inlineStr">
        <is>
          <t>Trecho</t>
        </is>
      </c>
    </row>
    <row r="2">
      <c r="A2" t="inlineStr">
        <is>
          <t>08 Transportadora</t>
        </is>
      </c>
      <c r="B2" t="inlineStr">
        <is>
          <t>10</t>
        </is>
      </c>
      <c r="C2" t="n">
        <v>8</v>
      </c>
      <c r="D2" t="n">
        <v>106000</v>
      </c>
      <c r="E2" t="n">
        <v>170000</v>
      </c>
      <c r="F2" t="inlineStr">
        <is>
          <t xml:space="preserve">nhão SCANIA = PLACA IKR 2054, ano 2002. Trabalha para a JBS – Thiago Binda. R$ 140.000,00 O valor médio de um caminhão Scania ano 2002 fica entre R$ 106.000 e R$ 170.000, variando conforme o modelo, </t>
        </is>
      </c>
    </row>
    <row r="3">
      <c r="A3" t="inlineStr">
        <is>
          <t>08 Transportadora</t>
        </is>
      </c>
      <c r="B3" t="inlineStr">
        <is>
          <t>10</t>
        </is>
      </c>
      <c r="C3" t="n">
        <v>9</v>
      </c>
      <c r="D3" t="n">
        <v>145000</v>
      </c>
      <c r="E3" t="n">
        <v>170000</v>
      </c>
      <c r="F3" t="inlineStr">
        <is>
          <t>Anúncios): Veículos revisados, com motor refeito ou kits trocados são encontrados em plataformas como o Mercado Livre Caminhões por valores entre R$ 145.000 e R$ 170.000. [1](https://lista.mercadolivr</t>
        </is>
      </c>
    </row>
    <row r="4">
      <c r="A4" t="inlineStr">
        <is>
          <t>08 Transportadora</t>
        </is>
      </c>
      <c r="B4" t="inlineStr">
        <is>
          <t>10</t>
        </is>
      </c>
      <c r="C4" t="n">
        <v>9</v>
      </c>
      <c r="D4" t="n">
        <v>106000</v>
      </c>
      <c r="E4" t="n">
        <v>145000</v>
      </c>
      <c r="F4" t="inlineStr">
        <is>
          <t>Os modelos da linha 124 (como o 360 cv ou 400 cv) possuem preços oficiais na Tabela FIPE que giram em torno de R$ 106.000 a R$ 145.000. [1](https://www.atosprotecaov</t>
        </is>
      </c>
    </row>
    <row r="5">
      <c r="A5" t="inlineStr">
        <is>
          <t>08 Transportadora</t>
        </is>
      </c>
      <c r="B5" t="inlineStr">
        <is>
          <t>11</t>
        </is>
      </c>
      <c r="C5" t="n">
        <v>9</v>
      </c>
      <c r="D5" t="n">
        <v>50000</v>
      </c>
      <c r="E5" t="n">
        <v>90000</v>
      </c>
      <c r="F5" t="inlineStr">
        <is>
          <t xml:space="preserve">o 2009. R$ 30.000,00 O valor médio de uma carreta Randon ano 2009 varia bastante dependendo da sua categoria (implemento), ficando em geral entre R$ 50.000 e R$ 90.000. Valores Médios por Categoria </t>
        </is>
      </c>
    </row>
    <row r="6">
      <c r="A6" t="inlineStr">
        <is>
          <t>08 Transportadora</t>
        </is>
      </c>
      <c r="B6" t="inlineStr">
        <is>
          <t>11</t>
        </is>
      </c>
      <c r="C6" t="n">
        <v>10</v>
      </c>
      <c r="D6" t="n">
        <v>65000</v>
      </c>
      <c r="E6" t="n">
        <v>75000</v>
      </c>
      <c r="F6" t="inlineStr">
        <is>
          <t>Graneleira / LS (Carga Seca): Costuma custar entre R$ 65.000 e R$ 75.000. Caçamba Basculante: Gira em t</t>
        </is>
      </c>
    </row>
    <row r="7">
      <c r="A7" t="inlineStr">
        <is>
          <t>08 Transportadora</t>
        </is>
      </c>
      <c r="B7" t="inlineStr">
        <is>
          <t>11</t>
        </is>
      </c>
      <c r="C7" t="n">
        <v>10</v>
      </c>
      <c r="D7" t="n">
        <v>50000</v>
      </c>
      <c r="E7" t="n">
        <v>80000</v>
      </c>
      <c r="F7" t="inlineStr">
        <is>
          <t>Graneleira / LS (Carga Seca): Costuma custar entre R$ 65.000 e R$ 75.000. Caçamba Basculante: Gira em torno de R$ 50.000 a R$ 80.000, variando com a capacidade em</t>
        </is>
      </c>
    </row>
    <row r="8">
      <c r="A8" t="inlineStr">
        <is>
          <t>08 Transportadora</t>
        </is>
      </c>
      <c r="B8" t="inlineStr">
        <is>
          <t>11</t>
        </is>
      </c>
      <c r="C8" t="n">
        <v>10</v>
      </c>
      <c r="D8" t="n">
        <v>80000</v>
      </c>
      <c r="E8" t="n">
        <v>90000</v>
      </c>
      <c r="F8" t="inlineStr">
        <is>
          <t>em torno de R$ 50.000 a R$ 80.000, variando com a capacidade em metros cúbicos (m³). Baú ou Sider (28 a 30 paletes): Encontrada na faixa de R$ 80.000 a R$ 90.000 (geralmente vendida sem os pn</t>
        </is>
      </c>
    </row>
    <row r="9">
      <c r="A9" t="inlineStr">
        <is>
          <t>08 Transportadora</t>
        </is>
      </c>
      <c r="B9" t="inlineStr">
        <is>
          <t>11</t>
        </is>
      </c>
      <c r="C9" t="n">
        <v>10</v>
      </c>
      <c r="D9" t="n">
        <v>60000</v>
      </c>
      <c r="F9" t="inlineStr">
        <is>
          <t xml:space="preserve">0 paletes): Encontrada na faixa de R$ 80.000 a R$ 90.000 (geralmente vendida sem os pneus). Tanque (Combustível / Inox): Os modelos simples começam em R$ 60.000, mas configurações Bitrem de </t>
        </is>
      </c>
    </row>
    <row r="10">
      <c r="A10" t="inlineStr">
        <is>
          <t>08 Transportadora</t>
        </is>
      </c>
      <c r="B10" t="inlineStr">
        <is>
          <t>12</t>
        </is>
      </c>
      <c r="C10" t="n">
        <v>10</v>
      </c>
      <c r="D10" t="n">
        <v>200000</v>
      </c>
      <c r="E10" t="n">
        <v>310000</v>
      </c>
      <c r="F10" t="inlineStr">
        <is>
          <t xml:space="preserve">Z 5399, ano 2001. Trabalha para a SEI – prancha. R$ 140.000,00 O valor de um caminhão Scania ano 2001 equipado com prancha varia, em média, entre R$ 200.000 e R$ 310.000. Essa variação é maior porque </t>
        </is>
      </c>
    </row>
    <row r="11">
      <c r="A11" t="inlineStr">
        <is>
          <t>08 Transportadora</t>
        </is>
      </c>
      <c r="B11" t="inlineStr">
        <is>
          <t>12</t>
        </is>
      </c>
      <c r="C11" t="n">
        <v>11</v>
      </c>
      <c r="D11" t="n">
        <v>103000</v>
      </c>
      <c r="E11" t="n">
        <v>162000</v>
      </c>
      <c r="F11" t="inlineStr">
        <is>
          <t xml:space="preserve"> vs. Conjunto). Somente o Caminhão (Tabela FIPE / Base): Modelos populares desse ano, como o Scania 124 360 ou 124 400, têm preço de tabela entre R$ 103.000 e R$ 162.000 apenas para o cavalo mecânico</t>
        </is>
      </c>
    </row>
    <row r="12">
      <c r="A12" t="inlineStr">
        <is>
          <t>08 Transportadora</t>
        </is>
      </c>
      <c r="B12" t="inlineStr">
        <is>
          <t>12</t>
        </is>
      </c>
      <c r="C12" t="n">
        <v>11</v>
      </c>
      <c r="D12" t="n">
        <v>150000</v>
      </c>
      <c r="E12" t="n">
        <v>180000</v>
      </c>
      <c r="F12" t="inlineStr">
        <is>
          <t xml:space="preserve"> entre R$ 103.000 e R$ 162.000 apenas para o cavalo mecânico. No mercado de usados (anúncios reais), eles costumam ser vendidos por valores entre R$ 150.000 e R$ 180.000. [1](https://lista.mercadolivr</t>
        </is>
      </c>
    </row>
    <row r="13">
      <c r="A13" t="inlineStr">
        <is>
          <t>08 Transportadora</t>
        </is>
      </c>
      <c r="B13" t="inlineStr">
        <is>
          <t>12</t>
        </is>
      </c>
      <c r="C13" t="n">
        <v>11</v>
      </c>
      <c r="D13" t="n">
        <v>200000</v>
      </c>
      <c r="E13" t="n">
        <v>310000</v>
      </c>
      <c r="F13" t="inlineStr">
        <is>
          <t>hassi rígido (como um P94 ou um 124 transformado em truck/bitruck) com a prancha instalada em cima, o valor de mercado sobe para a faixa de R$ 200.000 a R$ 310.000. [1](https://lista.mercadolivr</t>
        </is>
      </c>
    </row>
    <row r="14">
      <c r="A14" t="inlineStr">
        <is>
          <t>08 Transportadora</t>
        </is>
      </c>
      <c r="B14" t="inlineStr">
        <is>
          <t>12</t>
        </is>
      </c>
      <c r="C14" t="n">
        <v>12</v>
      </c>
      <c r="D14" t="n">
        <v>240000</v>
      </c>
      <c r="E14" t="n">
        <v>280000</v>
      </c>
      <c r="F14" t="inlineStr">
        <is>
          <t>completo dificilmente sairá por menos de R$ 240.000 a R$ 280.000, variando de acordo com o núm</t>
        </is>
      </c>
    </row>
    <row r="15">
      <c r="A15" t="inlineStr">
        <is>
          <t>08 Transportadora</t>
        </is>
      </c>
      <c r="B15" t="inlineStr">
        <is>
          <t>13</t>
        </is>
      </c>
      <c r="C15" t="n">
        <v>12</v>
      </c>
      <c r="D15" t="n">
        <v>40000</v>
      </c>
      <c r="E15" t="n">
        <v>85000</v>
      </c>
      <c r="F15" t="inlineStr">
        <is>
          <t>Uma carreta RANDON = PLACA IJZ 8207, ano 2001. R$ 30.000,00 O valor de uma carreta Randon ano 2001 varia geralmente entre R$ 40.000 e R$ 85.000, dependendo do estado de cons</t>
        </is>
      </c>
    </row>
    <row r="16">
      <c r="A16" t="inlineStr">
        <is>
          <t>08 Transportadora</t>
        </is>
      </c>
      <c r="B16" t="inlineStr">
        <is>
          <t>13</t>
        </is>
      </c>
      <c r="C16" t="n">
        <v>12</v>
      </c>
      <c r="D16" t="n">
        <v>50000</v>
      </c>
      <c r="E16" t="n">
        <v>60000</v>
      </c>
      <c r="F16" t="inlineStr">
        <is>
          <t>ios por Tipo (Ano 2001) Carga Seca / Grade Baixa: Em torno de R$ 40.000 a R$ 50.000 (modelos mais simples, às vezes sem pneus). Graneleiro: Entre R$ 50.000 e R$ 60.000 conforme a avaliação de merca</t>
        </is>
      </c>
    </row>
    <row r="17">
      <c r="A17" t="inlineStr">
        <is>
          <t>08 Transportadora</t>
        </is>
      </c>
      <c r="B17" t="inlineStr">
        <is>
          <t>13</t>
        </is>
      </c>
      <c r="C17" t="n">
        <v>12</v>
      </c>
      <c r="D17" t="n">
        <v>40000</v>
      </c>
      <c r="E17" t="n">
        <v>50000</v>
      </c>
      <c r="F17" t="inlineStr">
        <is>
          <t xml:space="preserve"> tipo de implemento (carga seca, graneleiro, basculante ou sider). Valores Médios por Tipo (Ano 2001) Carga Seca / Grade Baixa: Em torno de R$ 40.000 a R$ 50.000 (modelos mais simples, às vez</t>
        </is>
      </c>
    </row>
    <row r="18">
      <c r="A18" t="inlineStr">
        <is>
          <t>08 Transportadora</t>
        </is>
      </c>
      <c r="B18" t="inlineStr">
        <is>
          <t>13</t>
        </is>
      </c>
      <c r="C18" t="n">
        <v>12</v>
      </c>
      <c r="D18" t="n">
        <v>65000</v>
      </c>
      <c r="E18" t="n">
        <v>70000</v>
      </c>
      <c r="F18" t="inlineStr">
        <is>
          <t xml:space="preserve"> mais simples, às vezes sem pneus). Graneleiro: Entre R$ 50.000 e R$ 60.000 conforme a avaliação de mercado e leilões. Basculante: Cerca de R$ 65.000 a R$ 70.000. Sider / Baú (com maior capaci</t>
        </is>
      </c>
    </row>
    <row r="19">
      <c r="A19" t="inlineStr">
        <is>
          <t>08 Transportadora</t>
        </is>
      </c>
      <c r="B19" t="inlineStr">
        <is>
          <t>13</t>
        </is>
      </c>
      <c r="C19" t="n">
        <v>12</v>
      </c>
      <c r="D19" t="n">
        <v>83000</v>
      </c>
      <c r="E19" t="n">
        <v>85000</v>
      </c>
      <c r="F19" t="inlineStr">
        <is>
          <t>a avaliação de mercado e leilões. Basculante: Cerca de R$ 65.000 a R$ 70.000. Sider / Baú (com maior capacidade de paletes): Podem chegar a R$ 83.000 a R$ 85.000 se estiverem completas e em b</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sheetData>
    <row r="1">
      <c r="A1" s="1" t="inlineStr">
        <is>
          <t>Fonte 2018</t>
        </is>
      </c>
      <c r="B1" s="1" t="inlineStr">
        <is>
          <t>Item 2018</t>
        </is>
      </c>
      <c r="C1" s="1" t="inlineStr">
        <is>
          <t>Valor 2018 (R$)</t>
        </is>
      </c>
      <c r="D1" s="1" t="inlineStr">
        <is>
          <t>Descrição 2018</t>
        </is>
      </c>
      <c r="E1" s="1" t="inlineStr">
        <is>
          <t>Chave</t>
        </is>
      </c>
      <c r="F1" s="1" t="inlineStr">
        <is>
          <t>Tipo de par</t>
        </is>
      </c>
      <c r="G1" s="1" t="inlineStr">
        <is>
          <t>Fonte 2025</t>
        </is>
      </c>
      <c r="H1" s="1" t="inlineStr">
        <is>
          <t>Item 2025</t>
        </is>
      </c>
      <c r="I1" s="1" t="inlineStr">
        <is>
          <t>Valor 2025 (R$)</t>
        </is>
      </c>
      <c r="J1" s="1" t="inlineStr">
        <is>
          <t>Descrição 2025</t>
        </is>
      </c>
    </row>
    <row r="2">
      <c r="A2" t="inlineStr">
        <is>
          <t>2018 doc 12 Abastecedora</t>
        </is>
      </c>
      <c r="B2" t="inlineStr">
        <is>
          <t>01</t>
        </is>
      </c>
      <c r="C2" t="n">
        <v>12216851.89</v>
      </c>
      <c r="D2" t="inlineStr">
        <is>
          <t>Um imóvel urbano sob Matrícula nº 3.752, com área de 3.450,00m², que compreende um lote urbano e instalação de um Posto de Combustíveis, totalmente equipado e e</t>
        </is>
      </c>
      <c r="E2" t="inlineStr">
        <is>
          <t>mat. 3752</t>
        </is>
      </c>
      <c r="F2" t="inlineStr">
        <is>
          <t>par por chave</t>
        </is>
      </c>
      <c r="G2" t="inlineStr">
        <is>
          <t>2025 atual 01</t>
        </is>
      </c>
      <c r="H2" t="inlineStr">
        <is>
          <t>01</t>
        </is>
      </c>
      <c r="I2" t="n">
        <v>9661414</v>
      </c>
      <c r="J2" t="inlineStr">
        <is>
          <t>Um imóvel urbano sob Matrícula nº 3.752, com área de 3.450,00m², que compreende um lote urbano e instalação de um Posto de Combustíveis, totalmente equipado e e</t>
        </is>
      </c>
    </row>
    <row r="3">
      <c r="A3" t="inlineStr">
        <is>
          <t>2018 doc 12 Abastecedora</t>
        </is>
      </c>
      <c r="B3" t="inlineStr">
        <is>
          <t>02</t>
        </is>
      </c>
      <c r="C3" t="n">
        <v>145000</v>
      </c>
      <c r="D3" t="inlineStr">
        <is>
          <t>Um caminhão carro tanque placa: ICW 8342, ano: 1995, modelo: MERCEBES BENZ/L 1618.</t>
        </is>
      </c>
      <c r="E3" t="inlineStr">
        <is>
          <t>placa ICW 8342</t>
        </is>
      </c>
      <c r="F3" t="inlineStr">
        <is>
          <t>sem par em 2025</t>
        </is>
      </c>
    </row>
    <row r="4">
      <c r="A4" t="inlineStr">
        <is>
          <t>2018 doc 15 Transportadora</t>
        </is>
      </c>
      <c r="B4" t="inlineStr">
        <is>
          <t>01</t>
        </is>
      </c>
      <c r="C4" t="n">
        <v>140000</v>
      </c>
      <c r="D4" t="inlineStr">
        <is>
          <t>Um veículo caminhão SCANIA = PLACA IKR 2054, ano 2002. Trabalha para a JBS – Thiago Binda.</t>
        </is>
      </c>
      <c r="E4" t="inlineStr">
        <is>
          <t>placa IKR 2054</t>
        </is>
      </c>
      <c r="F4" t="inlineStr">
        <is>
          <t>par por chave</t>
        </is>
      </c>
      <c r="G4" t="inlineStr">
        <is>
          <t>2025 atual 08</t>
        </is>
      </c>
      <c r="H4" t="inlineStr">
        <is>
          <t>10</t>
        </is>
      </c>
      <c r="I4" t="n">
        <v>140000</v>
      </c>
      <c r="J4" t="inlineStr">
        <is>
          <t>Um veículo caminhão SCANIA = PLACA IKR 2054, ano 2002. Trabalha para a JBS – Thiago Binda.</t>
        </is>
      </c>
    </row>
    <row r="5">
      <c r="A5" t="inlineStr">
        <is>
          <t>2018 doc 15 Transportadora</t>
        </is>
      </c>
      <c r="B5" t="inlineStr">
        <is>
          <t>02</t>
        </is>
      </c>
      <c r="C5" t="n">
        <v>30000</v>
      </c>
      <c r="D5" t="inlineStr">
        <is>
          <t>Uma carreta RANDON = PLACA IQB 0612, ano 2009.</t>
        </is>
      </c>
      <c r="E5" t="inlineStr">
        <is>
          <t>placa IQB 0612</t>
        </is>
      </c>
      <c r="F5" t="inlineStr">
        <is>
          <t>par por chave</t>
        </is>
      </c>
      <c r="G5" t="inlineStr">
        <is>
          <t>2025 atual 08</t>
        </is>
      </c>
      <c r="H5" t="inlineStr">
        <is>
          <t>11</t>
        </is>
      </c>
      <c r="I5" t="n">
        <v>30000</v>
      </c>
      <c r="J5" t="inlineStr">
        <is>
          <t>Uma carreta RANDON = PLACA IQB 0612, ano 2009.</t>
        </is>
      </c>
    </row>
    <row r="6">
      <c r="A6" t="inlineStr">
        <is>
          <t>2018 doc 15 Transportadora</t>
        </is>
      </c>
      <c r="B6" t="inlineStr">
        <is>
          <t>03</t>
        </is>
      </c>
      <c r="C6" t="n">
        <v>140000</v>
      </c>
      <c r="D6" t="inlineStr">
        <is>
          <t>Um veículo caminhão SCANIA = PLACA IJZ 5399, ano 2001. Trabalha para a SEI – prancha.</t>
        </is>
      </c>
      <c r="E6" t="inlineStr">
        <is>
          <t>placa IJZ 5399</t>
        </is>
      </c>
      <c r="F6" t="inlineStr">
        <is>
          <t>par por chave</t>
        </is>
      </c>
      <c r="G6" t="inlineStr">
        <is>
          <t>2025 atual 08</t>
        </is>
      </c>
      <c r="H6" t="inlineStr">
        <is>
          <t>12</t>
        </is>
      </c>
      <c r="I6" t="n">
        <v>140000</v>
      </c>
      <c r="J6" t="inlineStr">
        <is>
          <t>Um veículo caminhão SCANIA = PLACA IJZ 5399, ano 2001. Trabalha para a SEI – prancha.</t>
        </is>
      </c>
    </row>
    <row r="7">
      <c r="A7" t="inlineStr">
        <is>
          <t>2018 doc 15 Transportadora</t>
        </is>
      </c>
      <c r="B7" t="inlineStr">
        <is>
          <t>04</t>
        </is>
      </c>
      <c r="C7" t="n">
        <v>30000</v>
      </c>
      <c r="D7" t="inlineStr">
        <is>
          <t>Uma carreta RANDON = PLACA IJZ 8207, ano 2001.</t>
        </is>
      </c>
      <c r="E7" t="inlineStr">
        <is>
          <t>placa IJZ 8207</t>
        </is>
      </c>
      <c r="F7" t="inlineStr">
        <is>
          <t>par por chave</t>
        </is>
      </c>
      <c r="G7" t="inlineStr">
        <is>
          <t>2025 atual 08</t>
        </is>
      </c>
      <c r="H7" t="inlineStr">
        <is>
          <t>13</t>
        </is>
      </c>
      <c r="I7" t="n">
        <v>30000</v>
      </c>
      <c r="J7" t="inlineStr">
        <is>
          <t>Uma carreta RANDON = PLACA IJZ 8207, ano 2001.</t>
        </is>
      </c>
    </row>
    <row r="8">
      <c r="A8" t="inlineStr">
        <is>
          <t>2018 doc 15 Transportadora</t>
        </is>
      </c>
      <c r="B8" t="inlineStr">
        <is>
          <t>05</t>
        </is>
      </c>
      <c r="C8" t="n">
        <v>149000</v>
      </c>
      <c r="D8" t="inlineStr">
        <is>
          <t>Uma sala comercial, utilizada com o consultório da Fisioterapeuta Araceli Siviero, localizada na Avenida Dr. José Montaury, nº 1678, Sala nº 01, Bairro Palugana</t>
        </is>
      </c>
      <c r="E8" t="inlineStr">
        <is>
          <t>mat. 18952</t>
        </is>
      </c>
      <c r="F8" t="inlineStr">
        <is>
          <t>sem par em 2025</t>
        </is>
      </c>
    </row>
    <row r="9">
      <c r="A9" t="inlineStr">
        <is>
          <t>2018 doc 15 Transportadora</t>
        </is>
      </c>
      <c r="B9" t="inlineStr">
        <is>
          <t>06</t>
        </is>
      </c>
      <c r="C9" t="n">
        <v>685000</v>
      </c>
      <c r="D9" t="inlineStr">
        <is>
          <t>Uma sala comercial, utilizada com o escritório das empresas, localizada na Avenida Pinheiro Machado, nº 710, Sala nº 01, Bairro Centro, no Edifício Luiz Siviero</t>
        </is>
      </c>
      <c r="E9" t="inlineStr">
        <is>
          <t>mat. 7393</t>
        </is>
      </c>
      <c r="F9" t="inlineStr">
        <is>
          <t>par por chave</t>
        </is>
      </c>
      <c r="G9" t="inlineStr">
        <is>
          <t>2025 atual 08</t>
        </is>
      </c>
      <c r="H9" t="inlineStr">
        <is>
          <t>06</t>
        </is>
      </c>
      <c r="I9" t="n">
        <v>840000</v>
      </c>
      <c r="J9" t="inlineStr">
        <is>
          <t>Uma sala comercial, utilizada com o escritório das empresas, localizada na Avenida Pinheiro Machado, nº 710, Sala nº 01, Bairro Centro, no Edifício Luiz Siviero</t>
        </is>
      </c>
    </row>
    <row r="10">
      <c r="A10" t="inlineStr">
        <is>
          <t>2018 doc 15 Transportadora</t>
        </is>
      </c>
      <c r="B10" t="inlineStr">
        <is>
          <t>07</t>
        </is>
      </c>
      <c r="C10" t="n">
        <v>30000</v>
      </c>
      <c r="D10" t="inlineStr">
        <is>
          <t>Móveis, materiais diversos (mesas, cadeiras, telefone, etc...), equipamentos de informática e outros equipamentos instalados no Escritório das empresas Siviero,</t>
        </is>
      </c>
      <c r="E10" t="inlineStr">
        <is>
          <t>sem chave</t>
        </is>
      </c>
      <c r="F10" t="inlineStr">
        <is>
          <t>sem par em 2025</t>
        </is>
      </c>
    </row>
    <row r="11">
      <c r="A11" t="inlineStr">
        <is>
          <t>2018 doc 15 Transportadora</t>
        </is>
      </c>
      <c r="B11" t="inlineStr">
        <is>
          <t>08</t>
        </is>
      </c>
      <c r="C11" t="n">
        <v>360000</v>
      </c>
      <c r="D11" t="inlineStr">
        <is>
          <t>Um apartamento residencial, localizado na Avenida Pinheiro Machado, nº 710, denominado de nº 401, Bairro Centro, no Edifício Luiz Siviero, na cidade de Veranópo</t>
        </is>
      </c>
      <c r="E11" t="inlineStr">
        <is>
          <t>mat. 7400</t>
        </is>
      </c>
      <c r="F11" t="inlineStr">
        <is>
          <t>par por chave</t>
        </is>
      </c>
      <c r="G11" t="inlineStr">
        <is>
          <t>2025 atual 08</t>
        </is>
      </c>
      <c r="H11" t="inlineStr">
        <is>
          <t>09</t>
        </is>
      </c>
      <c r="I11" t="n">
        <v>360000</v>
      </c>
      <c r="J11" t="inlineStr">
        <is>
          <t>Um apartamento residencial, localizado na Avenida Pinheiro Machado, nº 710, denominado de nº 401, Bairro Centro, no Edifício Luiz Siviero, na cidade de Veranópo</t>
        </is>
      </c>
    </row>
    <row r="12">
      <c r="A12" t="inlineStr">
        <is>
          <t>2018 doc 15 Transportadora</t>
        </is>
      </c>
      <c r="B12" t="inlineStr">
        <is>
          <t>09</t>
        </is>
      </c>
      <c r="C12" t="n">
        <v>220000</v>
      </c>
      <c r="D12" t="inlineStr">
        <is>
          <t>Um apartamento residencial, localizado na Avenida Pinheiro Machado, nº 710, denominado de nº 102, Bairro Centro, no Edifício Luiz Siviero, na cidade de Veranópo</t>
        </is>
      </c>
      <c r="E12" t="inlineStr">
        <is>
          <t>mat. 7395</t>
        </is>
      </c>
      <c r="F12" t="inlineStr">
        <is>
          <t>sem par em 2025</t>
        </is>
      </c>
    </row>
    <row r="13">
      <c r="A13" t="inlineStr">
        <is>
          <t>2018 doc 10 Oficina Mecânica</t>
        </is>
      </c>
      <c r="B13" t="inlineStr">
        <is>
          <t>01</t>
        </is>
      </c>
      <c r="C13" t="n">
        <v>8637186</v>
      </c>
      <c r="D13" t="inlineStr">
        <is>
          <t>Um terreno urbano, com a área de 8.700,00m², localizado na Rodovia BR 470, Km 175,4, no Bairro São Pelegrino, devidamente registrado no Ofício de Registro de Im</t>
        </is>
      </c>
      <c r="E13" t="inlineStr">
        <is>
          <t>mat. 3753</t>
        </is>
      </c>
      <c r="F13" t="inlineStr">
        <is>
          <t>par por chave</t>
        </is>
      </c>
      <c r="G13" t="inlineStr">
        <is>
          <t>2025 atual 08</t>
        </is>
      </c>
      <c r="H13" t="inlineStr">
        <is>
          <t>01</t>
        </is>
      </c>
      <c r="I13" t="n">
        <v>8637186</v>
      </c>
      <c r="J13" t="inlineStr">
        <is>
          <t>Um terreno urbano, com a área de 8.700,00m², localizado na Rodovia BR 470, Km 175,4, no Bairro São Pelegrino, devidamente registrado no Ofício de Registro de Im</t>
        </is>
      </c>
    </row>
    <row r="14">
      <c r="A14" t="inlineStr">
        <is>
          <t>2018 doc 10 Oficina Mecânica</t>
        </is>
      </c>
      <c r="B14" t="inlineStr">
        <is>
          <t>02</t>
        </is>
      </c>
      <c r="C14" t="n">
        <v>1259812.84</v>
      </c>
      <c r="D14" t="inlineStr">
        <is>
          <t xml:space="preserve">Um pavilhão novo – em fase de construção – onde será instalada a OFICINA MECÂNICA, não sendo considerado o valor da construção do mezanino com párea construída </t>
        </is>
      </c>
      <c r="E14" t="inlineStr">
        <is>
          <t>sem chave; mesma posição na lista; localização não documentada (arq. 1 p. 16 × arq. 4 p. 1 e 3)</t>
        </is>
      </c>
      <c r="F14" t="inlineStr">
        <is>
          <t>par por descrição — confirmar</t>
        </is>
      </c>
      <c r="G14" t="inlineStr">
        <is>
          <t>2025 atual 08</t>
        </is>
      </c>
      <c r="H14" t="inlineStr">
        <is>
          <t>02</t>
        </is>
      </c>
      <c r="I14" t="n">
        <v>1427800</v>
      </c>
      <c r="J14" t="inlineStr">
        <is>
          <t xml:space="preserve">Um pavilhão novo – em fase FINAL de construção – onde está sendo instalada a OFICINA MECÂNICA, não sendo considerado o valor da construção do mezanino com área </t>
        </is>
      </c>
    </row>
    <row r="15">
      <c r="A15" t="inlineStr">
        <is>
          <t>2018 doc 10 Oficina Mecânica</t>
        </is>
      </c>
      <c r="B15" t="inlineStr">
        <is>
          <t>03</t>
        </is>
      </c>
      <c r="C15" t="n">
        <v>500000</v>
      </c>
      <c r="D15" t="inlineStr">
        <is>
          <t>Equipamentos em geral, como: macacos, guindastes; ferramentas em geral de todas as espécies e de necessidade para o funcionamento da oficina mecânica, peças, ól</t>
        </is>
      </c>
      <c r="E15" t="inlineStr">
        <is>
          <t>sem chave; mesma posição na lista; localização não documentada (arq. 1 p. 16 × arq. 4 p. 1 e 3)</t>
        </is>
      </c>
      <c r="F15" t="inlineStr">
        <is>
          <t>par por descrição — confirmar</t>
        </is>
      </c>
      <c r="G15" t="inlineStr">
        <is>
          <t>2025 atual 08</t>
        </is>
      </c>
      <c r="H15" t="inlineStr">
        <is>
          <t>03</t>
        </is>
      </c>
      <c r="I15" t="n">
        <v>500000</v>
      </c>
      <c r="J15" t="inlineStr">
        <is>
          <t>Equipamentos em geral, como: macacos, guindastes; ferramentas em geral de todas as espécies e de necessidade para o funcionamento da oficina mecânica, peças, ól</t>
        </is>
      </c>
    </row>
    <row r="16">
      <c r="A16" t="inlineStr">
        <is>
          <t>2018 doc 10 Oficina Mecânica</t>
        </is>
      </c>
      <c r="B16" t="inlineStr">
        <is>
          <t>04</t>
        </is>
      </c>
      <c r="C16" t="n">
        <v>300000</v>
      </c>
      <c r="D16" t="inlineStr">
        <is>
          <t>Uma rampa de lavagem devidamente licenciada para lavagem de caminhões pesados e carros, que pode ser utilizada para fins próprios ou manter locada para terceiro</t>
        </is>
      </c>
      <c r="E16" t="inlineStr">
        <is>
          <t>sem chave; mesma posição na lista; localização não documentada (arq. 1 p. 16 × arq. 4 p. 1 e 3)</t>
        </is>
      </c>
      <c r="F16" t="inlineStr">
        <is>
          <t>par por descrição — confirmar</t>
        </is>
      </c>
      <c r="G16" t="inlineStr">
        <is>
          <t>2025 atual 08</t>
        </is>
      </c>
      <c r="H16" t="inlineStr">
        <is>
          <t>04</t>
        </is>
      </c>
      <c r="I16" t="n">
        <v>300000</v>
      </c>
      <c r="J16" t="inlineStr">
        <is>
          <t>Uma rampa de lavagem devidamente licenciada para lavagem de caminhões pesados e carros, que pode ser utilizada para fins próprios ou manter locada para terceiro</t>
        </is>
      </c>
    </row>
    <row r="17">
      <c r="A17" t="inlineStr">
        <is>
          <t>2018 doc 10 Oficina Mecânica</t>
        </is>
      </c>
      <c r="B17" t="inlineStr">
        <is>
          <t>05</t>
        </is>
      </c>
      <c r="C17" t="n">
        <v>25000</v>
      </c>
      <c r="D17" t="inlineStr">
        <is>
          <t>Uma borracharia, que pode ser utilizada para fins próprios ou manter locada para terceiros. Os equipamentos são de propriedade da empresa locatária.</t>
        </is>
      </c>
      <c r="E17" t="inlineStr">
        <is>
          <t>sem chave; mesma posição na lista; localização não documentada (arq. 1 p. 16 × arq. 4 p. 1 e 3)</t>
        </is>
      </c>
      <c r="F17" t="inlineStr">
        <is>
          <t>par por descrição — confirmar</t>
        </is>
      </c>
      <c r="G17" t="inlineStr">
        <is>
          <t>2025 atual 08</t>
        </is>
      </c>
      <c r="H17" t="inlineStr">
        <is>
          <t>05</t>
        </is>
      </c>
      <c r="I17" t="n">
        <v>220000</v>
      </c>
      <c r="J17" t="inlineStr">
        <is>
          <t>Uma borracharia, que pode ser utilizada para fins próprios ou manter locada para terceiros. Os equipamentos são de propriedade da empresa locatária. Valor do Pa</t>
        </is>
      </c>
    </row>
    <row r="18">
      <c r="A18" t="inlineStr">
        <is>
          <t>2018 doc 10 Oficina Mecânica</t>
        </is>
      </c>
      <c r="B18" t="inlineStr">
        <is>
          <t>06</t>
        </is>
      </c>
      <c r="C18" t="n">
        <v>4950000</v>
      </c>
      <c r="D18" t="inlineStr">
        <is>
          <t>Um terreno urbano, com a área de 4.986,00m², localizado na Rodovia BR 470, Km 175,4, no Bairro São Pelegrino, devidamente registrado no Ofício de Registro de Im</t>
        </is>
      </c>
      <c r="E18" t="inlineStr">
        <is>
          <t>mat. 3754</t>
        </is>
      </c>
      <c r="F18" t="inlineStr">
        <is>
          <t>migrou para a SEI (doc 11 item 03, R$ 4.950.000,00)</t>
        </is>
      </c>
    </row>
    <row r="19">
      <c r="A19" t="inlineStr">
        <is>
          <t>2018 doc 10 Oficina Mecânica</t>
        </is>
      </c>
      <c r="B19" t="inlineStr">
        <is>
          <t>07</t>
        </is>
      </c>
      <c r="C19" t="n">
        <v>13631378.6</v>
      </c>
      <c r="D19" t="inlineStr">
        <is>
          <t>Um terreno urbano, com a área de 1.942,03m², localizado na Rodovia BR 470, Km 175,4, no Bairro Valverde, devidamente registrado no Ofício de Registro de Imóveis</t>
        </is>
      </c>
      <c r="E19" t="inlineStr">
        <is>
          <t>mat. 17409, mat. 6136 → mat. 29954 (unificação)</t>
        </is>
      </c>
      <c r="F19" t="inlineStr">
        <is>
          <t>migrou para a SEI (doc 11 item 04, R$ 13.631.378,60)</t>
        </is>
      </c>
    </row>
    <row r="20">
      <c r="A20" t="inlineStr">
        <is>
          <t>2018 doc 17 Agropecuária</t>
        </is>
      </c>
      <c r="B20" t="inlineStr">
        <is>
          <t>07</t>
        </is>
      </c>
      <c r="C20" t="inlineStr">
        <is>
          <t>R$ NÃO DIVISÍVEL</t>
        </is>
      </c>
      <c r="D20" t="inlineStr">
        <is>
          <t>Uma área de terras rurais, denominada de LOTES RURAIS Nº 63, 65, 66 e LETRA “N”, com área total de 69,8 hectares, localizada na Linha Júlio de Castilhos, Capela</t>
        </is>
      </c>
      <c r="E20" t="inlineStr">
        <is>
          <t>mat. 459, mat. 460, mat. 461, mat. 558</t>
        </is>
      </c>
      <c r="F20" t="inlineStr">
        <is>
          <t>par por chave</t>
        </is>
      </c>
      <c r="G20" t="inlineStr">
        <is>
          <t>2025 atual 08</t>
        </is>
      </c>
      <c r="H20" t="inlineStr">
        <is>
          <t>07</t>
        </is>
      </c>
      <c r="I20" t="n">
        <v>3500000</v>
      </c>
      <c r="J20" t="inlineStr">
        <is>
          <t>Uma área de terras rurais, denominada de LOTES RURAIS Nº 63, 65, 66 e LETRA “N”, com área total de 69,8 hectares, localizada na Linha Júlio de Castilhos, Capela</t>
        </is>
      </c>
    </row>
    <row r="21">
      <c r="A21" t="inlineStr">
        <is>
          <t>2018 doc 17 Agropecuária</t>
        </is>
      </c>
      <c r="B21" t="inlineStr">
        <is>
          <t>08</t>
        </is>
      </c>
      <c r="C21" t="inlineStr">
        <is>
          <t>R$ NÃO DIVISÍVEL</t>
        </is>
      </c>
      <c r="D21" t="inlineStr">
        <is>
          <t>Uma área de terras rurais, denominada de Parte do lote Rural nº 63, da Linha Dr. Júlio de Castilhos, com área total de 4,5 hectares, DENTRO DE UM TODO MAIOR, lo</t>
        </is>
      </c>
      <c r="E21" t="inlineStr">
        <is>
          <t>registro 15922</t>
        </is>
      </c>
      <c r="F21" t="inlineStr">
        <is>
          <t>par por chave</t>
        </is>
      </c>
      <c r="G21" t="inlineStr">
        <is>
          <t>2025 atual 08</t>
        </is>
      </c>
      <c r="H21" t="inlineStr">
        <is>
          <t>08</t>
        </is>
      </c>
      <c r="I21" t="n">
        <v>250000</v>
      </c>
      <c r="J21" t="inlineStr">
        <is>
          <t>Uma área de terras rurais, denominada de Parte do lote Rural nº 63, da Linha Dr. Júlio de Castilhos, com área total de 4,5 hectares, DENTRO DE UM TODO MAIOR, lo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05"/>
  <sheetViews>
    <sheetView workbookViewId="0">
      <pane ySplit="1" topLeftCell="A2" activePane="bottomLeft" state="frozen"/>
      <selection pane="bottomLeft" activeCell="A1" sqref="A1"/>
    </sheetView>
  </sheetViews>
  <sheetFormatPr baseColWidth="8" defaultRowHeight="15"/>
  <sheetData>
    <row r="1">
      <c r="A1" s="1" t="inlineStr">
        <is>
          <t>Aba</t>
        </is>
      </c>
      <c r="B1" s="1" t="inlineStr">
        <is>
          <t>Célula</t>
        </is>
      </c>
      <c r="C1" s="1" t="inlineStr">
        <is>
          <t>Fórmula</t>
        </is>
      </c>
      <c r="D1" s="1" t="inlineStr">
        <is>
          <t>Valor (cache da exportação)</t>
        </is>
      </c>
    </row>
    <row r="2">
      <c r="A2" t="inlineStr">
        <is>
          <t>1.Abastecedora</t>
        </is>
      </c>
      <c r="B2" t="inlineStr">
        <is>
          <t>B1</t>
        </is>
      </c>
      <c r="D2" t="inlineStr">
        <is>
          <t>ESTUDO SIVIERO</t>
        </is>
      </c>
    </row>
    <row r="3">
      <c r="A3" t="inlineStr">
        <is>
          <t>1.Abastecedora</t>
        </is>
      </c>
      <c r="B3" t="inlineStr">
        <is>
          <t>C1</t>
        </is>
      </c>
      <c r="D3" t="inlineStr">
        <is>
          <t>2018: apresentado</t>
        </is>
      </c>
    </row>
    <row r="4">
      <c r="A4" t="inlineStr">
        <is>
          <t>1.Abastecedora</t>
        </is>
      </c>
      <c r="B4" t="inlineStr">
        <is>
          <t>D1</t>
        </is>
      </c>
      <c r="D4" t="inlineStr">
        <is>
          <t>2018: atualizado</t>
        </is>
      </c>
    </row>
    <row r="5">
      <c r="A5" t="inlineStr">
        <is>
          <t>1.Abastecedora</t>
        </is>
      </c>
      <c r="B5" t="inlineStr">
        <is>
          <t>E1</t>
        </is>
      </c>
      <c r="D5" t="inlineStr">
        <is>
          <t>dezembro 2024</t>
        </is>
      </c>
    </row>
    <row r="6">
      <c r="A6" t="inlineStr">
        <is>
          <t>1.Abastecedora</t>
        </is>
      </c>
      <c r="B6" t="inlineStr">
        <is>
          <t>G1</t>
        </is>
      </c>
      <c r="D6" t="inlineStr">
        <is>
          <t>outubro 2025</t>
        </is>
      </c>
    </row>
    <row r="7">
      <c r="A7" t="inlineStr">
        <is>
          <t>1.Abastecedora</t>
        </is>
      </c>
      <c r="B7" t="inlineStr">
        <is>
          <t>H1</t>
        </is>
      </c>
      <c r="D7" t="inlineStr">
        <is>
          <t>Diferença</t>
        </is>
      </c>
    </row>
    <row r="8">
      <c r="A8" t="inlineStr">
        <is>
          <t>1.Abastecedora</t>
        </is>
      </c>
      <c r="B8" t="inlineStr">
        <is>
          <t>I1</t>
        </is>
      </c>
      <c r="D8" t="inlineStr">
        <is>
          <t>OBSERVAÇÕES</t>
        </is>
      </c>
    </row>
    <row r="9">
      <c r="A9" t="inlineStr">
        <is>
          <t>1.Abastecedora</t>
        </is>
      </c>
      <c r="B9" t="inlineStr">
        <is>
          <t>B3</t>
        </is>
      </c>
      <c r="D9" t="inlineStr">
        <is>
          <t>patrimônio (sem desconto)</t>
        </is>
      </c>
    </row>
    <row r="10">
      <c r="A10" t="inlineStr">
        <is>
          <t>1.Abastecedora</t>
        </is>
      </c>
      <c r="B10" t="inlineStr">
        <is>
          <t>C3</t>
        </is>
      </c>
      <c r="C10">
        <f>C5+#REF!+#REF!+#REF!+#REF!+#REF!+#REF!+#REF!+#REF!+#REF!+#REF!</f>
        <v/>
      </c>
      <c r="D10" t="e">
        <v>#REF!</v>
      </c>
    </row>
    <row r="11">
      <c r="A11" t="inlineStr">
        <is>
          <t>1.Abastecedora</t>
        </is>
      </c>
      <c r="B11" t="inlineStr">
        <is>
          <t>D3</t>
        </is>
      </c>
      <c r="C11">
        <f>D5+#REF!+#REF!+#REF!+#REF!+#REF!+#REF!+#REF!+#REF!+#REF!+#REF!</f>
        <v/>
      </c>
      <c r="D11" t="e">
        <v>#REF!</v>
      </c>
    </row>
    <row r="12">
      <c r="A12" t="inlineStr">
        <is>
          <t>1.Abastecedora</t>
        </is>
      </c>
      <c r="B12" t="inlineStr">
        <is>
          <t>E3</t>
        </is>
      </c>
      <c r="C12">
        <f>E5+#REF!+#REF!+#REF!+#REF!+#REF!+#REF!+#REF!+#REF!+#REF!+#REF!</f>
        <v/>
      </c>
      <c r="D12" t="e">
        <v>#REF!</v>
      </c>
    </row>
    <row r="13">
      <c r="A13" t="inlineStr">
        <is>
          <t>1.Abastecedora</t>
        </is>
      </c>
      <c r="B13" t="inlineStr">
        <is>
          <t>F3</t>
        </is>
      </c>
      <c r="C13">
        <f>F5+#REF!+#REF!+#REF!+#REF!+#REF!+#REF!+#REF!+#REF!+#REF!+#REF!</f>
        <v/>
      </c>
      <c r="D13" t="e">
        <v>#REF!</v>
      </c>
    </row>
    <row r="14">
      <c r="A14" t="inlineStr">
        <is>
          <t>1.Abastecedora</t>
        </is>
      </c>
      <c r="B14" t="inlineStr">
        <is>
          <t>G3</t>
        </is>
      </c>
      <c r="C14">
        <f>G5+#REF!+#REF!+#REF!+#REF!+#REF!+#REF!+#REF!+#REF!+#REF!+#REF!</f>
        <v/>
      </c>
      <c r="D14" t="e">
        <v>#REF!</v>
      </c>
    </row>
    <row r="15">
      <c r="A15" t="inlineStr">
        <is>
          <t>1.Abastecedora</t>
        </is>
      </c>
      <c r="B15" t="inlineStr">
        <is>
          <t>H3</t>
        </is>
      </c>
      <c r="C15">
        <f>G3-D3</f>
        <v/>
      </c>
      <c r="D15" t="e">
        <v>#REF!</v>
      </c>
    </row>
    <row r="16">
      <c r="A16" t="inlineStr">
        <is>
          <t>1.Abastecedora</t>
        </is>
      </c>
      <c r="B16" t="inlineStr">
        <is>
          <t>A5</t>
        </is>
      </c>
      <c r="D16" t="n">
        <v>1</v>
      </c>
    </row>
    <row r="17">
      <c r="A17" t="inlineStr">
        <is>
          <t>1.Abastecedora</t>
        </is>
      </c>
      <c r="B17" t="inlineStr">
        <is>
          <t>B5</t>
        </is>
      </c>
      <c r="D17" t="inlineStr">
        <is>
          <t>ABASTECEDORA DE COMBUSTÍVEIS SIVIERO LTDA.</t>
        </is>
      </c>
    </row>
    <row r="18">
      <c r="A18" t="inlineStr">
        <is>
          <t>1.Abastecedora</t>
        </is>
      </c>
      <c r="B18" t="inlineStr">
        <is>
          <t>C5</t>
        </is>
      </c>
      <c r="C18">
        <f>SUM(C7:C10)</f>
        <v/>
      </c>
      <c r="D18" t="n">
        <v>12361851.89</v>
      </c>
    </row>
    <row r="19">
      <c r="A19" t="inlineStr">
        <is>
          <t>1.Abastecedora</t>
        </is>
      </c>
      <c r="B19" t="inlineStr">
        <is>
          <t>D5</t>
        </is>
      </c>
      <c r="C19">
        <f>SUM(D7:D10)</f>
        <v/>
      </c>
      <c r="D19" t="n">
        <v>9806414</v>
      </c>
    </row>
    <row r="20">
      <c r="A20" t="inlineStr">
        <is>
          <t>1.Abastecedora</t>
        </is>
      </c>
      <c r="B20" t="inlineStr">
        <is>
          <t>E5</t>
        </is>
      </c>
      <c r="C20">
        <f>SUM(E7:E10)</f>
        <v/>
      </c>
      <c r="D20" t="n">
        <v>0</v>
      </c>
    </row>
    <row r="21">
      <c r="A21" t="inlineStr">
        <is>
          <t>1.Abastecedora</t>
        </is>
      </c>
      <c r="B21" t="inlineStr">
        <is>
          <t>F5</t>
        </is>
      </c>
      <c r="C21">
        <f>SUM(F7:F10)</f>
        <v/>
      </c>
      <c r="D21" t="n">
        <v>9661414</v>
      </c>
    </row>
    <row r="22">
      <c r="A22" t="inlineStr">
        <is>
          <t>1.Abastecedora</t>
        </is>
      </c>
      <c r="B22" t="inlineStr">
        <is>
          <t>G5</t>
        </is>
      </c>
      <c r="C22">
        <f>SUM(G7:G10)</f>
        <v/>
      </c>
      <c r="D22" t="n">
        <v>9661414</v>
      </c>
    </row>
    <row r="23">
      <c r="A23" t="inlineStr">
        <is>
          <t>1.Abastecedora</t>
        </is>
      </c>
      <c r="B23" t="inlineStr">
        <is>
          <t>H5</t>
        </is>
      </c>
      <c r="C23">
        <f>SUM(H7:H10)</f>
        <v/>
      </c>
      <c r="D23" t="n">
        <v>-145000</v>
      </c>
    </row>
    <row r="24">
      <c r="A24" t="inlineStr">
        <is>
          <t>1.Abastecedora</t>
        </is>
      </c>
      <c r="B24" t="inlineStr">
        <is>
          <t>C6</t>
        </is>
      </c>
      <c r="D24" t="inlineStr">
        <is>
          <t>valores 2018 -&gt; 2025:</t>
        </is>
      </c>
    </row>
    <row r="25">
      <c r="A25" t="inlineStr">
        <is>
          <t>1.Abastecedora</t>
        </is>
      </c>
      <c r="B25" t="inlineStr">
        <is>
          <t>D6</t>
        </is>
      </c>
      <c r="C25">
        <f>(D5/C5)-1</f>
        <v/>
      </c>
      <c r="D25" t="n">
        <v>-0.2067196657</v>
      </c>
    </row>
    <row r="26">
      <c r="A26" t="inlineStr">
        <is>
          <t>1.Abastecedora</t>
        </is>
      </c>
      <c r="B26" t="inlineStr">
        <is>
          <t>F6</t>
        </is>
      </c>
      <c r="C26">
        <f>SUM(F7:F10)</f>
        <v/>
      </c>
      <c r="D26" t="n">
        <v>9661414</v>
      </c>
    </row>
    <row r="27">
      <c r="A27" t="inlineStr">
        <is>
          <t>1.Abastecedora</t>
        </is>
      </c>
      <c r="B27" t="inlineStr">
        <is>
          <t>H6</t>
        </is>
      </c>
      <c r="C27">
        <f>IF(H5&lt;0,"patrimônio diminuiu","patrimônio aumentou")</f>
        <v/>
      </c>
      <c r="D27" t="inlineStr">
        <is>
          <t>patrimônio diminuiu</t>
        </is>
      </c>
    </row>
    <row r="28">
      <c r="A28" t="inlineStr">
        <is>
          <t>1.Abastecedora</t>
        </is>
      </c>
      <c r="B28" t="inlineStr">
        <is>
          <t>A7</t>
        </is>
      </c>
      <c r="D28" t="n">
        <v>1</v>
      </c>
    </row>
    <row r="29">
      <c r="A29" t="inlineStr">
        <is>
          <t>1.Abastecedora</t>
        </is>
      </c>
      <c r="B29" t="inlineStr">
        <is>
          <t>B7</t>
        </is>
      </c>
      <c r="D29" t="inlineStr">
        <is>
          <t>Um imóvel urbano sob Matrícula nº 3.752, com área de 3.450,00m², que compreende um lote urbano e instalação de um Posto de Combustíveis, totalmente equipado e em pleno funcionamento.
O contrato com a Companhia Ipiranga está cumprido e com condições de renegociação e/ou renegociação com outra Companhia e/ou também com a possibilidade de exploração direta.
Agrega ao valor do Posto, o aluguel da Lancharia/Restaurante.
Valor do Terreno e Pavimentação: 3.450,00m² x R$ 2.100,00 =
R$ 7.245.000,00 (considerado o valor ao metro quadrado da pavimentação e o valor da área conforme sua localização comercial).
Valor do Posto em área construída: 292,85m² x R$ 1.500,00 =
R$ 439.275,00 (valor do CUB da construção – agosto de 2017).
Valor do Posto em área coberta: 699,55m² x R$ 1.100,00 =
R$ 769.505,00 (valor do CUB da construção – agosto de 2017).
Valor do Posto com equipamentos, bombas, quadros, tanques, sistema elétrico e licenciamento, etc. = R$ 650.000,00.
Valor do Posto em vantagem da coisa feita: 30,00% x R$ 557.634,00.   |   VALOR R$ 9.661.414,00</t>
        </is>
      </c>
    </row>
    <row r="30">
      <c r="A30" t="inlineStr">
        <is>
          <t>1.Abastecedora</t>
        </is>
      </c>
      <c r="B30" t="inlineStr">
        <is>
          <t>C7</t>
        </is>
      </c>
      <c r="D30" t="n">
        <v>12216851.89</v>
      </c>
    </row>
    <row r="31">
      <c r="A31" t="inlineStr">
        <is>
          <t>1.Abastecedora</t>
        </is>
      </c>
      <c r="B31" t="inlineStr">
        <is>
          <t>D7</t>
        </is>
      </c>
      <c r="C31">
        <f>G7</f>
        <v/>
      </c>
      <c r="D31" t="n">
        <v>9661414</v>
      </c>
    </row>
    <row r="32">
      <c r="A32" t="inlineStr">
        <is>
          <t>1.Abastecedora</t>
        </is>
      </c>
      <c r="B32" t="inlineStr">
        <is>
          <t>F7</t>
        </is>
      </c>
      <c r="D32" t="n">
        <v>9661414</v>
      </c>
    </row>
    <row r="33">
      <c r="A33" t="inlineStr">
        <is>
          <t>1.Abastecedora</t>
        </is>
      </c>
      <c r="B33" t="inlineStr">
        <is>
          <t>G7</t>
        </is>
      </c>
      <c r="D33" t="n">
        <v>9661414</v>
      </c>
    </row>
    <row r="34">
      <c r="A34" t="inlineStr">
        <is>
          <t>1.Abastecedora</t>
        </is>
      </c>
      <c r="B34" t="inlineStr">
        <is>
          <t>H7</t>
        </is>
      </c>
      <c r="C34">
        <f>G7-D7</f>
        <v/>
      </c>
      <c r="D34" t="n">
        <v>0</v>
      </c>
    </row>
    <row r="35">
      <c r="A35" t="inlineStr">
        <is>
          <t>1.Abastecedora</t>
        </is>
      </c>
      <c r="B35" t="inlineStr">
        <is>
          <t>I7</t>
        </is>
      </c>
      <c r="D35" t="inlineStr">
        <is>
          <t>Por que reduziu R$2.555.437,89</t>
        </is>
      </c>
    </row>
    <row r="36">
      <c r="A36" t="inlineStr">
        <is>
          <t>1.Abastecedora</t>
        </is>
      </c>
      <c r="B36" t="inlineStr">
        <is>
          <t>A8</t>
        </is>
      </c>
      <c r="D36" t="inlineStr">
        <is>
          <t>A.1</t>
        </is>
      </c>
    </row>
    <row r="37">
      <c r="A37" t="inlineStr">
        <is>
          <t>1.Abastecedora</t>
        </is>
      </c>
      <c r="B37" t="inlineStr">
        <is>
          <t>B8</t>
        </is>
      </c>
      <c r="D37" t="inlineStr">
        <is>
          <t>Um caminhão carro tanque placa: ICW 8342, ano: 1995, modelo: MERCEBES BENZ/L 1618.</t>
        </is>
      </c>
    </row>
    <row r="38">
      <c r="A38" t="inlineStr">
        <is>
          <t>1.Abastecedora</t>
        </is>
      </c>
      <c r="B38" t="inlineStr">
        <is>
          <t>C8</t>
        </is>
      </c>
      <c r="D38" t="n">
        <v>145000</v>
      </c>
    </row>
    <row r="39">
      <c r="A39" t="inlineStr">
        <is>
          <t>1.Abastecedora</t>
        </is>
      </c>
      <c r="B39" t="inlineStr">
        <is>
          <t>D8</t>
        </is>
      </c>
      <c r="C39">
        <f>C8</f>
        <v/>
      </c>
      <c r="D39" t="n">
        <v>145000</v>
      </c>
    </row>
    <row r="40">
      <c r="A40" t="inlineStr">
        <is>
          <t>1.Abastecedora</t>
        </is>
      </c>
      <c r="B40" t="inlineStr">
        <is>
          <t>G8</t>
        </is>
      </c>
      <c r="D40" t="n">
        <v>0</v>
      </c>
    </row>
    <row r="41">
      <c r="A41" t="inlineStr">
        <is>
          <t>1.Abastecedora</t>
        </is>
      </c>
      <c r="B41" t="inlineStr">
        <is>
          <t>H8</t>
        </is>
      </c>
      <c r="C41">
        <f>G8-D8</f>
        <v/>
      </c>
      <c r="D41" t="n">
        <v>-145000</v>
      </c>
    </row>
    <row r="42">
      <c r="A42" t="inlineStr">
        <is>
          <t>1.Abastecedora</t>
        </is>
      </c>
      <c r="B42" t="inlineStr">
        <is>
          <t>A9</t>
        </is>
      </c>
      <c r="D42" t="inlineStr">
        <is>
          <t>-</t>
        </is>
      </c>
    </row>
    <row r="43">
      <c r="A43" t="inlineStr">
        <is>
          <t>1.Abastecedora</t>
        </is>
      </c>
      <c r="B43" t="inlineStr">
        <is>
          <t>B9</t>
        </is>
      </c>
      <c r="D43" t="inlineStr">
        <is>
          <t>Observações:
         Aprovado o PROJETO do Posto junto a Prefeitura de Veranópolis para fins de legalização da obra e posterior procedimento de averbação da obra junto ao Ofício de Registro de Imóveis, da Comarca de Veranópolis. Aguardando o prazo de 05 (cinco) anos para pagamento dos impostos junto à Receita Federal – INSS, contados a partir de 14 de março de 2022.
                  Processo Judicial em tramitação no Fórum de Veranópolis – CRISTIANO RODRIGO LUCCHETTA – Ação de Indenização = Ponto e pagamento de aluguéis.
                O valor real acima apontado não é líquido, à medida que:
a)  O valor patrimonial lançado sofrerá redução pela regularização dos imóveis, o que se estima numa redução de 0,70% (ZERO VÍRGULA SETENTA POR CENTO) do valor acima apontado, afora os ônus de eventual dissolução da empresa em relação a parte de algum(ns) sócio(s).
b)  Há que se ter em mente, que haverá ônus de eventual dissolução da empresa em relação a parte de algum(ns) sócio(s), não podendo serem considerados como líquidos os valores alcançados na avaliação patrimonial.
Conforme INSTRUMENTO PARTICULAR DE COMPRA E VENDA DE QUOTAS DE CAPITAL, NA SOCIEDADE DE EMPRESAS DE RESPONSABILIDADE LIMITADA, datado de 28 de agosto de 2025, o Sócio ROVÍLIO SIVIERO, brasileiro, natural de Veranópolis – RS, Odontólogo, residente e domiciliado na Rua Carijós, nº 427, Bairro Vila Fátima, na cidade de Passo Fundo – RS, CEP.: 99.020-110, inscrito no CPF/MF sob nº 225.676.150-91 e portador da Carteira de Identidade nº 4017098015, emitida pela SSP – RS, casado pelo Regime de Comunhão Universal de Bens com Maristela Pretto Siviero, brasileira, professora, filha de Alberto José Pretto e de Iracema Antônia Pretto, inscrita no CPF/MF sob nº 260.949.670/20 e portadora da Carteira de Identidade nº 22.827.317-1, emitida pela SSP – SC, efetuaram a VENDA das quotas que lhes pertenciam à empresa, diluídas em partes iguais aos demais sócios remanescentes.</t>
        </is>
      </c>
    </row>
    <row r="44">
      <c r="A44" t="inlineStr">
        <is>
          <t>8.Transportadora</t>
        </is>
      </c>
      <c r="B44" t="inlineStr">
        <is>
          <t>B1</t>
        </is>
      </c>
      <c r="D44" t="inlineStr">
        <is>
          <t>ESTUDO SIVIERO</t>
        </is>
      </c>
    </row>
    <row r="45">
      <c r="A45" t="inlineStr">
        <is>
          <t>8.Transportadora</t>
        </is>
      </c>
      <c r="B45" t="inlineStr">
        <is>
          <t>C1</t>
        </is>
      </c>
      <c r="D45" t="inlineStr">
        <is>
          <t>2018: apresentado</t>
        </is>
      </c>
    </row>
    <row r="46">
      <c r="A46" t="inlineStr">
        <is>
          <t>8.Transportadora</t>
        </is>
      </c>
      <c r="B46" t="inlineStr">
        <is>
          <t>D1</t>
        </is>
      </c>
      <c r="D46" t="inlineStr">
        <is>
          <t>2018: atualizado</t>
        </is>
      </c>
    </row>
    <row r="47">
      <c r="A47" t="inlineStr">
        <is>
          <t>8.Transportadora</t>
        </is>
      </c>
      <c r="B47" t="inlineStr">
        <is>
          <t>E1</t>
        </is>
      </c>
      <c r="D47" t="inlineStr">
        <is>
          <t>dezembro 2024</t>
        </is>
      </c>
    </row>
    <row r="48">
      <c r="A48" t="inlineStr">
        <is>
          <t>8.Transportadora</t>
        </is>
      </c>
      <c r="B48" t="inlineStr">
        <is>
          <t>G1</t>
        </is>
      </c>
      <c r="D48" t="inlineStr">
        <is>
          <t>outubro 2025</t>
        </is>
      </c>
    </row>
    <row r="49">
      <c r="A49" t="inlineStr">
        <is>
          <t>8.Transportadora</t>
        </is>
      </c>
      <c r="B49" t="inlineStr">
        <is>
          <t>H1</t>
        </is>
      </c>
      <c r="D49" t="inlineStr">
        <is>
          <t>Diferença</t>
        </is>
      </c>
    </row>
    <row r="50">
      <c r="A50" t="inlineStr">
        <is>
          <t>8.Transportadora</t>
        </is>
      </c>
      <c r="B50" t="inlineStr">
        <is>
          <t>I1</t>
        </is>
      </c>
      <c r="D50" t="inlineStr">
        <is>
          <t>OBSERVAÇÕES</t>
        </is>
      </c>
    </row>
    <row r="51">
      <c r="A51" t="inlineStr">
        <is>
          <t>8.Transportadora</t>
        </is>
      </c>
      <c r="B51" t="inlineStr">
        <is>
          <t>A2</t>
        </is>
      </c>
      <c r="D51" t="n">
        <v>8</v>
      </c>
    </row>
    <row r="52">
      <c r="A52" t="inlineStr">
        <is>
          <t>8.Transportadora</t>
        </is>
      </c>
      <c r="B52" t="inlineStr">
        <is>
          <t>B2</t>
        </is>
      </c>
      <c r="D52" t="inlineStr">
        <is>
          <t>TRANSPORTADORA IRMÃOS SIVIERO LTDA.</t>
        </is>
      </c>
    </row>
    <row r="53">
      <c r="A53" t="inlineStr">
        <is>
          <t>8.Transportadora</t>
        </is>
      </c>
      <c r="B53" t="inlineStr">
        <is>
          <t>C2</t>
        </is>
      </c>
      <c r="C53">
        <f>SUM(C4:C18)</f>
        <v/>
      </c>
      <c r="D53" t="n">
        <v>12285998.84</v>
      </c>
    </row>
    <row r="54">
      <c r="A54" t="inlineStr">
        <is>
          <t>8.Transportadora</t>
        </is>
      </c>
      <c r="B54" t="inlineStr">
        <is>
          <t>D2</t>
        </is>
      </c>
      <c r="C54">
        <f>SUM(D4:D18)</f>
        <v/>
      </c>
      <c r="D54" t="n">
        <v>16553986</v>
      </c>
    </row>
    <row r="55">
      <c r="A55" t="inlineStr">
        <is>
          <t>8.Transportadora</t>
        </is>
      </c>
      <c r="B55" t="inlineStr">
        <is>
          <t>E2</t>
        </is>
      </c>
      <c r="C55">
        <f>SUM(E4:E18)</f>
        <v/>
      </c>
      <c r="D55" t="n">
        <v>0</v>
      </c>
    </row>
    <row r="56">
      <c r="A56" t="inlineStr">
        <is>
          <t>8.Transportadora</t>
        </is>
      </c>
      <c r="B56" t="inlineStr">
        <is>
          <t>F2</t>
        </is>
      </c>
      <c r="C56">
        <f>SUM(F4:F18)</f>
        <v/>
      </c>
      <c r="D56" t="n">
        <v>16374986</v>
      </c>
    </row>
    <row r="57">
      <c r="A57" t="inlineStr">
        <is>
          <t>8.Transportadora</t>
        </is>
      </c>
      <c r="B57" t="inlineStr">
        <is>
          <t>G2</t>
        </is>
      </c>
      <c r="C57">
        <f>SUM(G4:G18)</f>
        <v/>
      </c>
      <c r="D57" t="n">
        <v>16374986</v>
      </c>
    </row>
    <row r="58">
      <c r="A58" t="inlineStr">
        <is>
          <t>8.Transportadora</t>
        </is>
      </c>
      <c r="B58" t="inlineStr">
        <is>
          <t>H2</t>
        </is>
      </c>
      <c r="C58">
        <f>SUM(H4:H18)</f>
        <v/>
      </c>
      <c r="D58" t="n">
        <v>-179000</v>
      </c>
    </row>
    <row r="59">
      <c r="A59" t="inlineStr">
        <is>
          <t>8.Transportadora</t>
        </is>
      </c>
      <c r="B59" t="inlineStr">
        <is>
          <t>C3</t>
        </is>
      </c>
      <c r="D59" t="inlineStr">
        <is>
          <t>valores 2018 -&gt; 2025:</t>
        </is>
      </c>
    </row>
    <row r="60">
      <c r="A60" t="inlineStr">
        <is>
          <t>8.Transportadora</t>
        </is>
      </c>
      <c r="B60" t="inlineStr">
        <is>
          <t>D3</t>
        </is>
      </c>
      <c r="C60">
        <f>(D2/C2)-1</f>
        <v/>
      </c>
      <c r="D60" t="n">
        <v>0.3473862578</v>
      </c>
    </row>
    <row r="61">
      <c r="A61" t="inlineStr">
        <is>
          <t>8.Transportadora</t>
        </is>
      </c>
      <c r="B61" t="inlineStr">
        <is>
          <t>F3</t>
        </is>
      </c>
      <c r="C61">
        <f>SUM(F4:F9)</f>
        <v/>
      </c>
      <c r="D61" t="n">
        <v>11924986</v>
      </c>
    </row>
    <row r="62">
      <c r="A62" t="inlineStr">
        <is>
          <t>8.Transportadora</t>
        </is>
      </c>
      <c r="B62" t="inlineStr">
        <is>
          <t>H3</t>
        </is>
      </c>
      <c r="C62">
        <f>IF(H2&lt;0,"patrimônio diminuiu","patrimônio aumentou")</f>
        <v/>
      </c>
      <c r="D62" t="inlineStr">
        <is>
          <t>patrimônio diminuiu</t>
        </is>
      </c>
    </row>
    <row r="63">
      <c r="A63" t="inlineStr">
        <is>
          <t>8.Transportadora</t>
        </is>
      </c>
      <c r="B63" t="inlineStr">
        <is>
          <t>A4</t>
        </is>
      </c>
      <c r="D63" t="n">
        <v>1</v>
      </c>
    </row>
    <row r="64">
      <c r="A64" t="inlineStr">
        <is>
          <t>8.Transportadora</t>
        </is>
      </c>
      <c r="B64" t="inlineStr">
        <is>
          <t>B4</t>
        </is>
      </c>
      <c r="D64" t="inlineStr">
        <is>
          <t>Um terreno urbano, com a área de 8.700,00m², localizado na Rodovia BR 470, Km 175,4, no Bairro São Pelegrino, devidamente registrado no Ofício de Registro de Imóveis da Comarca de Veranópolis, sob Matrícula nº 3.753, que faz fundos e acesso na lateral com a área da Abastecedora de Combustíveis Siviero Ltda., onde está instalada a OFICINA MECÂNICA = considerado o valor de R$ 992,78, ao metro quadrado.</t>
        </is>
      </c>
    </row>
    <row r="65">
      <c r="A65" t="inlineStr">
        <is>
          <t>8.Transportadora</t>
        </is>
      </c>
      <c r="B65" t="inlineStr">
        <is>
          <t>C4</t>
        </is>
      </c>
      <c r="D65" t="n">
        <v>8637186</v>
      </c>
    </row>
    <row r="66">
      <c r="A66" t="inlineStr">
        <is>
          <t>8.Transportadora</t>
        </is>
      </c>
      <c r="B66" t="inlineStr">
        <is>
          <t>D4</t>
        </is>
      </c>
      <c r="C66">
        <f>G4</f>
        <v/>
      </c>
      <c r="D66" t="n">
        <v>8637186</v>
      </c>
    </row>
    <row r="67">
      <c r="A67" t="inlineStr">
        <is>
          <t>8.Transportadora</t>
        </is>
      </c>
      <c r="B67" t="inlineStr">
        <is>
          <t>F4</t>
        </is>
      </c>
      <c r="D67" t="n">
        <v>8637186</v>
      </c>
    </row>
    <row r="68">
      <c r="A68" t="inlineStr">
        <is>
          <t>8.Transportadora</t>
        </is>
      </c>
      <c r="B68" t="inlineStr">
        <is>
          <t>G4</t>
        </is>
      </c>
      <c r="D68" t="n">
        <v>8637186</v>
      </c>
    </row>
    <row r="69">
      <c r="A69" t="inlineStr">
        <is>
          <t>8.Transportadora</t>
        </is>
      </c>
      <c r="B69" t="inlineStr">
        <is>
          <t>H4</t>
        </is>
      </c>
      <c r="C69">
        <f>G4-D4</f>
        <v/>
      </c>
      <c r="D69" t="n">
        <v>0</v>
      </c>
    </row>
    <row r="70">
      <c r="A70" t="inlineStr">
        <is>
          <t>8.Transportadora</t>
        </is>
      </c>
      <c r="B70" t="inlineStr">
        <is>
          <t>A5</t>
        </is>
      </c>
      <c r="D70" t="n">
        <v>2</v>
      </c>
    </row>
    <row r="71">
      <c r="A71" t="inlineStr">
        <is>
          <t>8.Transportadora</t>
        </is>
      </c>
      <c r="B71" t="inlineStr">
        <is>
          <t>B5</t>
        </is>
      </c>
      <c r="D71" t="inlineStr">
        <is>
          <t>Um pavilhão novo – em fase FINAL de construção – onde está sendo instalada a OFICINA MECÂNICA, não sendo considerado o valor da construção do mezanino com área construída de 1.298,00m² - valor de R$ 1.100,00, ao metro = R$ 1.427.800,00.
Valor do Pavilhão construído – obra civil = 30,00% (Trinta por cento) da obra feita: R$ 0,00 (considerado o valor agregado à coisa feita, como tal se encontra). NÃO FOI CALCULADO – CARECE AINDA DE REGULARIZAÇÃO DA OBRA JUNTO À PREFEITURA MUNICIPAL (APROVAÇÃO DO PROJETO), A.P.P.C.I. E PAGAMENTO DO I.N.S.S. DA OBRA.</t>
        </is>
      </c>
    </row>
    <row r="72">
      <c r="A72" t="inlineStr">
        <is>
          <t>8.Transportadora</t>
        </is>
      </c>
      <c r="B72" t="inlineStr">
        <is>
          <t>C5</t>
        </is>
      </c>
      <c r="D72" t="n">
        <v>1259812.84</v>
      </c>
    </row>
    <row r="73">
      <c r="A73" t="inlineStr">
        <is>
          <t>8.Transportadora</t>
        </is>
      </c>
      <c r="B73" t="inlineStr">
        <is>
          <t>D5</t>
        </is>
      </c>
      <c r="C73">
        <f>G5</f>
        <v/>
      </c>
      <c r="D73" t="n">
        <v>1427800</v>
      </c>
    </row>
    <row r="74">
      <c r="A74" t="inlineStr">
        <is>
          <t>8.Transportadora</t>
        </is>
      </c>
      <c r="B74" t="inlineStr">
        <is>
          <t>F5</t>
        </is>
      </c>
      <c r="D74" t="n">
        <v>1427800</v>
      </c>
    </row>
    <row r="75">
      <c r="A75" t="inlineStr">
        <is>
          <t>8.Transportadora</t>
        </is>
      </c>
      <c r="B75" t="inlineStr">
        <is>
          <t>G5</t>
        </is>
      </c>
      <c r="D75" t="n">
        <v>1427800</v>
      </c>
    </row>
    <row r="76">
      <c r="A76" t="inlineStr">
        <is>
          <t>8.Transportadora</t>
        </is>
      </c>
      <c r="B76" t="inlineStr">
        <is>
          <t>H5</t>
        </is>
      </c>
      <c r="C76">
        <f>G5-D5</f>
        <v/>
      </c>
      <c r="D76" t="n">
        <v>0</v>
      </c>
    </row>
    <row r="77">
      <c r="A77" t="inlineStr">
        <is>
          <t>8.Transportadora</t>
        </is>
      </c>
      <c r="B77" t="inlineStr">
        <is>
          <t>A6</t>
        </is>
      </c>
      <c r="D77" t="n">
        <v>3</v>
      </c>
    </row>
    <row r="78">
      <c r="A78" t="inlineStr">
        <is>
          <t>8.Transportadora</t>
        </is>
      </c>
      <c r="B78" t="inlineStr">
        <is>
          <t>B6</t>
        </is>
      </c>
      <c r="D78" t="inlineStr">
        <is>
          <t>Equipamentos em geral, como: macacos, guindastes; ferramentas em geral de todas as espécies e de necessidade para o funcionamento da oficina mecânica, peças, óleos e graxas – todo o estoque existente na oficina, telefone, câmeras de monitoramento, etc.</t>
        </is>
      </c>
    </row>
    <row r="79">
      <c r="A79" t="inlineStr">
        <is>
          <t>8.Transportadora</t>
        </is>
      </c>
      <c r="B79" t="inlineStr">
        <is>
          <t>C6</t>
        </is>
      </c>
      <c r="D79" t="n">
        <v>500000</v>
      </c>
    </row>
    <row r="80">
      <c r="A80" t="inlineStr">
        <is>
          <t>8.Transportadora</t>
        </is>
      </c>
      <c r="B80" t="inlineStr">
        <is>
          <t>D6</t>
        </is>
      </c>
      <c r="C80">
        <f>G6</f>
        <v/>
      </c>
      <c r="D80" t="n">
        <v>500000</v>
      </c>
    </row>
    <row r="81">
      <c r="A81" t="inlineStr">
        <is>
          <t>8.Transportadora</t>
        </is>
      </c>
      <c r="B81" t="inlineStr">
        <is>
          <t>F6</t>
        </is>
      </c>
      <c r="D81" t="n">
        <v>500000</v>
      </c>
    </row>
    <row r="82">
      <c r="A82" t="inlineStr">
        <is>
          <t>8.Transportadora</t>
        </is>
      </c>
      <c r="B82" t="inlineStr">
        <is>
          <t>G6</t>
        </is>
      </c>
      <c r="D82" t="n">
        <v>500000</v>
      </c>
    </row>
    <row r="83">
      <c r="A83" t="inlineStr">
        <is>
          <t>8.Transportadora</t>
        </is>
      </c>
      <c r="B83" t="inlineStr">
        <is>
          <t>H6</t>
        </is>
      </c>
      <c r="C83">
        <f>G6-D6</f>
        <v/>
      </c>
      <c r="D83" t="n">
        <v>0</v>
      </c>
    </row>
    <row r="84">
      <c r="A84" t="inlineStr">
        <is>
          <t>8.Transportadora</t>
        </is>
      </c>
      <c r="B84" t="inlineStr">
        <is>
          <t>A7</t>
        </is>
      </c>
      <c r="D84" t="n">
        <v>4</v>
      </c>
    </row>
    <row r="85">
      <c r="A85" t="inlineStr">
        <is>
          <t>8.Transportadora</t>
        </is>
      </c>
      <c r="B85" t="inlineStr">
        <is>
          <t>B7</t>
        </is>
      </c>
      <c r="D85" t="inlineStr">
        <is>
          <t>Uma rampa de lavagem devidamente licenciada para lavagem de caminhões pesados e carros, que pode ser utilizada para fins próprios ou manter locada para terceiros. Os equipamentos são de propriedade da empresa locatária.
Valor do Pavilhão construído – obra civil = 30,00% (Trinta por cento) da obra feita: R$ 0,00 (considerado o valor agregado à coisa feita, como tal se encontra). NÃO FOI CALCULADO – CARECE AINDA DE REGULARIZAÇÃO DA OBRA JUNTO À PREFEITURA MUNICIPAL (APROVAÇÃO DO PROJETO), A.P.P.C.I. E PAGAMENTO DO I.N.S.S. DA OBRA.</t>
        </is>
      </c>
    </row>
    <row r="86">
      <c r="A86" t="inlineStr">
        <is>
          <t>8.Transportadora</t>
        </is>
      </c>
      <c r="B86" t="inlineStr">
        <is>
          <t>C7</t>
        </is>
      </c>
      <c r="D86" t="n">
        <v>300000</v>
      </c>
    </row>
    <row r="87">
      <c r="A87" t="inlineStr">
        <is>
          <t>8.Transportadora</t>
        </is>
      </c>
      <c r="B87" t="inlineStr">
        <is>
          <t>D7</t>
        </is>
      </c>
      <c r="C87">
        <f>G7</f>
        <v/>
      </c>
      <c r="D87" t="n">
        <v>300000</v>
      </c>
    </row>
    <row r="88">
      <c r="A88" t="inlineStr">
        <is>
          <t>8.Transportadora</t>
        </is>
      </c>
      <c r="B88" t="inlineStr">
        <is>
          <t>F7</t>
        </is>
      </c>
      <c r="D88" t="n">
        <v>300000</v>
      </c>
    </row>
    <row r="89">
      <c r="A89" t="inlineStr">
        <is>
          <t>8.Transportadora</t>
        </is>
      </c>
      <c r="B89" t="inlineStr">
        <is>
          <t>G7</t>
        </is>
      </c>
      <c r="D89" t="n">
        <v>300000</v>
      </c>
    </row>
    <row r="90">
      <c r="A90" t="inlineStr">
        <is>
          <t>8.Transportadora</t>
        </is>
      </c>
      <c r="B90" t="inlineStr">
        <is>
          <t>H7</t>
        </is>
      </c>
      <c r="C90">
        <f>G7-D7</f>
        <v/>
      </c>
      <c r="D90" t="n">
        <v>0</v>
      </c>
    </row>
    <row r="91">
      <c r="A91" t="inlineStr">
        <is>
          <t>8.Transportadora</t>
        </is>
      </c>
      <c r="B91" t="inlineStr">
        <is>
          <t>A8</t>
        </is>
      </c>
      <c r="D91" t="n">
        <v>5</v>
      </c>
    </row>
    <row r="92">
      <c r="A92" t="inlineStr">
        <is>
          <t>8.Transportadora</t>
        </is>
      </c>
      <c r="B92" t="inlineStr">
        <is>
          <t>B8</t>
        </is>
      </c>
      <c r="D92" t="inlineStr">
        <is>
          <t>Uma borracharia, que pode ser utilizada para fins próprios ou manter locada para terceiros. Os equipamentos são de propriedade da empresa locatária.
Valor do Pavilhão construído – obra civil = 30,00% (Trinta por cento) da obra feita: R$ 0,00 (considerado o valor agregado à coisa feita, como tal se encontra). NÃO FOI CALCULADO – CARECE AINDA DE REGULARIZAÇÃO DA OBRA JUNTO À PREFEITURA MUNICIPAL (APROVAÇÃO DO PROJETO), A.P.P.C.I. E PAGAMENTO DO I.N.S.S. DA OBRA.</t>
        </is>
      </c>
    </row>
    <row r="93">
      <c r="A93" t="inlineStr">
        <is>
          <t>8.Transportadora</t>
        </is>
      </c>
      <c r="B93" t="inlineStr">
        <is>
          <t>C8</t>
        </is>
      </c>
      <c r="D93" t="n">
        <v>25000</v>
      </c>
    </row>
    <row r="94">
      <c r="A94" t="inlineStr">
        <is>
          <t>8.Transportadora</t>
        </is>
      </c>
      <c r="B94" t="inlineStr">
        <is>
          <t>D8</t>
        </is>
      </c>
      <c r="C94">
        <f>G8</f>
        <v/>
      </c>
      <c r="D94" t="n">
        <v>220000</v>
      </c>
    </row>
    <row r="95">
      <c r="A95" t="inlineStr">
        <is>
          <t>8.Transportadora</t>
        </is>
      </c>
      <c r="B95" t="inlineStr">
        <is>
          <t>F8</t>
        </is>
      </c>
      <c r="D95" t="n">
        <v>220000</v>
      </c>
    </row>
    <row r="96">
      <c r="A96" t="inlineStr">
        <is>
          <t>8.Transportadora</t>
        </is>
      </c>
      <c r="B96" t="inlineStr">
        <is>
          <t>G8</t>
        </is>
      </c>
      <c r="D96" t="n">
        <v>220000</v>
      </c>
    </row>
    <row r="97">
      <c r="A97" t="inlineStr">
        <is>
          <t>8.Transportadora</t>
        </is>
      </c>
      <c r="B97" t="inlineStr">
        <is>
          <t>H8</t>
        </is>
      </c>
      <c r="C97">
        <f>G8-D8</f>
        <v/>
      </c>
      <c r="D97" t="n">
        <v>0</v>
      </c>
    </row>
    <row r="98">
      <c r="A98" t="inlineStr">
        <is>
          <t>8.Transportadora</t>
        </is>
      </c>
      <c r="B98" t="inlineStr">
        <is>
          <t>A9</t>
        </is>
      </c>
      <c r="D98" t="n">
        <v>6</v>
      </c>
    </row>
    <row r="99">
      <c r="A99" t="inlineStr">
        <is>
          <t>8.Transportadora</t>
        </is>
      </c>
      <c r="B99" t="inlineStr">
        <is>
          <t>B9</t>
        </is>
      </c>
      <c r="D99" t="inlineStr">
        <is>
          <t>Uma sala comercial, utilizada com o escritório das empresas, localizada na Avenida Pinheiro Machado, nº 710, Sala nº 01, Bairro Centro, no Edifício Luiz Siviero, na cidade de Veranópolis – RS, com área de 243,30m², devidamente registrada no Ofício de Registros de Imóveis da Comarca de Veranópolis – RS, sob Matrícula nº 7.393.
CUB ao metro quadrado X R$ 3.236,85 + instalações.</t>
        </is>
      </c>
    </row>
    <row r="100">
      <c r="A100" t="inlineStr">
        <is>
          <t>8.Transportadora</t>
        </is>
      </c>
      <c r="B100" t="inlineStr">
        <is>
          <t>C9</t>
        </is>
      </c>
      <c r="D100" t="n">
        <v>685000</v>
      </c>
    </row>
    <row r="101">
      <c r="A101" t="inlineStr">
        <is>
          <t>8.Transportadora</t>
        </is>
      </c>
      <c r="B101" t="inlineStr">
        <is>
          <t>D9</t>
        </is>
      </c>
      <c r="C101">
        <f>G9</f>
        <v/>
      </c>
      <c r="D101" t="n">
        <v>840000</v>
      </c>
    </row>
    <row r="102">
      <c r="A102" t="inlineStr">
        <is>
          <t>8.Transportadora</t>
        </is>
      </c>
      <c r="B102" t="inlineStr">
        <is>
          <t>F9</t>
        </is>
      </c>
      <c r="D102" t="n">
        <v>840000</v>
      </c>
    </row>
    <row r="103">
      <c r="A103" t="inlineStr">
        <is>
          <t>8.Transportadora</t>
        </is>
      </c>
      <c r="B103" t="inlineStr">
        <is>
          <t>G9</t>
        </is>
      </c>
      <c r="D103" t="n">
        <v>840000</v>
      </c>
    </row>
    <row r="104">
      <c r="A104" t="inlineStr">
        <is>
          <t>8.Transportadora</t>
        </is>
      </c>
      <c r="B104" t="inlineStr">
        <is>
          <t>H9</t>
        </is>
      </c>
      <c r="C104">
        <f>G9-D9</f>
        <v/>
      </c>
      <c r="D104" t="n">
        <v>0</v>
      </c>
    </row>
    <row r="105">
      <c r="A105" t="inlineStr">
        <is>
          <t>8.Transportadora</t>
        </is>
      </c>
      <c r="B105" t="inlineStr">
        <is>
          <t>A10</t>
        </is>
      </c>
      <c r="D105" t="n">
        <v>7</v>
      </c>
    </row>
    <row r="106">
      <c r="A106" t="inlineStr">
        <is>
          <t>8.Transportadora</t>
        </is>
      </c>
      <c r="B106" t="inlineStr">
        <is>
          <t>B10</t>
        </is>
      </c>
      <c r="D106" t="inlineStr">
        <is>
          <t xml:space="preserve">Uma área de terras rurais, denominada de LOTES RURAIS Nº 63, 65, 66 e LETRA “N”, com área total de 69,8 hectares, localizada na Linha Júlio de Castilhos, Capela de São Brás, no Município de Cotiporã – RS, área esta registrada sob Matrículas nº.: 459, 460, 461 e 558. Considerado o valor médio de R$ 50.000,00, ao ha.
Matrículas nº 459, 460, 461 e 558 = 69,8 hectares.
Cadastrada no CCIR – Receita Federal sob nº 2.898.227-4
</t>
        </is>
      </c>
    </row>
    <row r="107">
      <c r="A107" t="inlineStr">
        <is>
          <t>8.Transportadora</t>
        </is>
      </c>
      <c r="B107" t="inlineStr">
        <is>
          <t>C10</t>
        </is>
      </c>
      <c r="D107" t="inlineStr">
        <is>
          <t>?</t>
        </is>
      </c>
    </row>
    <row r="108">
      <c r="A108" t="inlineStr">
        <is>
          <t>8.Transportadora</t>
        </is>
      </c>
      <c r="B108" t="inlineStr">
        <is>
          <t>D10</t>
        </is>
      </c>
      <c r="C108">
        <f>G10</f>
        <v/>
      </c>
      <c r="D108" t="n">
        <v>3500000</v>
      </c>
    </row>
    <row r="109">
      <c r="A109" t="inlineStr">
        <is>
          <t>8.Transportadora</t>
        </is>
      </c>
      <c r="B109" t="inlineStr">
        <is>
          <t>F10</t>
        </is>
      </c>
      <c r="D109" t="n">
        <v>3500000</v>
      </c>
    </row>
    <row r="110">
      <c r="A110" t="inlineStr">
        <is>
          <t>8.Transportadora</t>
        </is>
      </c>
      <c r="B110" t="inlineStr">
        <is>
          <t>G10</t>
        </is>
      </c>
      <c r="D110" t="n">
        <v>3500000</v>
      </c>
    </row>
    <row r="111">
      <c r="A111" t="inlineStr">
        <is>
          <t>8.Transportadora</t>
        </is>
      </c>
      <c r="B111" t="inlineStr">
        <is>
          <t>H10</t>
        </is>
      </c>
      <c r="C111">
        <f>G10-D10</f>
        <v/>
      </c>
      <c r="D111" t="n">
        <v>0</v>
      </c>
    </row>
    <row r="112">
      <c r="A112" t="inlineStr">
        <is>
          <t>8.Transportadora</t>
        </is>
      </c>
      <c r="B112" t="inlineStr">
        <is>
          <t>A11</t>
        </is>
      </c>
      <c r="D112" t="n">
        <v>8</v>
      </c>
    </row>
    <row r="113">
      <c r="A113" t="inlineStr">
        <is>
          <t>8.Transportadora</t>
        </is>
      </c>
      <c r="B113" t="inlineStr">
        <is>
          <t>B11</t>
        </is>
      </c>
      <c r="D113" t="inlineStr">
        <is>
          <t>Uma área de terras rurais, denominada de Parte do lote Rural nº 63, da Linha Dr. Júlio de Castilhos, com área total de 4,5 hectares, DENTRO DE UM TODO MAIOR, localizada ao lado das terras na Capela de São Brás, no Município de Cotiporã – RS, adquirida do Senhor Tercílio Dal Más, área está registrada sob Registro nº.: 15.922 = 4,5 hectares. Considerado o valor médio de R$ 50.000,00, ao ha.
Cadastrada no CCIR – Receita Federal sob nº .........
Adquirida por CONTRATO DE COMPRA E VENDA, datado de 25 setembro de 2008, pelo valor de R$ 50.000,00.</t>
        </is>
      </c>
    </row>
    <row r="114">
      <c r="A114" t="inlineStr">
        <is>
          <t>8.Transportadora</t>
        </is>
      </c>
      <c r="B114" t="inlineStr">
        <is>
          <t>C11</t>
        </is>
      </c>
      <c r="D114" t="inlineStr">
        <is>
          <t>?</t>
        </is>
      </c>
    </row>
    <row r="115">
      <c r="A115" t="inlineStr">
        <is>
          <t>8.Transportadora</t>
        </is>
      </c>
      <c r="B115" t="inlineStr">
        <is>
          <t>D11</t>
        </is>
      </c>
      <c r="C115">
        <f>G11</f>
        <v/>
      </c>
      <c r="D115" t="n">
        <v>250000</v>
      </c>
    </row>
    <row r="116">
      <c r="A116" t="inlineStr">
        <is>
          <t>8.Transportadora</t>
        </is>
      </c>
      <c r="B116" t="inlineStr">
        <is>
          <t>F11</t>
        </is>
      </c>
      <c r="D116" t="n">
        <v>250000</v>
      </c>
    </row>
    <row r="117">
      <c r="A117" t="inlineStr">
        <is>
          <t>8.Transportadora</t>
        </is>
      </c>
      <c r="B117" t="inlineStr">
        <is>
          <t>G11</t>
        </is>
      </c>
      <c r="D117" t="n">
        <v>250000</v>
      </c>
    </row>
    <row r="118">
      <c r="A118" t="inlineStr">
        <is>
          <t>8.Transportadora</t>
        </is>
      </c>
      <c r="B118" t="inlineStr">
        <is>
          <t>H11</t>
        </is>
      </c>
      <c r="C118">
        <f>G11-D11</f>
        <v/>
      </c>
      <c r="D118" t="n">
        <v>0</v>
      </c>
    </row>
    <row r="119">
      <c r="A119" t="inlineStr">
        <is>
          <t>8.Transportadora</t>
        </is>
      </c>
      <c r="B119" t="inlineStr">
        <is>
          <t>A12</t>
        </is>
      </c>
      <c r="D119" t="n">
        <v>9</v>
      </c>
    </row>
    <row r="120">
      <c r="A120" t="inlineStr">
        <is>
          <t>8.Transportadora</t>
        </is>
      </c>
      <c r="B120" t="inlineStr">
        <is>
          <t>B12</t>
        </is>
      </c>
      <c r="D120" t="inlineStr">
        <is>
          <t>Um apartamento residencial, localizado na Avenida Pinheiro Machado, nº 710, denominado de nº 401, Bairro Centro, no Edifício Luiz Siviero, na cidade de Veranópolis – RS, com área total de 168,91m², área privativa de 127,05m², devidamente registrado no Ofício de Registros de Imóveis da Comarca de Veranópolis – RS, sob Matrícula nº 7.400.</t>
        </is>
      </c>
    </row>
    <row r="121">
      <c r="A121" t="inlineStr">
        <is>
          <t>8.Transportadora</t>
        </is>
      </c>
      <c r="B121" t="inlineStr">
        <is>
          <t>C12</t>
        </is>
      </c>
      <c r="D121" t="n">
        <v>360000</v>
      </c>
    </row>
    <row r="122">
      <c r="A122" t="inlineStr">
        <is>
          <t>8.Transportadora</t>
        </is>
      </c>
      <c r="B122" t="inlineStr">
        <is>
          <t>D12</t>
        </is>
      </c>
      <c r="C122">
        <f>G12</f>
        <v/>
      </c>
      <c r="D122" t="n">
        <v>360000</v>
      </c>
    </row>
    <row r="123">
      <c r="A123" t="inlineStr">
        <is>
          <t>8.Transportadora</t>
        </is>
      </c>
      <c r="B123" t="inlineStr">
        <is>
          <t>F12</t>
        </is>
      </c>
      <c r="D123" t="n">
        <v>360000</v>
      </c>
    </row>
    <row r="124">
      <c r="A124" t="inlineStr">
        <is>
          <t>8.Transportadora</t>
        </is>
      </c>
      <c r="B124" t="inlineStr">
        <is>
          <t>G12</t>
        </is>
      </c>
      <c r="D124" t="n">
        <v>360000</v>
      </c>
    </row>
    <row r="125">
      <c r="A125" t="inlineStr">
        <is>
          <t>8.Transportadora</t>
        </is>
      </c>
      <c r="B125" t="inlineStr">
        <is>
          <t>H12</t>
        </is>
      </c>
      <c r="C125">
        <f>G12-D12</f>
        <v/>
      </c>
      <c r="D125" t="n">
        <v>0</v>
      </c>
    </row>
    <row r="126">
      <c r="A126" t="inlineStr">
        <is>
          <t>8.Transportadora</t>
        </is>
      </c>
      <c r="B126" t="inlineStr">
        <is>
          <t>A13</t>
        </is>
      </c>
      <c r="D126" t="n">
        <v>10</v>
      </c>
    </row>
    <row r="127">
      <c r="A127" t="inlineStr">
        <is>
          <t>8.Transportadora</t>
        </is>
      </c>
      <c r="B127" t="inlineStr">
        <is>
          <t>B13</t>
        </is>
      </c>
      <c r="D127" t="inlineStr">
        <is>
          <t>Um veículo caminhão SCANIA = PLACA IKR 2054, ano 2002. Trabalha para a JBS – Thiago Binda.</t>
        </is>
      </c>
    </row>
    <row r="128">
      <c r="A128" t="inlineStr">
        <is>
          <t>8.Transportadora</t>
        </is>
      </c>
      <c r="B128" t="inlineStr">
        <is>
          <t>C13</t>
        </is>
      </c>
      <c r="D128" t="n">
        <v>140000</v>
      </c>
    </row>
    <row r="129">
      <c r="A129" t="inlineStr">
        <is>
          <t>8.Transportadora</t>
        </is>
      </c>
      <c r="B129" t="inlineStr">
        <is>
          <t>D13</t>
        </is>
      </c>
      <c r="C129">
        <f>G13</f>
        <v/>
      </c>
      <c r="D129" t="n">
        <v>140000</v>
      </c>
    </row>
    <row r="130">
      <c r="A130" t="inlineStr">
        <is>
          <t>8.Transportadora</t>
        </is>
      </c>
      <c r="B130" t="inlineStr">
        <is>
          <t>F13</t>
        </is>
      </c>
      <c r="D130" t="n">
        <v>140000</v>
      </c>
    </row>
    <row r="131">
      <c r="A131" t="inlineStr">
        <is>
          <t>8.Transportadora</t>
        </is>
      </c>
      <c r="B131" t="inlineStr">
        <is>
          <t>G13</t>
        </is>
      </c>
      <c r="D131" t="n">
        <v>140000</v>
      </c>
    </row>
    <row r="132">
      <c r="A132" t="inlineStr">
        <is>
          <t>8.Transportadora</t>
        </is>
      </c>
      <c r="B132" t="inlineStr">
        <is>
          <t>H13</t>
        </is>
      </c>
      <c r="C132">
        <f>G13-D13</f>
        <v/>
      </c>
      <c r="D132" t="n">
        <v>0</v>
      </c>
    </row>
    <row r="133">
      <c r="A133" t="inlineStr">
        <is>
          <t>8.Transportadora</t>
        </is>
      </c>
      <c r="B133" t="inlineStr">
        <is>
          <t>A14</t>
        </is>
      </c>
      <c r="D133" t="n">
        <v>11</v>
      </c>
    </row>
    <row r="134">
      <c r="A134" t="inlineStr">
        <is>
          <t>8.Transportadora</t>
        </is>
      </c>
      <c r="B134" t="inlineStr">
        <is>
          <t>B14</t>
        </is>
      </c>
      <c r="D134" t="inlineStr">
        <is>
          <t>Uma carreta RANDON = PLACA IQB 0612, ano 2009.</t>
        </is>
      </c>
    </row>
    <row r="135">
      <c r="A135" t="inlineStr">
        <is>
          <t>8.Transportadora</t>
        </is>
      </c>
      <c r="B135" t="inlineStr">
        <is>
          <t>C14</t>
        </is>
      </c>
      <c r="D135" t="n">
        <v>30000</v>
      </c>
    </row>
    <row r="136">
      <c r="A136" t="inlineStr">
        <is>
          <t>8.Transportadora</t>
        </is>
      </c>
      <c r="B136" t="inlineStr">
        <is>
          <t>D14</t>
        </is>
      </c>
      <c r="C136">
        <f>G14</f>
        <v/>
      </c>
      <c r="D136" t="n">
        <v>30000</v>
      </c>
    </row>
    <row r="137">
      <c r="A137" t="inlineStr">
        <is>
          <t>8.Transportadora</t>
        </is>
      </c>
      <c r="B137" t="inlineStr">
        <is>
          <t>F14</t>
        </is>
      </c>
      <c r="D137" t="n">
        <v>30000</v>
      </c>
    </row>
    <row r="138">
      <c r="A138" t="inlineStr">
        <is>
          <t>8.Transportadora</t>
        </is>
      </c>
      <c r="B138" t="inlineStr">
        <is>
          <t>G14</t>
        </is>
      </c>
      <c r="D138" t="n">
        <v>30000</v>
      </c>
    </row>
    <row r="139">
      <c r="A139" t="inlineStr">
        <is>
          <t>8.Transportadora</t>
        </is>
      </c>
      <c r="B139" t="inlineStr">
        <is>
          <t>H14</t>
        </is>
      </c>
      <c r="C139">
        <f>G14-D14</f>
        <v/>
      </c>
      <c r="D139" t="n">
        <v>0</v>
      </c>
    </row>
    <row r="140">
      <c r="A140" t="inlineStr">
        <is>
          <t>8.Transportadora</t>
        </is>
      </c>
      <c r="B140" t="inlineStr">
        <is>
          <t>A15</t>
        </is>
      </c>
      <c r="D140" t="n">
        <v>12</v>
      </c>
    </row>
    <row r="141">
      <c r="A141" t="inlineStr">
        <is>
          <t>8.Transportadora</t>
        </is>
      </c>
      <c r="B141" t="inlineStr">
        <is>
          <t>B15</t>
        </is>
      </c>
      <c r="D141" t="inlineStr">
        <is>
          <t>Um veículo caminhão SCANIA = PLACA IJZ 5399, ano 2001. Trabalha para a SEI – prancha.</t>
        </is>
      </c>
    </row>
    <row r="142">
      <c r="A142" t="inlineStr">
        <is>
          <t>8.Transportadora</t>
        </is>
      </c>
      <c r="B142" t="inlineStr">
        <is>
          <t>C15</t>
        </is>
      </c>
      <c r="D142" t="n">
        <v>140000</v>
      </c>
    </row>
    <row r="143">
      <c r="A143" t="inlineStr">
        <is>
          <t>8.Transportadora</t>
        </is>
      </c>
      <c r="B143" t="inlineStr">
        <is>
          <t>D15</t>
        </is>
      </c>
      <c r="C143">
        <f>G15</f>
        <v/>
      </c>
      <c r="D143" t="n">
        <v>140000</v>
      </c>
    </row>
    <row r="144">
      <c r="A144" t="inlineStr">
        <is>
          <t>8.Transportadora</t>
        </is>
      </c>
      <c r="B144" t="inlineStr">
        <is>
          <t>F15</t>
        </is>
      </c>
      <c r="D144" t="n">
        <v>140000</v>
      </c>
    </row>
    <row r="145">
      <c r="A145" t="inlineStr">
        <is>
          <t>8.Transportadora</t>
        </is>
      </c>
      <c r="B145" t="inlineStr">
        <is>
          <t>G15</t>
        </is>
      </c>
      <c r="D145" t="n">
        <v>140000</v>
      </c>
    </row>
    <row r="146">
      <c r="A146" t="inlineStr">
        <is>
          <t>8.Transportadora</t>
        </is>
      </c>
      <c r="B146" t="inlineStr">
        <is>
          <t>H15</t>
        </is>
      </c>
      <c r="C146">
        <f>G15-D15</f>
        <v/>
      </c>
      <c r="D146" t="n">
        <v>0</v>
      </c>
    </row>
    <row r="147">
      <c r="A147" t="inlineStr">
        <is>
          <t>8.Transportadora</t>
        </is>
      </c>
      <c r="B147" t="inlineStr">
        <is>
          <t>A16</t>
        </is>
      </c>
      <c r="D147" t="n">
        <v>13</v>
      </c>
    </row>
    <row r="148">
      <c r="A148" t="inlineStr">
        <is>
          <t>8.Transportadora</t>
        </is>
      </c>
      <c r="B148" t="inlineStr">
        <is>
          <t>B16</t>
        </is>
      </c>
      <c r="D148" t="inlineStr">
        <is>
          <t>Uma carreta RANDON = PLACA IJZ 8207, ano 2001.</t>
        </is>
      </c>
    </row>
    <row r="149">
      <c r="A149" t="inlineStr">
        <is>
          <t>8.Transportadora</t>
        </is>
      </c>
      <c r="B149" t="inlineStr">
        <is>
          <t>C16</t>
        </is>
      </c>
      <c r="D149" t="n">
        <v>30000</v>
      </c>
    </row>
    <row r="150">
      <c r="A150" t="inlineStr">
        <is>
          <t>8.Transportadora</t>
        </is>
      </c>
      <c r="B150" t="inlineStr">
        <is>
          <t>D16</t>
        </is>
      </c>
      <c r="C150">
        <f>G16</f>
        <v/>
      </c>
      <c r="D150" t="n">
        <v>30000</v>
      </c>
    </row>
    <row r="151">
      <c r="A151" t="inlineStr">
        <is>
          <t>8.Transportadora</t>
        </is>
      </c>
      <c r="B151" t="inlineStr">
        <is>
          <t>F16</t>
        </is>
      </c>
      <c r="D151" t="n">
        <v>30000</v>
      </c>
    </row>
    <row r="152">
      <c r="A152" t="inlineStr">
        <is>
          <t>8.Transportadora</t>
        </is>
      </c>
      <c r="B152" t="inlineStr">
        <is>
          <t>G16</t>
        </is>
      </c>
      <c r="D152" t="n">
        <v>30000</v>
      </c>
    </row>
    <row r="153">
      <c r="A153" t="inlineStr">
        <is>
          <t>8.Transportadora</t>
        </is>
      </c>
      <c r="B153" t="inlineStr">
        <is>
          <t>H16</t>
        </is>
      </c>
      <c r="C153">
        <f>G16-D16</f>
        <v/>
      </c>
      <c r="D153" t="n">
        <v>0</v>
      </c>
    </row>
    <row r="154">
      <c r="A154" t="inlineStr">
        <is>
          <t>8.Transportadora</t>
        </is>
      </c>
      <c r="B154" t="inlineStr">
        <is>
          <t>A17</t>
        </is>
      </c>
      <c r="D154" t="inlineStr">
        <is>
          <t>A.1</t>
        </is>
      </c>
    </row>
    <row r="155">
      <c r="A155" t="inlineStr">
        <is>
          <t>8.Transportadora</t>
        </is>
      </c>
      <c r="B155" t="inlineStr">
        <is>
          <t>B17</t>
        </is>
      </c>
      <c r="D155" t="inlineStr">
        <is>
          <t>Uma sala comercial, utilizada com o consultório da Fisioterapeuta Araceli Siviero, localizada na Avenida Dr. José Montaury, nº 1678, Sala nº 01, Bairro Palugana, no Edifício Dona Ângela Siviero, na cidade de Veranópolis – RS, com área de 52,91m², devidamente registrada no Ofício de Registros de Imóveis da Comarca de Veranópolis – RS, sob Matrícula nº 18.952.
02 CUB ao metro quadrado X R$ 1.407,45.</t>
        </is>
      </c>
    </row>
    <row r="156">
      <c r="A156" t="inlineStr">
        <is>
          <t>8.Transportadora</t>
        </is>
      </c>
      <c r="B156" t="inlineStr">
        <is>
          <t>C17</t>
        </is>
      </c>
      <c r="D156" t="n">
        <v>149000</v>
      </c>
    </row>
    <row r="157">
      <c r="A157" t="inlineStr">
        <is>
          <t>8.Transportadora</t>
        </is>
      </c>
      <c r="B157" t="inlineStr">
        <is>
          <t>D17</t>
        </is>
      </c>
      <c r="D157" t="n">
        <v>149000</v>
      </c>
    </row>
    <row r="158">
      <c r="A158" t="inlineStr">
        <is>
          <t>8.Transportadora</t>
        </is>
      </c>
      <c r="B158" t="inlineStr">
        <is>
          <t>G17</t>
        </is>
      </c>
      <c r="D158" t="n">
        <v>0</v>
      </c>
    </row>
    <row r="159">
      <c r="A159" t="inlineStr">
        <is>
          <t>8.Transportadora</t>
        </is>
      </c>
      <c r="B159" t="inlineStr">
        <is>
          <t>H17</t>
        </is>
      </c>
      <c r="C159">
        <f>G17-D17</f>
        <v/>
      </c>
      <c r="D159" t="n">
        <v>-149000</v>
      </c>
    </row>
    <row r="160">
      <c r="A160" t="inlineStr">
        <is>
          <t>8.Transportadora</t>
        </is>
      </c>
      <c r="B160" t="inlineStr">
        <is>
          <t>A18</t>
        </is>
      </c>
      <c r="D160" t="inlineStr">
        <is>
          <t>A.2</t>
        </is>
      </c>
    </row>
    <row r="161">
      <c r="A161" t="inlineStr">
        <is>
          <t>8.Transportadora</t>
        </is>
      </c>
      <c r="B161" t="inlineStr">
        <is>
          <t>B18</t>
        </is>
      </c>
      <c r="D161" t="inlineStr">
        <is>
          <t>Móveis, materiais diversos (mesas, cadeiras, telefone, etc...), equipamentos de informática e outros equipamentos instalados no Escritório das empresas Siviero, na cidade de Veranópolis – RS, na Avenida Pinheiro Machado, nº 710 – Sala nº 01, Bairro Centro.</t>
        </is>
      </c>
    </row>
    <row r="162">
      <c r="A162" t="inlineStr">
        <is>
          <t>8.Transportadora</t>
        </is>
      </c>
      <c r="B162" t="inlineStr">
        <is>
          <t>C18</t>
        </is>
      </c>
      <c r="D162" t="n">
        <v>30000</v>
      </c>
    </row>
    <row r="163">
      <c r="A163" t="inlineStr">
        <is>
          <t>8.Transportadora</t>
        </is>
      </c>
      <c r="B163" t="inlineStr">
        <is>
          <t>D18</t>
        </is>
      </c>
      <c r="D163" t="n">
        <v>30000</v>
      </c>
    </row>
    <row r="164">
      <c r="A164" t="inlineStr">
        <is>
          <t>8.Transportadora</t>
        </is>
      </c>
      <c r="B164" t="inlineStr">
        <is>
          <t>G18</t>
        </is>
      </c>
      <c r="D164" t="n">
        <v>0</v>
      </c>
    </row>
    <row r="165">
      <c r="A165" t="inlineStr">
        <is>
          <t>8.Transportadora</t>
        </is>
      </c>
      <c r="B165" t="inlineStr">
        <is>
          <t>H18</t>
        </is>
      </c>
      <c r="C165">
        <f>G18-D18</f>
        <v/>
      </c>
      <c r="D165" t="n">
        <v>-30000</v>
      </c>
    </row>
    <row r="166">
      <c r="A166" t="inlineStr">
        <is>
          <t>8.Transportadora</t>
        </is>
      </c>
      <c r="B166" t="inlineStr">
        <is>
          <t>A19</t>
        </is>
      </c>
      <c r="D166" t="inlineStr">
        <is>
          <t>-</t>
        </is>
      </c>
    </row>
    <row r="167">
      <c r="A167" t="inlineStr">
        <is>
          <t>8.Transportadora</t>
        </is>
      </c>
      <c r="B167" t="inlineStr">
        <is>
          <t>B19</t>
        </is>
      </c>
      <c r="D167" t="inlineStr">
        <is>
          <t>OBSERVAÇÕES: 
Conforme INSTRUMENTO PARTICULAR DE COMPRA E VENDA DE QUOTAS DE CAPITAL, NA SOCIEDADE DE EMPRESAS DE RESPONSABILIDADE LIMITADA, datado de 28 de agosto de 2025, o Sócio ROVÍLIO SIVIERO, brasileiro, natural de Veranópolis – RS, Odontólogo, residente e domiciliado na Rua Carijós, nº 427, Bairro Vila Fátima, na cidade de Passo Fundo – RS, CEP.: 99.020-110, inscrito no CPF/MF sob nº 225.676.150-91 e portador da Carteira de Identidade nº 4017098015, emitida pela SSP – RS, casado pelo Regime de Comunhão Universal de Bens com Maristela Pretto Siviero, brasileira, professora, filha de Alberto José Pretto e de Iracema Antônia Pretto, inscrita no CPF/MF sob nº 260.949.670/20 e portadora da Carteira de Identidade nº 22.827.317-1, emitida pela SSP – SC, efetuaram a VENDA das quotas que lhes pertenciam à empresa, diluídas em partes iguais aos demais sócios remanescentes.
A empresa possui um PROCESSO JUDICIAL em tramitação para cobrança de um valor de aproximadamente R$ 340.000,00 (Trezentos e quarenta mil reais), corrigidos e tratando-se de acordo judicial, NÃO significa que este será o valor ajustado, podendo sofrer consideráveis alterações para viabilização do acordo, contra as empresas: JOVENI TRANSPORTES LTDA. x JBS x FRANGOSUL, referente aos meses de dezembro de 2011, janeiro, fevereiro, março e abril de 2012). O ingresso deu-se, faz-se de não aceitarmos a proposta de pagamento, em 76 (Setenta e seis) parcelas, sem correção.
PROCESSO SOTTILI – BAHIA
O processo está com o Juiz desde novembro de 2024 para homologar ou não o acordo, que a seguradora fez com a autora. Em caso de condenação, o pedido é 01 (um) salário mínimo até que o menino completasse 25 anos. Ele nasceu em 23.05.1996, ou seja, completaria os 25 anos em maio de 2021 e, + 1.000 salários mínimos de dano moral. 
Cálculo:
PENSÃO
R$ 1.518,00 x 12 meses = R$ 18.216,00 x 20 anos = R$ 364.320,00 (considerado o valor atualizado do salário mínimo e por isso não incluso os juros).
DANO MORAL
R$ 1.518,00 x 1.000 = R$ 1.518.000,00.
O dano moral não seria deferido nesse patamar, mas se o Juiz julgar a condenação de 150 salários mínimos na época do acidente com juros desde então (02.04.2001), teremos:
O valor do salário mínimo da época de R$ 180,00 x 150 = R$ 27.000,00 com juros de 12,00% ao ano + correção monetária = R$ 627.000,00. 
Trata-se de uma condenação superior a R$ 1.000.000,00 (HUM MILHÃO DE REAIS). 
Dos bens imóveis instalados sobre uma das propriedades da empresa, carecem ainda de regularização:
PAVILHÃO DA OFICINA MECÂNICA: APROVAR o PROJETO do PAVILHÃO junto à Prefeitura de Veranópolis, pagar o I.N.S.S. resultante sobre a obra – Pavilhão da Oficina – para fins de averbação da benfeitoria na Matrícula do Imóvel, junto o Ofício de Registro de Imóveis da Comarca de Veranópolis – RS.
Conforme cálculo realizado para projetar o custo do imposto – I.N.S.S. – resulta numa importância de aproximadamente R$ 122.254,73 (Cento e vinte e dois mil, duzentos e cinquenta e quatro reais e setenta e três centavos), afora ainda os custos de: A.P.P.C.I., A.R.T., ENGENHEIRO CIVIL, TAXA DE APROVAÇÃO, EMOLUMENTOS DE REGISTRO, dentre outras despesas afins. 
PAVILHÃO DA BORRACHARIA E RAMPA DE LAVAGEM: APROVAR o PROJETO destes PAVILHÕES junto à Prefeitura de Veranópolis, pagar o I.N.S.S. resultantes sobre as obras – para fins de averbação das benfeitorias na Matrícula do Imóvel, junto o Ofício de Registro de Imóveis da Comarca de Veranópolis – RS.
Conforme cálculo realizado para projetar o custo do imposto – I.N.S.S. – resulta numa importância de aproximadamente R$ 62.555,51 (Sessenta e dois mil, quinhentos e cinquenta e cinco reais e cinquenta e um centavos), afora ainda os custos de: A.P.P.C.I., A.R.T., ENGENHEIRO CIVIL, TAXA DE APROVAÇÃO, EMOLUMENTOS DE REGISTRO, dentre outras despesas afins. 
O valor real acima apontado não é líquido, à medida que:
O valor patrimonial lançado sofrerá redução pela regularização dos imóveis, o que se estima numa redução de 1,50% (HUM VÍRGULA CINQUENTA POR CENTO) do valor acima apontado, afora os ônus de eventual dissolução da empresa em relação a parte de algum(ns) sócio(s).
Há que se ter em mente, que haverá ônus de eventual dissolução da empresa em relação a parte de algum(ns) sócio(s), não podendo serem considerados como líquidos os valores alcançados na avaliação patrimonial.
FOI ACRESCENTADO O VALOR DO CAPITAL DE BENS A IMPORTÂNCIA DE R$ 1.135.000,00 AO VALOR CONSTANTE NO BALANÇO PATRIMONIAL (CÓDIGO 1060) – ITENS 03 – 04 – 05.</t>
        </is>
      </c>
    </row>
    <row r="168">
      <c r="A168" t="inlineStr">
        <is>
          <t>GERAL</t>
        </is>
      </c>
      <c r="B168" t="inlineStr">
        <is>
          <t>A1</t>
        </is>
      </c>
      <c r="D168" t="inlineStr">
        <is>
          <t>|</t>
        </is>
      </c>
    </row>
    <row r="169">
      <c r="A169" t="inlineStr">
        <is>
          <t>GERAL</t>
        </is>
      </c>
      <c r="B169" t="inlineStr">
        <is>
          <t>B1</t>
        </is>
      </c>
      <c r="D169" t="inlineStr">
        <is>
          <t>ESTUDO SIVIERO</t>
        </is>
      </c>
    </row>
    <row r="170">
      <c r="A170" t="inlineStr">
        <is>
          <t>GERAL</t>
        </is>
      </c>
      <c r="B170" t="inlineStr">
        <is>
          <t>C1</t>
        </is>
      </c>
      <c r="D170" t="inlineStr">
        <is>
          <t>2018: apresentado</t>
        </is>
      </c>
    </row>
    <row r="171">
      <c r="A171" t="inlineStr">
        <is>
          <t>GERAL</t>
        </is>
      </c>
      <c r="B171" t="inlineStr">
        <is>
          <t>D1</t>
        </is>
      </c>
      <c r="D171" t="inlineStr">
        <is>
          <t>2018: atualizado</t>
        </is>
      </c>
    </row>
    <row r="172">
      <c r="A172" t="inlineStr">
        <is>
          <t>GERAL</t>
        </is>
      </c>
      <c r="B172" t="inlineStr">
        <is>
          <t>E1</t>
        </is>
      </c>
      <c r="D172" t="inlineStr">
        <is>
          <t>outubro 2025</t>
        </is>
      </c>
    </row>
    <row r="173">
      <c r="A173" t="inlineStr">
        <is>
          <t>GERAL</t>
        </is>
      </c>
      <c r="B173" t="inlineStr">
        <is>
          <t>F1</t>
        </is>
      </c>
      <c r="D173" t="inlineStr">
        <is>
          <t>Divergência x inventário 31.12.2024</t>
        </is>
      </c>
    </row>
    <row r="174">
      <c r="A174" t="inlineStr">
        <is>
          <t>GERAL</t>
        </is>
      </c>
      <c r="B174" t="inlineStr">
        <is>
          <t>G1</t>
        </is>
      </c>
      <c r="D174" t="inlineStr">
        <is>
          <t>Diferença</t>
        </is>
      </c>
    </row>
    <row r="175">
      <c r="A175" t="inlineStr">
        <is>
          <t>GERAL</t>
        </is>
      </c>
      <c r="B175" t="inlineStr">
        <is>
          <t>H1</t>
        </is>
      </c>
      <c r="D175" t="inlineStr">
        <is>
          <t>OBSERVAÇÕES</t>
        </is>
      </c>
    </row>
    <row r="176">
      <c r="A176" t="inlineStr">
        <is>
          <t>GERAL</t>
        </is>
      </c>
      <c r="B176" t="inlineStr">
        <is>
          <t>B3</t>
        </is>
      </c>
      <c r="D176" t="inlineStr">
        <is>
          <t>patrimônio (sem desconto)</t>
        </is>
      </c>
    </row>
    <row r="177">
      <c r="A177" t="inlineStr">
        <is>
          <t>GERAL</t>
        </is>
      </c>
      <c r="B177" t="inlineStr">
        <is>
          <t>C3</t>
        </is>
      </c>
      <c r="C177">
        <f>C5+C12+C16+C20+C28+C70+C105+C116+C135+C139+C153</f>
        <v/>
      </c>
      <c r="D177" t="n">
        <v>263971252.4</v>
      </c>
    </row>
    <row r="178">
      <c r="A178" t="inlineStr">
        <is>
          <t>GERAL</t>
        </is>
      </c>
      <c r="B178" t="inlineStr">
        <is>
          <t>D3</t>
        </is>
      </c>
      <c r="C178">
        <f>D5+D12+D16+D20+D28+D70+D105+D116+D135+D139+D153</f>
        <v/>
      </c>
      <c r="D178" t="n">
        <v>429615450.5</v>
      </c>
    </row>
    <row r="179">
      <c r="A179" t="inlineStr">
        <is>
          <t>GERAL</t>
        </is>
      </c>
      <c r="B179" t="inlineStr">
        <is>
          <t>E3</t>
        </is>
      </c>
      <c r="C179">
        <f>E5+E12+E16+E20+E28+E70+E105+E116+E135+E139+E153</f>
        <v/>
      </c>
      <c r="D179" t="n">
        <v>315332684.8</v>
      </c>
    </row>
    <row r="180">
      <c r="A180" t="inlineStr">
        <is>
          <t>GERAL</t>
        </is>
      </c>
      <c r="B180" t="inlineStr">
        <is>
          <t>G3</t>
        </is>
      </c>
      <c r="C180">
        <f>E3-D3</f>
        <v/>
      </c>
      <c r="D180" t="n">
        <v>-114282765.7</v>
      </c>
    </row>
    <row r="181">
      <c r="A181" t="inlineStr">
        <is>
          <t>GERAL</t>
        </is>
      </c>
      <c r="B181" t="inlineStr">
        <is>
          <t>A5</t>
        </is>
      </c>
      <c r="D181" t="n">
        <v>1</v>
      </c>
    </row>
    <row r="182">
      <c r="A182" t="inlineStr">
        <is>
          <t>GERAL</t>
        </is>
      </c>
      <c r="B182" t="inlineStr">
        <is>
          <t>B5</t>
        </is>
      </c>
      <c r="D182" t="inlineStr">
        <is>
          <t>ABASTECEDORA DE COMBUSTÍVEIS SIVIERO LTDA.</t>
        </is>
      </c>
    </row>
    <row r="183">
      <c r="A183" t="inlineStr">
        <is>
          <t>GERAL</t>
        </is>
      </c>
      <c r="B183" t="inlineStr">
        <is>
          <t>C5</t>
        </is>
      </c>
      <c r="C183">
        <f>SUM(C7:C10)</f>
        <v/>
      </c>
      <c r="D183" t="n">
        <v>12361851.89</v>
      </c>
    </row>
    <row r="184">
      <c r="A184" t="inlineStr">
        <is>
          <t>GERAL</t>
        </is>
      </c>
      <c r="B184" t="inlineStr">
        <is>
          <t>D5</t>
        </is>
      </c>
      <c r="C184">
        <f>SUM(D7:D10)</f>
        <v/>
      </c>
      <c r="D184" t="n">
        <v>9806414</v>
      </c>
    </row>
    <row r="185">
      <c r="A185" t="inlineStr">
        <is>
          <t>GERAL</t>
        </is>
      </c>
      <c r="B185" t="inlineStr">
        <is>
          <t>E5</t>
        </is>
      </c>
      <c r="C185">
        <f>SUM(E7:E10)</f>
        <v/>
      </c>
      <c r="D185" t="n">
        <v>9661414</v>
      </c>
    </row>
    <row r="186">
      <c r="A186" t="inlineStr">
        <is>
          <t>GERAL</t>
        </is>
      </c>
      <c r="B186" t="inlineStr">
        <is>
          <t>G5</t>
        </is>
      </c>
      <c r="C186">
        <f>SUM(G7:G10)</f>
        <v/>
      </c>
      <c r="D186" t="n">
        <v>-145000</v>
      </c>
    </row>
    <row r="187">
      <c r="A187" t="inlineStr">
        <is>
          <t>GERAL</t>
        </is>
      </c>
      <c r="B187" t="inlineStr">
        <is>
          <t>C6</t>
        </is>
      </c>
      <c r="D187" t="inlineStr">
        <is>
          <t>valores 2018 -&gt; 2025:</t>
        </is>
      </c>
    </row>
    <row r="188">
      <c r="A188" t="inlineStr">
        <is>
          <t>GERAL</t>
        </is>
      </c>
      <c r="B188" t="inlineStr">
        <is>
          <t>D6</t>
        </is>
      </c>
      <c r="C188">
        <f>(D5/C5)-1</f>
        <v/>
      </c>
      <c r="D188" t="n">
        <v>-0.2067196657</v>
      </c>
    </row>
    <row r="189">
      <c r="A189" t="inlineStr">
        <is>
          <t>GERAL</t>
        </is>
      </c>
      <c r="B189" t="inlineStr">
        <is>
          <t>G6</t>
        </is>
      </c>
      <c r="C189">
        <f>IF(G5&lt;0,"patrimônio diminuiu","patrimônio aumentou")</f>
        <v/>
      </c>
      <c r="D189" t="inlineStr">
        <is>
          <t>patrimônio diminuiu</t>
        </is>
      </c>
    </row>
    <row r="190">
      <c r="A190" t="inlineStr">
        <is>
          <t>GERAL</t>
        </is>
      </c>
      <c r="B190" t="inlineStr">
        <is>
          <t>A7</t>
        </is>
      </c>
      <c r="D190" t="n">
        <v>1</v>
      </c>
    </row>
    <row r="191">
      <c r="A191" t="inlineStr">
        <is>
          <t>GERAL</t>
        </is>
      </c>
      <c r="B191" t="inlineStr">
        <is>
          <t>B7</t>
        </is>
      </c>
      <c r="D191" t="inlineStr">
        <is>
          <t>Um imóvel urbano sob Matrícula nº 3.752, com área de 3.450,00m², que compreende um lote urbano e instalação de um Posto de Combustíveis, totalmente equipado e em pleno funcionamento.
O contrato com a Companhia Ipiranga está cumprido e com condições de renegociação e/ou renegociação com outra Companhia e/ou também com a possibilidade de exploração direta.
Agrega ao valor do Posto, o aluguel da Lancharia/Restaurante.
Valor do Terreno e Pavimentação: 3.450,00m² x R$ 2.100,00 =
R$ 7.245.000,00 (considerado o valor ao metro quadrado da pavimentação e o valor da área conforme sua localização comercial).
Valor do Posto em área construída: 292,85m² x R$ 1.500,00 =
R$ 439.275,00 (valor do CUB da construção – agosto de 2017).
Valor do Posto em área coberta: 699,55m² x R$ 1.100,00 =
R$ 769.505,00 (valor do CUB da construção – agosto de 2017).
Valor do Posto com equipamentos, bombas, quadros, tanques, sistema elétrico e licenciamento, etc. = R$ 650.000,00.
Valor do Posto em vantagem da coisa feita: 30,00% x R$ 557.634,00.   |   VALOR R$ 9.661.414,00</t>
        </is>
      </c>
    </row>
    <row r="192">
      <c r="A192" t="inlineStr">
        <is>
          <t>GERAL</t>
        </is>
      </c>
      <c r="B192" t="inlineStr">
        <is>
          <t>C7</t>
        </is>
      </c>
      <c r="D192" t="n">
        <v>12216851.89</v>
      </c>
    </row>
    <row r="193">
      <c r="A193" t="inlineStr">
        <is>
          <t>GERAL</t>
        </is>
      </c>
      <c r="B193" t="inlineStr">
        <is>
          <t>D7</t>
        </is>
      </c>
      <c r="C193">
        <f>E7</f>
        <v/>
      </c>
      <c r="D193" t="n">
        <v>9661414</v>
      </c>
    </row>
    <row r="194">
      <c r="A194" t="inlineStr">
        <is>
          <t>GERAL</t>
        </is>
      </c>
      <c r="B194" t="inlineStr">
        <is>
          <t>E7</t>
        </is>
      </c>
      <c r="D194" t="n">
        <v>9661414</v>
      </c>
    </row>
    <row r="195">
      <c r="A195" t="inlineStr">
        <is>
          <t>GERAL</t>
        </is>
      </c>
      <c r="B195" t="inlineStr">
        <is>
          <t>G7</t>
        </is>
      </c>
      <c r="C195">
        <f>E7-D7</f>
        <v/>
      </c>
      <c r="D195" t="n">
        <v>0</v>
      </c>
    </row>
    <row r="196">
      <c r="A196" t="inlineStr">
        <is>
          <t>GERAL</t>
        </is>
      </c>
      <c r="B196" t="inlineStr">
        <is>
          <t>H7</t>
        </is>
      </c>
      <c r="D196" t="inlineStr">
        <is>
          <t>Por que reduziu R$2.555.437,89</t>
        </is>
      </c>
    </row>
    <row r="197">
      <c r="A197" t="inlineStr">
        <is>
          <t>GERAL</t>
        </is>
      </c>
      <c r="B197" t="inlineStr">
        <is>
          <t>A8</t>
        </is>
      </c>
      <c r="D197" t="inlineStr">
        <is>
          <t>A.1</t>
        </is>
      </c>
    </row>
    <row r="198">
      <c r="A198" t="inlineStr">
        <is>
          <t>GERAL</t>
        </is>
      </c>
      <c r="B198" t="inlineStr">
        <is>
          <t>B8</t>
        </is>
      </c>
      <c r="D198" t="inlineStr">
        <is>
          <t>Um caminhão carro tanque placa: ICW 8342, ano: 1995, modelo: MERCEBES BENZ/L 1618.</t>
        </is>
      </c>
    </row>
    <row r="199">
      <c r="A199" t="inlineStr">
        <is>
          <t>GERAL</t>
        </is>
      </c>
      <c r="B199" t="inlineStr">
        <is>
          <t>C8</t>
        </is>
      </c>
      <c r="D199" t="n">
        <v>145000</v>
      </c>
    </row>
    <row r="200">
      <c r="A200" t="inlineStr">
        <is>
          <t>GERAL</t>
        </is>
      </c>
      <c r="B200" t="inlineStr">
        <is>
          <t>D8</t>
        </is>
      </c>
      <c r="C200">
        <f>C8</f>
        <v/>
      </c>
      <c r="D200" t="n">
        <v>145000</v>
      </c>
    </row>
    <row r="201">
      <c r="A201" t="inlineStr">
        <is>
          <t>GERAL</t>
        </is>
      </c>
      <c r="B201" t="inlineStr">
        <is>
          <t>E8</t>
        </is>
      </c>
      <c r="D201" t="n">
        <v>0</v>
      </c>
    </row>
    <row r="202">
      <c r="A202" t="inlineStr">
        <is>
          <t>GERAL</t>
        </is>
      </c>
      <c r="B202" t="inlineStr">
        <is>
          <t>G8</t>
        </is>
      </c>
      <c r="C202">
        <f>E8-D8</f>
        <v/>
      </c>
      <c r="D202" t="n">
        <v>-145000</v>
      </c>
    </row>
    <row r="203">
      <c r="A203" t="inlineStr">
        <is>
          <t>GERAL</t>
        </is>
      </c>
      <c r="B203" t="inlineStr">
        <is>
          <t>A9</t>
        </is>
      </c>
      <c r="D203" t="inlineStr">
        <is>
          <t>-</t>
        </is>
      </c>
    </row>
    <row r="204">
      <c r="A204" t="inlineStr">
        <is>
          <t>GERAL</t>
        </is>
      </c>
      <c r="B204" t="inlineStr">
        <is>
          <t>B9</t>
        </is>
      </c>
      <c r="D204" t="inlineStr">
        <is>
          <t>Observações:
         Aprovado o PROJETO do Posto junto a Prefeitura de Veranópolis para fins de legalização da obra e posterior procedimento de averbação da obra junto ao Ofício de Registro de Imóveis, da Comarca de Veranópolis. Aguardando o prazo de 05 (cinco) anos para pagamento dos impostos junto à Receita Federal – INSS, contados a partir de 14 de março de 2022.
                  Processo Judicial em tramitação no Fórum de Veranópolis – CRISTIANO RODRIGO LUCCHETTA – Ação de Indenização = Ponto e pagamento de aluguéis.
                O valor real acima apontado não é líquido, à medida que:
a)  O valor patrimonial lançado sofrerá redução pela regularização dos imóveis, o que se estima numa redução de 0,70% (ZERO VÍRGULA SETENTA POR CENTO) do valor acima apontado, afora os ônus de eventual dissolução da empresa em relação a parte de algum(ns) sócio(s).
b)  Há que se ter em mente, que haverá ônus de eventual dissolução da empresa em relação a parte de algum(ns) sócio(s), não podendo serem considerados como líquidos os valores alcançados na avaliação patrimonial.
Conforme INSTRUMENTO PARTICULAR DE COMPRA E VENDA DE QUOTAS DE CAPITAL, NA SOCIEDADE DE EMPRESAS DE RESPONSABILIDADE LIMITADA, datado de 28 de agosto de 2025, o Sócio ROVÍLIO SIVIERO, brasileiro, natural de Veranópolis – RS, Odontólogo, residente e domiciliado na Rua Carijós, nº 427, Bairro Vila Fátima, na cidade de Passo Fundo – RS, CEP.: 99.020-110, inscrito no CPF/MF sob nº 225.676.150-91 e portador da Carteira de Identidade nº 4017098015, emitida pela SSP – RS, casado pelo Regime de Comunhão Universal de Bens com Maristela Pretto Siviero, brasileira, professora, filha de Alberto José Pretto e de Iracema Antônia Pretto, inscrita no CPF/MF sob nº 260.949.670/20 e portadora da Carteira de Identidade nº 22.827.317-1, emitida pela SSP – SC, efetuaram a VENDA das quotas que lhes pertenciam à empresa, diluídas em partes iguais aos demais sócios remanescentes.</t>
        </is>
      </c>
    </row>
    <row r="205">
      <c r="A205" t="inlineStr">
        <is>
          <t>GERAL</t>
        </is>
      </c>
      <c r="B205" t="inlineStr">
        <is>
          <t>A116</t>
        </is>
      </c>
      <c r="D205" t="n">
        <v>8</v>
      </c>
    </row>
    <row r="206">
      <c r="A206" t="inlineStr">
        <is>
          <t>GERAL</t>
        </is>
      </c>
      <c r="B206" t="inlineStr">
        <is>
          <t>B116</t>
        </is>
      </c>
      <c r="D206" t="inlineStr">
        <is>
          <t>TRANSPORTADORA IRMÃOS SIVIERO LTDA.</t>
        </is>
      </c>
    </row>
    <row r="207">
      <c r="A207" t="inlineStr">
        <is>
          <t>GERAL</t>
        </is>
      </c>
      <c r="B207" t="inlineStr">
        <is>
          <t>C116</t>
        </is>
      </c>
      <c r="C207">
        <f>SUM(C118:C132)</f>
        <v/>
      </c>
      <c r="D207" t="n">
        <v>12285998.84</v>
      </c>
    </row>
    <row r="208">
      <c r="A208" t="inlineStr">
        <is>
          <t>GERAL</t>
        </is>
      </c>
      <c r="B208" t="inlineStr">
        <is>
          <t>D116</t>
        </is>
      </c>
      <c r="C208">
        <f>SUM(D118:D132)</f>
        <v/>
      </c>
      <c r="D208" t="n">
        <v>16553986</v>
      </c>
    </row>
    <row r="209">
      <c r="A209" t="inlineStr">
        <is>
          <t>GERAL</t>
        </is>
      </c>
      <c r="B209" t="inlineStr">
        <is>
          <t>E116</t>
        </is>
      </c>
      <c r="C209">
        <f>SUM(E118:E132)</f>
        <v/>
      </c>
      <c r="D209" t="n">
        <v>16374986</v>
      </c>
    </row>
    <row r="210">
      <c r="A210" t="inlineStr">
        <is>
          <t>GERAL</t>
        </is>
      </c>
      <c r="B210" t="inlineStr">
        <is>
          <t>G116</t>
        </is>
      </c>
      <c r="C210">
        <f>SUM(G118:G132)</f>
        <v/>
      </c>
      <c r="D210" t="n">
        <v>-179000</v>
      </c>
    </row>
    <row r="211">
      <c r="A211" t="inlineStr">
        <is>
          <t>GERAL</t>
        </is>
      </c>
      <c r="B211" t="inlineStr">
        <is>
          <t>C117</t>
        </is>
      </c>
      <c r="D211" t="inlineStr">
        <is>
          <t>valores 2018 -&gt; 2025:</t>
        </is>
      </c>
    </row>
    <row r="212">
      <c r="A212" t="inlineStr">
        <is>
          <t>GERAL</t>
        </is>
      </c>
      <c r="B212" t="inlineStr">
        <is>
          <t>D117</t>
        </is>
      </c>
      <c r="C212">
        <f>(D116/C116)-1</f>
        <v/>
      </c>
      <c r="D212" t="n">
        <v>0.3473862578</v>
      </c>
    </row>
    <row r="213">
      <c r="A213" t="inlineStr">
        <is>
          <t>GERAL</t>
        </is>
      </c>
      <c r="B213" t="inlineStr">
        <is>
          <t>G117</t>
        </is>
      </c>
      <c r="C213">
        <f>IF(G116&lt;0,"patrimônio diminuiu","patrimônio aumentou")</f>
        <v/>
      </c>
      <c r="D213" t="inlineStr">
        <is>
          <t>patrimônio diminuiu</t>
        </is>
      </c>
    </row>
    <row r="214">
      <c r="A214" t="inlineStr">
        <is>
          <t>GERAL</t>
        </is>
      </c>
      <c r="B214" t="inlineStr">
        <is>
          <t>A118</t>
        </is>
      </c>
      <c r="D214" t="n">
        <v>1</v>
      </c>
    </row>
    <row r="215">
      <c r="A215" t="inlineStr">
        <is>
          <t>GERAL</t>
        </is>
      </c>
      <c r="B215" t="inlineStr">
        <is>
          <t>B118</t>
        </is>
      </c>
      <c r="D215" t="inlineStr">
        <is>
          <t>Um terreno urbano, com a área de 8.700,00m², localizado na Rodovia BR 470, Km 175,4, no Bairro São Pelegrino, devidamente registrado no Ofício de Registro de Imóveis da Comarca de Veranópolis, sob Matrícula nº 3.753, que faz fundos e acesso na lateral com a área da Abastecedora de Combustíveis Siviero Ltda., onde está instalada a OFICINA MECÂNICA = considerado o valor de R$ 992,78, ao metro quadrado.</t>
        </is>
      </c>
    </row>
    <row r="216">
      <c r="A216" t="inlineStr">
        <is>
          <t>GERAL</t>
        </is>
      </c>
      <c r="B216" t="inlineStr">
        <is>
          <t>C118</t>
        </is>
      </c>
      <c r="D216" t="n">
        <v>8637186</v>
      </c>
    </row>
    <row r="217">
      <c r="A217" t="inlineStr">
        <is>
          <t>GERAL</t>
        </is>
      </c>
      <c r="B217" t="inlineStr">
        <is>
          <t>D118</t>
        </is>
      </c>
      <c r="C217">
        <f>E118</f>
        <v/>
      </c>
      <c r="D217" t="n">
        <v>8637186</v>
      </c>
    </row>
    <row r="218">
      <c r="A218" t="inlineStr">
        <is>
          <t>GERAL</t>
        </is>
      </c>
      <c r="B218" t="inlineStr">
        <is>
          <t>E118</t>
        </is>
      </c>
      <c r="D218" t="n">
        <v>8637186</v>
      </c>
    </row>
    <row r="219">
      <c r="A219" t="inlineStr">
        <is>
          <t>GERAL</t>
        </is>
      </c>
      <c r="B219" t="inlineStr">
        <is>
          <t>G118</t>
        </is>
      </c>
      <c r="C219">
        <f>E118-D118</f>
        <v/>
      </c>
      <c r="D219" t="n">
        <v>0</v>
      </c>
    </row>
    <row r="220">
      <c r="A220" t="inlineStr">
        <is>
          <t>GERAL</t>
        </is>
      </c>
      <c r="B220" t="inlineStr">
        <is>
          <t>A119</t>
        </is>
      </c>
      <c r="D220" t="n">
        <v>2</v>
      </c>
    </row>
    <row r="221">
      <c r="A221" t="inlineStr">
        <is>
          <t>GERAL</t>
        </is>
      </c>
      <c r="B221" t="inlineStr">
        <is>
          <t>B119</t>
        </is>
      </c>
      <c r="D221" t="inlineStr">
        <is>
          <t>Um pavilhão novo – em fase FINAL de construção – onde está sendo instalada a OFICINA MECÂNICA, não sendo considerado o valor da construção do mezanino com área construída de 1.298,00m² - valor de R$ 1.100,00, ao metro = R$ 1.427.800,00.
Valor do Pavilhão construído – obra civil = 30,00% (Trinta por cento) da obra feita: R$ 0,00 (considerado o valor agregado à coisa feita, como tal se encontra). NÃO FOI CALCULADO – CARECE AINDA DE REGULARIZAÇÃO DA OBRA JUNTO À PREFEITURA MUNICIPAL (APROVAÇÃO DO PROJETO), A.P.P.C.I. E PAGAMENTO DO I.N.S.S. DA OBRA.</t>
        </is>
      </c>
    </row>
    <row r="222">
      <c r="A222" t="inlineStr">
        <is>
          <t>GERAL</t>
        </is>
      </c>
      <c r="B222" t="inlineStr">
        <is>
          <t>C119</t>
        </is>
      </c>
      <c r="D222" t="n">
        <v>1259812.84</v>
      </c>
    </row>
    <row r="223">
      <c r="A223" t="inlineStr">
        <is>
          <t>GERAL</t>
        </is>
      </c>
      <c r="B223" t="inlineStr">
        <is>
          <t>D119</t>
        </is>
      </c>
      <c r="C223">
        <f>E119</f>
        <v/>
      </c>
      <c r="D223" t="n">
        <v>1427800</v>
      </c>
    </row>
    <row r="224">
      <c r="A224" t="inlineStr">
        <is>
          <t>GERAL</t>
        </is>
      </c>
      <c r="B224" t="inlineStr">
        <is>
          <t>E119</t>
        </is>
      </c>
      <c r="D224" t="n">
        <v>1427800</v>
      </c>
    </row>
    <row r="225">
      <c r="A225" t="inlineStr">
        <is>
          <t>GERAL</t>
        </is>
      </c>
      <c r="B225" t="inlineStr">
        <is>
          <t>G119</t>
        </is>
      </c>
      <c r="C225">
        <f>E119-D119</f>
        <v/>
      </c>
      <c r="D225" t="n">
        <v>0</v>
      </c>
    </row>
    <row r="226">
      <c r="A226" t="inlineStr">
        <is>
          <t>GERAL</t>
        </is>
      </c>
      <c r="B226" t="inlineStr">
        <is>
          <t>A120</t>
        </is>
      </c>
      <c r="D226" t="n">
        <v>3</v>
      </c>
    </row>
    <row r="227">
      <c r="A227" t="inlineStr">
        <is>
          <t>GERAL</t>
        </is>
      </c>
      <c r="B227" t="inlineStr">
        <is>
          <t>B120</t>
        </is>
      </c>
      <c r="D227" t="inlineStr">
        <is>
          <t>Equipamentos em geral, como: macacos, guindastes; ferramentas em geral de todas as espécies e de necessidade para o funcionamento da oficina mecânica, peças, óleos e graxas – todo o estoque existente na oficina, telefone, câmeras de monitoramento, etc.</t>
        </is>
      </c>
    </row>
    <row r="228">
      <c r="A228" t="inlineStr">
        <is>
          <t>GERAL</t>
        </is>
      </c>
      <c r="B228" t="inlineStr">
        <is>
          <t>C120</t>
        </is>
      </c>
      <c r="D228" t="n">
        <v>500000</v>
      </c>
    </row>
    <row r="229">
      <c r="A229" t="inlineStr">
        <is>
          <t>GERAL</t>
        </is>
      </c>
      <c r="B229" t="inlineStr">
        <is>
          <t>D120</t>
        </is>
      </c>
      <c r="C229">
        <f>E120</f>
        <v/>
      </c>
      <c r="D229" t="n">
        <v>500000</v>
      </c>
    </row>
    <row r="230">
      <c r="A230" t="inlineStr">
        <is>
          <t>GERAL</t>
        </is>
      </c>
      <c r="B230" t="inlineStr">
        <is>
          <t>E120</t>
        </is>
      </c>
      <c r="D230" t="n">
        <v>500000</v>
      </c>
    </row>
    <row r="231">
      <c r="A231" t="inlineStr">
        <is>
          <t>GERAL</t>
        </is>
      </c>
      <c r="B231" t="inlineStr">
        <is>
          <t>G120</t>
        </is>
      </c>
      <c r="C231">
        <f>E120-D120</f>
        <v/>
      </c>
      <c r="D231" t="n">
        <v>0</v>
      </c>
    </row>
    <row r="232">
      <c r="A232" t="inlineStr">
        <is>
          <t>GERAL</t>
        </is>
      </c>
      <c r="B232" t="inlineStr">
        <is>
          <t>A121</t>
        </is>
      </c>
      <c r="D232" t="n">
        <v>4</v>
      </c>
    </row>
    <row r="233">
      <c r="A233" t="inlineStr">
        <is>
          <t>GERAL</t>
        </is>
      </c>
      <c r="B233" t="inlineStr">
        <is>
          <t>B121</t>
        </is>
      </c>
      <c r="D233" t="inlineStr">
        <is>
          <t>Uma rampa de lavagem devidamente licenciada para lavagem de caminhões pesados e carros, que pode ser utilizada para fins próprios ou manter locada para terceiros. Os equipamentos são de propriedade da empresa locatária.
Valor do Pavilhão construído – obra civil = 30,00% (Trinta por cento) da obra feita: R$ 0,00 (considerado o valor agregado à coisa feita, como tal se encontra). NÃO FOI CALCULADO – CARECE AINDA DE REGULARIZAÇÃO DA OBRA JUNTO À PREFEITURA MUNICIPAL (APROVAÇÃO DO PROJETO), A.P.P.C.I. E PAGAMENTO DO I.N.S.S. DA OBRA.</t>
        </is>
      </c>
    </row>
    <row r="234">
      <c r="A234" t="inlineStr">
        <is>
          <t>GERAL</t>
        </is>
      </c>
      <c r="B234" t="inlineStr">
        <is>
          <t>C121</t>
        </is>
      </c>
      <c r="D234" t="n">
        <v>300000</v>
      </c>
    </row>
    <row r="235">
      <c r="A235" t="inlineStr">
        <is>
          <t>GERAL</t>
        </is>
      </c>
      <c r="B235" t="inlineStr">
        <is>
          <t>D121</t>
        </is>
      </c>
      <c r="C235">
        <f>E121</f>
        <v/>
      </c>
      <c r="D235" t="n">
        <v>300000</v>
      </c>
    </row>
    <row r="236">
      <c r="A236" t="inlineStr">
        <is>
          <t>GERAL</t>
        </is>
      </c>
      <c r="B236" t="inlineStr">
        <is>
          <t>E121</t>
        </is>
      </c>
      <c r="D236" t="n">
        <v>300000</v>
      </c>
    </row>
    <row r="237">
      <c r="A237" t="inlineStr">
        <is>
          <t>GERAL</t>
        </is>
      </c>
      <c r="B237" t="inlineStr">
        <is>
          <t>G121</t>
        </is>
      </c>
      <c r="C237">
        <f>E121-D121</f>
        <v/>
      </c>
      <c r="D237" t="n">
        <v>0</v>
      </c>
    </row>
    <row r="238">
      <c r="A238" t="inlineStr">
        <is>
          <t>GERAL</t>
        </is>
      </c>
      <c r="B238" t="inlineStr">
        <is>
          <t>A122</t>
        </is>
      </c>
      <c r="D238" t="n">
        <v>5</v>
      </c>
    </row>
    <row r="239">
      <c r="A239" t="inlineStr">
        <is>
          <t>GERAL</t>
        </is>
      </c>
      <c r="B239" t="inlineStr">
        <is>
          <t>B122</t>
        </is>
      </c>
      <c r="D239" t="inlineStr">
        <is>
          <t>Uma borracharia, que pode ser utilizada para fins próprios ou manter locada para terceiros. Os equipamentos são de propriedade da empresa locatária.
Valor do Pavilhão construído – obra civil = 30,00% (Trinta por cento) da obra feita: R$ 0,00 (considerado o valor agregado à coisa feita, como tal se encontra). NÃO FOI CALCULADO – CARECE AINDA DE REGULARIZAÇÃO DA OBRA JUNTO À PREFEITURA MUNICIPAL (APROVAÇÃO DO PROJETO), A.P.P.C.I. E PAGAMENTO DO I.N.S.S. DA OBRA.</t>
        </is>
      </c>
    </row>
    <row r="240">
      <c r="A240" t="inlineStr">
        <is>
          <t>GERAL</t>
        </is>
      </c>
      <c r="B240" t="inlineStr">
        <is>
          <t>C122</t>
        </is>
      </c>
      <c r="D240" t="n">
        <v>25000</v>
      </c>
    </row>
    <row r="241">
      <c r="A241" t="inlineStr">
        <is>
          <t>GERAL</t>
        </is>
      </c>
      <c r="B241" t="inlineStr">
        <is>
          <t>D122</t>
        </is>
      </c>
      <c r="C241">
        <f>E122</f>
        <v/>
      </c>
      <c r="D241" t="n">
        <v>220000</v>
      </c>
    </row>
    <row r="242">
      <c r="A242" t="inlineStr">
        <is>
          <t>GERAL</t>
        </is>
      </c>
      <c r="B242" t="inlineStr">
        <is>
          <t>E122</t>
        </is>
      </c>
      <c r="D242" t="n">
        <v>220000</v>
      </c>
    </row>
    <row r="243">
      <c r="A243" t="inlineStr">
        <is>
          <t>GERAL</t>
        </is>
      </c>
      <c r="B243" t="inlineStr">
        <is>
          <t>G122</t>
        </is>
      </c>
      <c r="C243">
        <f>E122-D122</f>
        <v/>
      </c>
      <c r="D243" t="n">
        <v>0</v>
      </c>
    </row>
    <row r="244">
      <c r="A244" t="inlineStr">
        <is>
          <t>GERAL</t>
        </is>
      </c>
      <c r="B244" t="inlineStr">
        <is>
          <t>A123</t>
        </is>
      </c>
      <c r="D244" t="n">
        <v>6</v>
      </c>
    </row>
    <row r="245">
      <c r="A245" t="inlineStr">
        <is>
          <t>GERAL</t>
        </is>
      </c>
      <c r="B245" t="inlineStr">
        <is>
          <t>B123</t>
        </is>
      </c>
      <c r="D245" t="inlineStr">
        <is>
          <t>Uma sala comercial, utilizada com o escritório das empresas, localizada na Avenida Pinheiro Machado, nº 710, Sala nº 01, Bairro Centro, no Edifício Luiz Siviero, na cidade de Veranópolis – RS, com área de 243,30m², devidamente registrada no Ofício de Registros de Imóveis da Comarca de Veranópolis – RS, sob Matrícula nº 7.393.
CUB ao metro quadrado X R$ 3.236,85 + instalações.</t>
        </is>
      </c>
    </row>
    <row r="246">
      <c r="A246" t="inlineStr">
        <is>
          <t>GERAL</t>
        </is>
      </c>
      <c r="B246" t="inlineStr">
        <is>
          <t>C123</t>
        </is>
      </c>
      <c r="D246" t="n">
        <v>685000</v>
      </c>
    </row>
    <row r="247">
      <c r="A247" t="inlineStr">
        <is>
          <t>GERAL</t>
        </is>
      </c>
      <c r="B247" t="inlineStr">
        <is>
          <t>D123</t>
        </is>
      </c>
      <c r="C247">
        <f>E123</f>
        <v/>
      </c>
      <c r="D247" t="n">
        <v>840000</v>
      </c>
    </row>
    <row r="248">
      <c r="A248" t="inlineStr">
        <is>
          <t>GERAL</t>
        </is>
      </c>
      <c r="B248" t="inlineStr">
        <is>
          <t>E123</t>
        </is>
      </c>
      <c r="D248" t="n">
        <v>840000</v>
      </c>
    </row>
    <row r="249">
      <c r="A249" t="inlineStr">
        <is>
          <t>GERAL</t>
        </is>
      </c>
      <c r="B249" t="inlineStr">
        <is>
          <t>G123</t>
        </is>
      </c>
      <c r="C249">
        <f>E123-D123</f>
        <v/>
      </c>
      <c r="D249" t="n">
        <v>0</v>
      </c>
    </row>
    <row r="250">
      <c r="A250" t="inlineStr">
        <is>
          <t>GERAL</t>
        </is>
      </c>
      <c r="B250" t="inlineStr">
        <is>
          <t>A124</t>
        </is>
      </c>
      <c r="D250" t="n">
        <v>7</v>
      </c>
    </row>
    <row r="251">
      <c r="A251" t="inlineStr">
        <is>
          <t>GERAL</t>
        </is>
      </c>
      <c r="B251" t="inlineStr">
        <is>
          <t>B124</t>
        </is>
      </c>
      <c r="D251" t="inlineStr">
        <is>
          <t xml:space="preserve">Uma área de terras rurais, denominada de LOTES RURAIS Nº 63, 65, 66 e LETRA “N”, com área total de 69,8 hectares, localizada na Linha Júlio de Castilhos, Capela de São Brás, no Município de Cotiporã – RS, área esta registrada sob Matrículas nº.: 459, 460, 461 e 558. Considerado o valor médio de R$ 50.000,00, ao ha.
Matrículas nº 459, 460, 461 e 558 = 69,8 hectares.
Cadastrada no CCIR – Receita Federal sob nº 2.898.227-4
</t>
        </is>
      </c>
    </row>
    <row r="252">
      <c r="A252" t="inlineStr">
        <is>
          <t>GERAL</t>
        </is>
      </c>
      <c r="B252" t="inlineStr">
        <is>
          <t>C124</t>
        </is>
      </c>
      <c r="D252" t="inlineStr">
        <is>
          <t>Não divisível</t>
        </is>
      </c>
    </row>
    <row r="253">
      <c r="A253" t="inlineStr">
        <is>
          <t>GERAL</t>
        </is>
      </c>
      <c r="B253" t="inlineStr">
        <is>
          <t>D124</t>
        </is>
      </c>
      <c r="C253">
        <f>E124</f>
        <v/>
      </c>
      <c r="D253" t="n">
        <v>3500000</v>
      </c>
    </row>
    <row r="254">
      <c r="A254" t="inlineStr">
        <is>
          <t>GERAL</t>
        </is>
      </c>
      <c r="B254" t="inlineStr">
        <is>
          <t>E124</t>
        </is>
      </c>
      <c r="D254" t="n">
        <v>3500000</v>
      </c>
    </row>
    <row r="255">
      <c r="A255" t="inlineStr">
        <is>
          <t>GERAL</t>
        </is>
      </c>
      <c r="B255" t="inlineStr">
        <is>
          <t>G124</t>
        </is>
      </c>
      <c r="C255">
        <f>E124-D124</f>
        <v/>
      </c>
      <c r="D255" t="n">
        <v>0</v>
      </c>
    </row>
    <row r="256">
      <c r="A256" t="inlineStr">
        <is>
          <t>GERAL</t>
        </is>
      </c>
      <c r="B256" t="inlineStr">
        <is>
          <t>A125</t>
        </is>
      </c>
      <c r="D256" t="n">
        <v>8</v>
      </c>
    </row>
    <row r="257">
      <c r="A257" t="inlineStr">
        <is>
          <t>GERAL</t>
        </is>
      </c>
      <c r="B257" t="inlineStr">
        <is>
          <t>B125</t>
        </is>
      </c>
      <c r="D257" t="inlineStr">
        <is>
          <t>Uma área de terras rurais, denominada de Parte do lote Rural nº 63, da Linha Dr. Júlio de Castilhos, com área total de 4,5 hectares, DENTRO DE UM TODO MAIOR, localizada ao lado das terras na Capela de São Brás, no Município de Cotiporã – RS, adquirida do Senhor Tercílio Dal Más, área está registrada sob Registro nº.: 15.922 = 4,5 hectares. Considerado o valor médio de R$ 50.000,00, ao ha.
Cadastrada no CCIR – Receita Federal sob nº .........
Adquirida por CONTRATO DE COMPRA E VENDA, datado de 25 setembro de 2008, pelo valor de R$ 50.000,00.</t>
        </is>
      </c>
    </row>
    <row r="258">
      <c r="A258" t="inlineStr">
        <is>
          <t>GERAL</t>
        </is>
      </c>
      <c r="B258" t="inlineStr">
        <is>
          <t>C125</t>
        </is>
      </c>
      <c r="D258" t="inlineStr">
        <is>
          <t>?</t>
        </is>
      </c>
    </row>
    <row r="259">
      <c r="A259" t="inlineStr">
        <is>
          <t>GERAL</t>
        </is>
      </c>
      <c r="B259" t="inlineStr">
        <is>
          <t>D125</t>
        </is>
      </c>
      <c r="C259">
        <f>E125</f>
        <v/>
      </c>
      <c r="D259" t="n">
        <v>250000</v>
      </c>
    </row>
    <row r="260">
      <c r="A260" t="inlineStr">
        <is>
          <t>GERAL</t>
        </is>
      </c>
      <c r="B260" t="inlineStr">
        <is>
          <t>E125</t>
        </is>
      </c>
      <c r="D260" t="n">
        <v>250000</v>
      </c>
    </row>
    <row r="261">
      <c r="A261" t="inlineStr">
        <is>
          <t>GERAL</t>
        </is>
      </c>
      <c r="B261" t="inlineStr">
        <is>
          <t>G125</t>
        </is>
      </c>
      <c r="C261">
        <f>E125-D125</f>
        <v/>
      </c>
      <c r="D261" t="n">
        <v>0</v>
      </c>
    </row>
    <row r="262">
      <c r="A262" t="inlineStr">
        <is>
          <t>GERAL</t>
        </is>
      </c>
      <c r="B262" t="inlineStr">
        <is>
          <t>A126</t>
        </is>
      </c>
      <c r="D262" t="n">
        <v>9</v>
      </c>
    </row>
    <row r="263">
      <c r="A263" t="inlineStr">
        <is>
          <t>GERAL</t>
        </is>
      </c>
      <c r="B263" t="inlineStr">
        <is>
          <t>B126</t>
        </is>
      </c>
      <c r="D263" t="inlineStr">
        <is>
          <t>Um apartamento residencial, localizado na Avenida Pinheiro Machado, nº 710, denominado de nº 401, Bairro Centro, no Edifício Luiz Siviero, na cidade de Veranópolis – RS, com área total de 168,91m², área privativa de 127,05m², devidamente registrado no Ofício de Registros de Imóveis da Comarca de Veranópolis – RS, sob Matrícula nº 7.400.</t>
        </is>
      </c>
    </row>
    <row r="264">
      <c r="A264" t="inlineStr">
        <is>
          <t>GERAL</t>
        </is>
      </c>
      <c r="B264" t="inlineStr">
        <is>
          <t>C126</t>
        </is>
      </c>
      <c r="D264" t="n">
        <v>360000</v>
      </c>
    </row>
    <row r="265">
      <c r="A265" t="inlineStr">
        <is>
          <t>GERAL</t>
        </is>
      </c>
      <c r="B265" t="inlineStr">
        <is>
          <t>D126</t>
        </is>
      </c>
      <c r="C265">
        <f>E126</f>
        <v/>
      </c>
      <c r="D265" t="n">
        <v>360000</v>
      </c>
    </row>
    <row r="266">
      <c r="A266" t="inlineStr">
        <is>
          <t>GERAL</t>
        </is>
      </c>
      <c r="B266" t="inlineStr">
        <is>
          <t>E126</t>
        </is>
      </c>
      <c r="D266" t="n">
        <v>360000</v>
      </c>
    </row>
    <row r="267">
      <c r="A267" t="inlineStr">
        <is>
          <t>GERAL</t>
        </is>
      </c>
      <c r="B267" t="inlineStr">
        <is>
          <t>G126</t>
        </is>
      </c>
      <c r="C267">
        <f>E126-D126</f>
        <v/>
      </c>
      <c r="D267" t="n">
        <v>0</v>
      </c>
    </row>
    <row r="268">
      <c r="A268" t="inlineStr">
        <is>
          <t>GERAL</t>
        </is>
      </c>
      <c r="B268" t="inlineStr">
        <is>
          <t>A127</t>
        </is>
      </c>
      <c r="D268" t="n">
        <v>10</v>
      </c>
    </row>
    <row r="269">
      <c r="A269" t="inlineStr">
        <is>
          <t>GERAL</t>
        </is>
      </c>
      <c r="B269" t="inlineStr">
        <is>
          <t>B127</t>
        </is>
      </c>
      <c r="D269" t="inlineStr">
        <is>
          <t>Um veículo caminhão SCANIA = PLACA IKR 2054, ano 2002. Trabalha para a JBS – Thiago Binda.</t>
        </is>
      </c>
    </row>
    <row r="270">
      <c r="A270" t="inlineStr">
        <is>
          <t>GERAL</t>
        </is>
      </c>
      <c r="B270" t="inlineStr">
        <is>
          <t>C127</t>
        </is>
      </c>
      <c r="D270" t="n">
        <v>140000</v>
      </c>
    </row>
    <row r="271">
      <c r="A271" t="inlineStr">
        <is>
          <t>GERAL</t>
        </is>
      </c>
      <c r="B271" t="inlineStr">
        <is>
          <t>D127</t>
        </is>
      </c>
      <c r="C271">
        <f>E127</f>
        <v/>
      </c>
      <c r="D271" t="n">
        <v>140000</v>
      </c>
    </row>
    <row r="272">
      <c r="A272" t="inlineStr">
        <is>
          <t>GERAL</t>
        </is>
      </c>
      <c r="B272" t="inlineStr">
        <is>
          <t>E127</t>
        </is>
      </c>
      <c r="D272" t="n">
        <v>140000</v>
      </c>
    </row>
    <row r="273">
      <c r="A273" t="inlineStr">
        <is>
          <t>GERAL</t>
        </is>
      </c>
      <c r="B273" t="inlineStr">
        <is>
          <t>G127</t>
        </is>
      </c>
      <c r="C273">
        <f>E127-D127</f>
        <v/>
      </c>
      <c r="D273" t="n">
        <v>0</v>
      </c>
    </row>
    <row r="274">
      <c r="A274" t="inlineStr">
        <is>
          <t>GERAL</t>
        </is>
      </c>
      <c r="B274" t="inlineStr">
        <is>
          <t>A128</t>
        </is>
      </c>
      <c r="D274" t="n">
        <v>11</v>
      </c>
    </row>
    <row r="275">
      <c r="A275" t="inlineStr">
        <is>
          <t>GERAL</t>
        </is>
      </c>
      <c r="B275" t="inlineStr">
        <is>
          <t>B128</t>
        </is>
      </c>
      <c r="D275" t="inlineStr">
        <is>
          <t>Uma carreta RANDON = PLACA IQB 0612, ano 2009.</t>
        </is>
      </c>
    </row>
    <row r="276">
      <c r="A276" t="inlineStr">
        <is>
          <t>GERAL</t>
        </is>
      </c>
      <c r="B276" t="inlineStr">
        <is>
          <t>C128</t>
        </is>
      </c>
      <c r="D276" t="n">
        <v>30000</v>
      </c>
    </row>
    <row r="277">
      <c r="A277" t="inlineStr">
        <is>
          <t>GERAL</t>
        </is>
      </c>
      <c r="B277" t="inlineStr">
        <is>
          <t>D128</t>
        </is>
      </c>
      <c r="C277">
        <f>E128</f>
        <v/>
      </c>
      <c r="D277" t="n">
        <v>30000</v>
      </c>
    </row>
    <row r="278">
      <c r="A278" t="inlineStr">
        <is>
          <t>GERAL</t>
        </is>
      </c>
      <c r="B278" t="inlineStr">
        <is>
          <t>E128</t>
        </is>
      </c>
      <c r="D278" t="n">
        <v>30000</v>
      </c>
    </row>
    <row r="279">
      <c r="A279" t="inlineStr">
        <is>
          <t>GERAL</t>
        </is>
      </c>
      <c r="B279" t="inlineStr">
        <is>
          <t>G128</t>
        </is>
      </c>
      <c r="C279">
        <f>E128-D128</f>
        <v/>
      </c>
      <c r="D279" t="n">
        <v>0</v>
      </c>
    </row>
    <row r="280">
      <c r="A280" t="inlineStr">
        <is>
          <t>GERAL</t>
        </is>
      </c>
      <c r="B280" t="inlineStr">
        <is>
          <t>A129</t>
        </is>
      </c>
      <c r="D280" t="n">
        <v>12</v>
      </c>
    </row>
    <row r="281">
      <c r="A281" t="inlineStr">
        <is>
          <t>GERAL</t>
        </is>
      </c>
      <c r="B281" t="inlineStr">
        <is>
          <t>B129</t>
        </is>
      </c>
      <c r="D281" t="inlineStr">
        <is>
          <t>Um veículo caminhão SCANIA = PLACA IJZ 5399, ano 2001. Trabalha para a SEI – prancha.</t>
        </is>
      </c>
    </row>
    <row r="282">
      <c r="A282" t="inlineStr">
        <is>
          <t>GERAL</t>
        </is>
      </c>
      <c r="B282" t="inlineStr">
        <is>
          <t>C129</t>
        </is>
      </c>
      <c r="D282" t="n">
        <v>140000</v>
      </c>
    </row>
    <row r="283">
      <c r="A283" t="inlineStr">
        <is>
          <t>GERAL</t>
        </is>
      </c>
      <c r="B283" t="inlineStr">
        <is>
          <t>D129</t>
        </is>
      </c>
      <c r="C283">
        <f>E129</f>
        <v/>
      </c>
      <c r="D283" t="n">
        <v>140000</v>
      </c>
    </row>
    <row r="284">
      <c r="A284" t="inlineStr">
        <is>
          <t>GERAL</t>
        </is>
      </c>
      <c r="B284" t="inlineStr">
        <is>
          <t>E129</t>
        </is>
      </c>
      <c r="D284" t="n">
        <v>140000</v>
      </c>
    </row>
    <row r="285">
      <c r="A285" t="inlineStr">
        <is>
          <t>GERAL</t>
        </is>
      </c>
      <c r="B285" t="inlineStr">
        <is>
          <t>G129</t>
        </is>
      </c>
      <c r="C285">
        <f>E129-D129</f>
        <v/>
      </c>
      <c r="D285" t="n">
        <v>0</v>
      </c>
    </row>
    <row r="286">
      <c r="A286" t="inlineStr">
        <is>
          <t>GERAL</t>
        </is>
      </c>
      <c r="B286" t="inlineStr">
        <is>
          <t>A130</t>
        </is>
      </c>
      <c r="D286" t="n">
        <v>13</v>
      </c>
    </row>
    <row r="287">
      <c r="A287" t="inlineStr">
        <is>
          <t>GERAL</t>
        </is>
      </c>
      <c r="B287" t="inlineStr">
        <is>
          <t>B130</t>
        </is>
      </c>
      <c r="D287" t="inlineStr">
        <is>
          <t>Uma carreta RANDON = PLACA IJZ 8207, ano 2001.</t>
        </is>
      </c>
    </row>
    <row r="288">
      <c r="A288" t="inlineStr">
        <is>
          <t>GERAL</t>
        </is>
      </c>
      <c r="B288" t="inlineStr">
        <is>
          <t>C130</t>
        </is>
      </c>
      <c r="D288" t="n">
        <v>30000</v>
      </c>
    </row>
    <row r="289">
      <c r="A289" t="inlineStr">
        <is>
          <t>GERAL</t>
        </is>
      </c>
      <c r="B289" t="inlineStr">
        <is>
          <t>D130</t>
        </is>
      </c>
      <c r="C289">
        <f>E130</f>
        <v/>
      </c>
      <c r="D289" t="n">
        <v>30000</v>
      </c>
    </row>
    <row r="290">
      <c r="A290" t="inlineStr">
        <is>
          <t>GERAL</t>
        </is>
      </c>
      <c r="B290" t="inlineStr">
        <is>
          <t>E130</t>
        </is>
      </c>
      <c r="D290" t="n">
        <v>30000</v>
      </c>
    </row>
    <row r="291">
      <c r="A291" t="inlineStr">
        <is>
          <t>GERAL</t>
        </is>
      </c>
      <c r="B291" t="inlineStr">
        <is>
          <t>G130</t>
        </is>
      </c>
      <c r="C291">
        <f>E130-D130</f>
        <v/>
      </c>
      <c r="D291" t="n">
        <v>0</v>
      </c>
    </row>
    <row r="292">
      <c r="A292" t="inlineStr">
        <is>
          <t>GERAL</t>
        </is>
      </c>
      <c r="B292" t="inlineStr">
        <is>
          <t>A131</t>
        </is>
      </c>
      <c r="D292" t="inlineStr">
        <is>
          <t>A.1</t>
        </is>
      </c>
    </row>
    <row r="293">
      <c r="A293" t="inlineStr">
        <is>
          <t>GERAL</t>
        </is>
      </c>
      <c r="B293" t="inlineStr">
        <is>
          <t>B131</t>
        </is>
      </c>
      <c r="D293" t="inlineStr">
        <is>
          <t>Uma sala comercial, utilizada com o consultório da Fisioterapeuta Araceli Siviero, localizada na Avenida Dr. José Montaury, nº 1678, Sala nº 01, Bairro Palugana, no Edifício Dona Ângela Siviero, na cidade de Veranópolis – RS, com área de 52,91m², devidamente registrada no Ofício de Registros de Imóveis da Comarca de Veranópolis – RS, sob Matrícula nº 18.952.
02 CUB ao metro quadrado X R$ 1.407,45.</t>
        </is>
      </c>
    </row>
    <row r="294">
      <c r="A294" t="inlineStr">
        <is>
          <t>GERAL</t>
        </is>
      </c>
      <c r="B294" t="inlineStr">
        <is>
          <t>C131</t>
        </is>
      </c>
      <c r="D294" t="n">
        <v>149000</v>
      </c>
    </row>
    <row r="295">
      <c r="A295" t="inlineStr">
        <is>
          <t>GERAL</t>
        </is>
      </c>
      <c r="B295" t="inlineStr">
        <is>
          <t>D131</t>
        </is>
      </c>
      <c r="D295" t="n">
        <v>149000</v>
      </c>
    </row>
    <row r="296">
      <c r="A296" t="inlineStr">
        <is>
          <t>GERAL</t>
        </is>
      </c>
      <c r="B296" t="inlineStr">
        <is>
          <t>E131</t>
        </is>
      </c>
      <c r="D296" t="n">
        <v>0</v>
      </c>
    </row>
    <row r="297">
      <c r="A297" t="inlineStr">
        <is>
          <t>GERAL</t>
        </is>
      </c>
      <c r="B297" t="inlineStr">
        <is>
          <t>G131</t>
        </is>
      </c>
      <c r="C297">
        <f>E131-D131</f>
        <v/>
      </c>
      <c r="D297" t="n">
        <v>-149000</v>
      </c>
    </row>
    <row r="298">
      <c r="A298" t="inlineStr">
        <is>
          <t>GERAL</t>
        </is>
      </c>
      <c r="B298" t="inlineStr">
        <is>
          <t>A132</t>
        </is>
      </c>
      <c r="D298" t="inlineStr">
        <is>
          <t>A.2</t>
        </is>
      </c>
    </row>
    <row r="299">
      <c r="A299" t="inlineStr">
        <is>
          <t>GERAL</t>
        </is>
      </c>
      <c r="B299" t="inlineStr">
        <is>
          <t>B132</t>
        </is>
      </c>
      <c r="D299" t="inlineStr">
        <is>
          <t>Móveis, materiais diversos (mesas, cadeiras, telefone, etc...), equipamentos de informática e outros equipamentos instalados no Escritório das empresas Siviero, na cidade de Veranópolis – RS, na Avenida Pinheiro Machado, nº 710 – Sala nº 01, Bairro Centro.</t>
        </is>
      </c>
    </row>
    <row r="300">
      <c r="A300" t="inlineStr">
        <is>
          <t>GERAL</t>
        </is>
      </c>
      <c r="B300" t="inlineStr">
        <is>
          <t>C132</t>
        </is>
      </c>
      <c r="D300" t="n">
        <v>30000</v>
      </c>
    </row>
    <row r="301">
      <c r="A301" t="inlineStr">
        <is>
          <t>GERAL</t>
        </is>
      </c>
      <c r="B301" t="inlineStr">
        <is>
          <t>D132</t>
        </is>
      </c>
      <c r="D301" t="n">
        <v>30000</v>
      </c>
    </row>
    <row r="302">
      <c r="A302" t="inlineStr">
        <is>
          <t>GERAL</t>
        </is>
      </c>
      <c r="B302" t="inlineStr">
        <is>
          <t>E132</t>
        </is>
      </c>
      <c r="D302" t="n">
        <v>0</v>
      </c>
    </row>
    <row r="303">
      <c r="A303" t="inlineStr">
        <is>
          <t>GERAL</t>
        </is>
      </c>
      <c r="B303" t="inlineStr">
        <is>
          <t>G132</t>
        </is>
      </c>
      <c r="C303">
        <f>E132-D132</f>
        <v/>
      </c>
      <c r="D303" t="n">
        <v>-30000</v>
      </c>
    </row>
    <row r="304">
      <c r="A304" t="inlineStr">
        <is>
          <t>GERAL</t>
        </is>
      </c>
      <c r="B304" t="inlineStr">
        <is>
          <t>A133</t>
        </is>
      </c>
      <c r="D304" t="inlineStr">
        <is>
          <t>-</t>
        </is>
      </c>
    </row>
    <row r="305">
      <c r="A305" t="inlineStr">
        <is>
          <t>GERAL</t>
        </is>
      </c>
      <c r="B305" t="inlineStr">
        <is>
          <t>B133</t>
        </is>
      </c>
      <c r="D305" t="inlineStr">
        <is>
          <t>OBSERVAÇÕES: 
Conforme INSTRUMENTO PARTICULAR DE COMPRA E VENDA DE QUOTAS DE CAPITAL, NA SOCIEDADE DE EMPRESAS DE RESPONSABILIDADE LIMITADA, datado de 28 de agosto de 2025, o Sócio ROVÍLIO SIVIERO, brasileiro, natural de Veranópolis – RS, Odontólogo, residente e domiciliado na Rua Carijós, nº 427, Bairro Vila Fátima, na cidade de Passo Fundo – RS, CEP.: 99.020-110, inscrito no CPF/MF sob nº 225.676.150-91 e portador da Carteira de Identidade nº 4017098015, emitida pela SSP – RS, casado pelo Regime de Comunhão Universal de Bens com Maristela Pretto Siviero, brasileira, professora, filha de Alberto José Pretto e de Iracema Antônia Pretto, inscrita no CPF/MF sob nº 260.949.670/20 e portadora da Carteira de Identidade nº 22.827.317-1, emitida pela SSP – SC, efetuaram a VENDA das quotas que lhes pertenciam à empresa, diluídas em partes iguais aos demais sócios remanescentes.
A empresa possui um PROCESSO JUDICIAL em tramitação para cobrança de um valor de aproximadamente R$ 340.000,00 (Trezentos e quarenta mil reais), corrigidos e tratando-se de acordo judicial, NÃO significa que este será o valor ajustado, podendo sofrer consideráveis alterações para viabilização do acordo, contra as empresas: JOVENI TRANSPORTES LTDA. x JBS x FRANGOSUL, referente aos meses de dezembro de 2011, janeiro, fevereiro, março e abril de 2012). O ingresso deu-se, faz-se de não aceitarmos a proposta de pagamento, em 76 (Setenta e seis) parcelas, sem correção.
PROCESSO SOTTILI – BAHIA
O processo está com o Juiz desde novembro de 2024 para homologar ou não o acordo, que a seguradora fez com a autora. Em caso de condenação, o pedido é 01 (um) salário mínimo até que o menino completasse 25 anos. Ele nasceu em 23.05.1996, ou seja, completaria os 25 anos em maio de 2021 e, + 1.000 salários mínimos de dano moral. 
Cálculo:
PENSÃO
R$ 1.518,00 x 12 meses = R$ 18.216,00 x 20 anos = R$ 364.320,00 (considerado o valor atualizado do salário mínimo e por isso não incluso os juros).
DANO MORAL
R$ 1.518,00 x 1.000 = R$ 1.518.000,00.
O dano moral não seria deferido nesse patamar, mas se o Juiz julgar a condenação de 150 salários mínimos na época do acidente com juros desde então (02.04.2001), teremos:
O valor do salário mínimo da época de R$ 180,00 x 150 = R$ 27.000,00 com juros de 12,00% ao ano + correção monetária = R$ 627.000,00. 
Trata-se de uma condenação superior a R$ 1.000.000,00 (HUM MILHÃO DE REAIS). 
Dos bens imóveis instalados sobre uma das propriedades da empresa, carecem ainda de regularização:
PAVILHÃO DA OFICINA MECÂNICA: APROVAR o PROJETO do PAVILHÃO junto à Prefeitura de Veranópolis, pagar o I.N.S.S. resultante sobre a obra – Pavilhão da Oficina – para fins de averbação da benfeitoria na Matrícula do Imóvel, junto o Ofício de Registro de Imóveis da Comarca de Veranópolis – RS.
Conforme cálculo realizado para projetar o custo do imposto – I.N.S.S. – resulta numa importância de aproximadamente R$ 122.254,73 (Cento e vinte e dois mil, duzentos e cinquenta e quatro reais e setenta e três centavos), afora ainda os custos de: A.P.P.C.I., A.R.T., ENGENHEIRO CIVIL, TAXA DE APROVAÇÃO, EMOLUMENTOS DE REGISTRO, dentre outras despesas afins. 
PAVILHÃO DA BORRACHARIA E RAMPA DE LAVAGEM: APROVAR o PROJETO destes PAVILHÕES junto à Prefeitura de Veranópolis, pagar o I.N.S.S. resultantes sobre as obras – para fins de averbação das benfeitorias na Matrícula do Imóvel, junto o Ofício de Registro de Imóveis da Comarca de Veranópolis – RS.
Conforme cálculo realizado para projetar o custo do imposto – I.N.S.S. – resulta numa importância de aproximadamente R$ 62.555,51 (Sessenta e dois mil, quinhentos e cinquenta e cinco reais e cinquenta e um centavos), afora ainda os custos de: A.P.P.C.I., A.R.T., ENGENHEIRO CIVIL, TAXA DE APROVAÇÃO, EMOLUMENTOS DE REGISTRO, dentre outras despesas afins. 
O valor real acima apontado não é líquido, à medida que:
O valor patrimonial lançado sofrerá redução pela regularização dos imóveis, o que se estima numa redução de 1,50% (HUM VÍRGULA CINQUENTA POR CENTO) do valor acima apontado, afora os ônus de eventual dissolução da empresa em relação a parte de algum(ns) sócio(s).
Há que se ter em mente, que haverá ônus de eventual dissolução da empresa em relação a parte de algum(ns) sócio(s), não podendo serem considerados como líquidos os valores alcançados na avaliação patrimonial.
FOI ACRESCENTADO O VALOR DO CAPITAL DE BENS A IMPORTÂNCIA DE R$ 1.135.000,00 AO VALOR CONSTANTE NO BALANÇO PATRIMONIAL (CÓDIGO 1060) – ITENS 03 – 04 – 05.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sheetData>
    <row r="1">
      <c r="A1" s="1" t="inlineStr">
        <is>
          <t>Aba</t>
        </is>
      </c>
      <c r="B1" s="1" t="inlineStr">
        <is>
          <t>Célula</t>
        </is>
      </c>
      <c r="C1" s="1" t="inlineStr">
        <is>
          <t>Fórmula</t>
        </is>
      </c>
      <c r="D1" s="1" t="inlineStr">
        <is>
          <t>Valor / texto</t>
        </is>
      </c>
    </row>
    <row r="2">
      <c r="A2" t="inlineStr">
        <is>
          <t>1.Abastecedora</t>
        </is>
      </c>
      <c r="B2" t="inlineStr">
        <is>
          <t>I7</t>
        </is>
      </c>
      <c r="D2" t="inlineStr">
        <is>
          <t>Por que reduziu R$2.555.437,89</t>
        </is>
      </c>
    </row>
    <row r="3">
      <c r="A3" t="inlineStr">
        <is>
          <t>GERAL</t>
        </is>
      </c>
      <c r="B3" t="inlineStr">
        <is>
          <t>H7</t>
        </is>
      </c>
      <c r="D3" t="inlineStr">
        <is>
          <t>Por que reduziu R$2.555.437,89</t>
        </is>
      </c>
    </row>
    <row r="4">
      <c r="A4" t="inlineStr">
        <is>
          <t>8.Transportadora</t>
        </is>
      </c>
      <c r="B4" t="inlineStr">
        <is>
          <t>C10</t>
        </is>
      </c>
      <c r="D4" t="inlineStr">
        <is>
          <t>?</t>
        </is>
      </c>
    </row>
    <row r="5">
      <c r="A5" t="inlineStr">
        <is>
          <t>8.Transportadora</t>
        </is>
      </c>
      <c r="B5" t="inlineStr">
        <is>
          <t>C11</t>
        </is>
      </c>
      <c r="D5" t="inlineStr">
        <is>
          <t>?</t>
        </is>
      </c>
    </row>
    <row r="6">
      <c r="A6" t="inlineStr">
        <is>
          <t>GERAL</t>
        </is>
      </c>
      <c r="B6" t="inlineStr">
        <is>
          <t>C124</t>
        </is>
      </c>
      <c r="D6" t="inlineStr">
        <is>
          <t>Não divisível</t>
        </is>
      </c>
    </row>
    <row r="7">
      <c r="A7" t="inlineStr">
        <is>
          <t>GERAL</t>
        </is>
      </c>
      <c r="B7" t="inlineStr">
        <is>
          <t>C125</t>
        </is>
      </c>
      <c r="D7" t="inlineStr">
        <is>
          <t>?</t>
        </is>
      </c>
    </row>
    <row r="8">
      <c r="A8" t="inlineStr">
        <is>
          <t>GERAL</t>
        </is>
      </c>
      <c r="B8" t="inlineStr">
        <is>
          <t>H874</t>
        </is>
      </c>
      <c r="D8" t="inlineStr">
        <is>
          <t>Rovílio tinha direito à 2% das empresas Empreendimentos, Abastecedora e Transportadora. Ele recebeu R$ 3,440,082.00 
A mesma avaliação feita pelo levantamento deles totaliza o valor abaixo:
                   Siviero Emp. Imob. Ltda.:            R$ 2,017,480.55 
        Abastecedora de Combustíveis:            R$    193,228.28 
         Transportadora Irmãos Siviero:            R$     327,499.72 
                                                     TOTAL            R$ 2,538,208.55 
A avaliação que eles fizeram está 36.53% abaixo do acerto com Rovílio</t>
        </is>
      </c>
    </row>
    <row r="9">
      <c r="A9" t="inlineStr">
        <is>
          <t>GERAL</t>
        </is>
      </c>
      <c r="B9" t="inlineStr">
        <is>
          <t>E874</t>
        </is>
      </c>
      <c r="C9">
        <f>-550000*3</f>
        <v/>
      </c>
      <c r="D9" t="n">
        <v>-1650000</v>
      </c>
    </row>
    <row r="10">
      <c r="A10" t="inlineStr">
        <is>
          <t>Resumo</t>
        </is>
      </c>
      <c r="B10" t="inlineStr">
        <is>
          <t>C63</t>
        </is>
      </c>
      <c r="D10" t="inlineStr">
        <is>
          <t>Diferença de 36.53%</t>
        </is>
      </c>
    </row>
    <row r="11">
      <c r="A11" t="inlineStr">
        <is>
          <t>Resumo</t>
        </is>
      </c>
      <c r="B11" t="inlineStr">
        <is>
          <t>B67</t>
        </is>
      </c>
      <c r="D11" t="inlineStr">
        <is>
          <t xml:space="preserve">Sócio tem direito à 2% das empresas:	Ele recebeu:	     R$ 3,440,082.00 
		2% das empresas
	Siviero Emp. Imob. Ltda.:	     R$ 2,017,480.55 
	Abastecedora de Combustíveis:	     R$ 193,228.28 
	Transportadora Irmãos Siviero:	     R$ 327,499.72 
		     R$ 2,538,208.55 
Obs.:	Diferença de 36.53%	</t>
        </is>
      </c>
    </row>
    <row r="12">
      <c r="A12" t="inlineStr">
        <is>
          <t>Resumo</t>
        </is>
      </c>
      <c r="B12" t="inlineStr">
        <is>
          <t>B73</t>
        </is>
      </c>
      <c r="D12" t="inlineStr">
        <is>
          <t>Hotel Princesa dos Vales</t>
        </is>
      </c>
    </row>
    <row r="13">
      <c r="A13" t="inlineStr">
        <is>
          <t>Resumo</t>
        </is>
      </c>
      <c r="B13" t="inlineStr">
        <is>
          <t>C73</t>
        </is>
      </c>
      <c r="C13">
        <f>GERAL!C8</f>
        <v/>
      </c>
      <c r="D13" t="n">
        <v>145000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sheetData>
    <row r="1">
      <c r="A1" s="1" t="inlineStr">
        <is>
          <t>Fonte</t>
        </is>
      </c>
      <c r="B1" s="1" t="inlineStr">
        <is>
          <t>Tabela.linha</t>
        </is>
      </c>
      <c r="C1" s="1" t="inlineStr">
        <is>
          <t>Texto</t>
        </is>
      </c>
    </row>
    <row r="2">
      <c r="A2" t="inlineStr">
        <is>
          <t>2025 atual 00</t>
        </is>
      </c>
      <c r="B2" t="inlineStr">
        <is>
          <t>T2.R2</t>
        </is>
      </c>
      <c r="C2" t="inlineStr">
        <is>
          <t>01. ABASTECEDORA DE COMBUSTÍVEIS SIVIERO LTDA. x2 | R$ 9.661.414,00</t>
        </is>
      </c>
    </row>
    <row r="3">
      <c r="A3" t="inlineStr">
        <is>
          <t>2025 atual 00</t>
        </is>
      </c>
      <c r="B3" t="inlineStr">
        <is>
          <t>T2.R9</t>
        </is>
      </c>
      <c r="C3" t="inlineStr">
        <is>
          <t>08. TRANSPORTADORA IRMÃOS SIVIERO LTDA. x2 | R$ 16.374.986,00</t>
        </is>
      </c>
    </row>
    <row r="4">
      <c r="A4" t="inlineStr">
        <is>
          <t>2025 atual 00</t>
        </is>
      </c>
      <c r="B4" t="inlineStr">
        <is>
          <t>T2.R12</t>
        </is>
      </c>
      <c r="C4" t="inlineStr">
        <is>
          <t>11. SIVIERO EMPREENDIMENTOS IMOBILIÁRIOS LTDA. x2 | R$ 100.874,027,60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6"/>
  <sheetViews>
    <sheetView workbookViewId="0">
      <pane ySplit="1" topLeftCell="A2" activePane="bottomLeft" state="frozen"/>
      <selection pane="bottomLeft" activeCell="A1" sqref="A1"/>
    </sheetView>
  </sheetViews>
  <sheetFormatPr baseColWidth="8" defaultRowHeight="15"/>
  <sheetData>
    <row r="1">
      <c r="A1" s="1" t="inlineStr">
        <is>
          <t>Conferência</t>
        </is>
      </c>
      <c r="B1" s="1" t="inlineStr">
        <is>
          <t>Calculado (R$ ou %)</t>
        </is>
      </c>
      <c r="C1" s="1" t="inlineStr">
        <is>
          <t>Declarado (R$ ou %)</t>
        </is>
      </c>
      <c r="D1" s="1" t="inlineStr">
        <is>
          <t>Resultado</t>
        </is>
      </c>
      <c r="E1" s="1" t="inlineStr">
        <is>
          <t>Nota</t>
        </is>
      </c>
    </row>
    <row r="2">
      <c r="A2" t="inlineStr">
        <is>
          <t>2025 atual 01: soma dos itens (com o item recomposto) = total</t>
        </is>
      </c>
      <c r="B2" t="n">
        <v>9661414</v>
      </c>
      <c r="C2" t="n">
        <v>9661414</v>
      </c>
      <c r="D2" t="inlineStr">
        <is>
          <t>OK</t>
        </is>
      </c>
      <c r="E2" t="inlineStr">
        <is>
          <t>1 itens; célula de valor do item 01 vazia; recomposto pela descrição = 9.661.414,00</t>
        </is>
      </c>
    </row>
    <row r="3">
      <c r="A3" t="inlineStr">
        <is>
          <t>2025 atual 08: soma dos itens = total</t>
        </is>
      </c>
      <c r="B3" t="n">
        <v>16374986</v>
      </c>
      <c r="C3" t="n">
        <v>16374986</v>
      </c>
      <c r="D3" t="inlineStr">
        <is>
          <t>OK</t>
        </is>
      </c>
      <c r="E3" t="inlineStr">
        <is>
          <t>13 itens</t>
        </is>
      </c>
    </row>
    <row r="4">
      <c r="A4" t="inlineStr">
        <is>
          <t>2025 antigo 01: soma dos itens = total</t>
        </is>
      </c>
      <c r="B4" t="n">
        <v>9661414</v>
      </c>
      <c r="C4" t="n">
        <v>9661414</v>
      </c>
      <c r="D4" t="inlineStr">
        <is>
          <t>OK</t>
        </is>
      </c>
      <c r="E4" t="inlineStr">
        <is>
          <t>1 itens</t>
        </is>
      </c>
    </row>
    <row r="5">
      <c r="A5" t="inlineStr">
        <is>
          <t>2025 antigo 08: soma dos itens = total</t>
        </is>
      </c>
      <c r="B5" t="n">
        <v>16374986</v>
      </c>
      <c r="C5" t="n">
        <v>16374986</v>
      </c>
      <c r="D5" t="inlineStr">
        <is>
          <t>OK</t>
        </is>
      </c>
      <c r="E5" t="inlineStr">
        <is>
          <t>13 itens</t>
        </is>
      </c>
    </row>
    <row r="6">
      <c r="A6" t="inlineStr">
        <is>
          <t>2018 doc 12 Abastecedora: soma dos itens = total</t>
        </is>
      </c>
      <c r="B6" t="n">
        <v>12361851.89</v>
      </c>
      <c r="C6" t="n">
        <v>12361851.89</v>
      </c>
      <c r="D6" t="inlineStr">
        <is>
          <t>OK</t>
        </is>
      </c>
      <c r="E6" t="inlineStr">
        <is>
          <t>2 itens</t>
        </is>
      </c>
    </row>
    <row r="7">
      <c r="A7" t="inlineStr">
        <is>
          <t>2018 doc 15 Transportadora: soma dos itens = total bruto</t>
        </is>
      </c>
      <c r="B7" t="n">
        <v>1784000</v>
      </c>
      <c r="C7" t="n">
        <v>1784000</v>
      </c>
      <c r="D7" t="inlineStr">
        <is>
          <t>OK</t>
        </is>
      </c>
      <c r="E7" t="inlineStr">
        <is>
          <t>9 itens</t>
        </is>
      </c>
    </row>
    <row r="8">
      <c r="A8" t="inlineStr">
        <is>
          <t>2018 doc 15 Transportadora: bruto − item 09 (apto 102 doado) = total</t>
        </is>
      </c>
      <c r="B8" t="n">
        <v>1564000</v>
      </c>
      <c r="C8" t="n">
        <v>1564000</v>
      </c>
      <c r="D8" t="inlineStr">
        <is>
          <t>OK</t>
        </is>
      </c>
      <c r="E8" t="inlineStr">
        <is>
          <t>linha de total: bruto (−) 220.000 = líquido</t>
        </is>
      </c>
    </row>
    <row r="9">
      <c r="A9" t="inlineStr">
        <is>
          <t>2018 doc 10 Oficina Mecânica: soma dos itens = total</t>
        </is>
      </c>
      <c r="B9" t="n">
        <v>29303377.44</v>
      </c>
      <c r="C9" t="n">
        <v>29303377.44</v>
      </c>
      <c r="D9" t="inlineStr">
        <is>
          <t>OK</t>
        </is>
      </c>
      <c r="E9" t="inlineStr">
        <is>
          <t>7 itens</t>
        </is>
      </c>
    </row>
    <row r="10">
      <c r="A10" t="inlineStr">
        <is>
          <t>2025 atual 08 item 01: 8.700,00 m² × R$ 992,78 = valor</t>
        </is>
      </c>
      <c r="B10" t="n">
        <v>8637186</v>
      </c>
      <c r="C10" t="n">
        <v>8637186</v>
      </c>
      <c r="D10" t="inlineStr">
        <is>
          <t>OK</t>
        </is>
      </c>
      <c r="E10" t="inlineStr"/>
    </row>
    <row r="11">
      <c r="A11" t="inlineStr">
        <is>
          <t>2025 atual 08 item 02: 1.298 m² × R$ 1.100 = valor (30 % não calculado)</t>
        </is>
      </c>
      <c r="B11" t="n">
        <v>1427800</v>
      </c>
      <c r="C11" t="n">
        <v>1427800</v>
      </c>
      <c r="D11" t="inlineStr">
        <is>
          <t>OK</t>
        </is>
      </c>
      <c r="E11" t="inlineStr"/>
    </row>
    <row r="12">
      <c r="A12" t="inlineStr">
        <is>
          <t>2025 atual 08 item 07: 69,80 ha × R$ 50.000,00/ha = valor</t>
        </is>
      </c>
      <c r="B12" t="n">
        <v>3490000</v>
      </c>
      <c r="C12" t="n">
        <v>3500000</v>
      </c>
      <c r="D12" t="inlineStr">
        <is>
          <t>DIVERGÊNCIA NO DOCUMENTO</t>
        </is>
      </c>
      <c r="E12" t="inlineStr">
        <is>
          <t>a conta escrita no item não fecha</t>
        </is>
      </c>
    </row>
    <row r="13">
      <c r="A13" t="inlineStr">
        <is>
          <t>2025 atual 08 item 08: 4,50 ha × R$ 50.000,00/ha = valor</t>
        </is>
      </c>
      <c r="B13" t="n">
        <v>225000</v>
      </c>
      <c r="C13" t="n">
        <v>250000</v>
      </c>
      <c r="D13" t="inlineStr">
        <is>
          <t>DIVERGÊNCIA NO DOCUMENTO</t>
        </is>
      </c>
      <c r="E13" t="inlineStr">
        <is>
          <t>a conta escrita no item não fecha</t>
        </is>
      </c>
    </row>
    <row r="14">
      <c r="A14" t="inlineStr">
        <is>
          <t>2025 antigo 01 item 01: 30 % × (construída + coberta + equipamentos)</t>
        </is>
      </c>
      <c r="B14" t="n">
        <v>557634</v>
      </c>
      <c r="C14" t="n">
        <v>557634</v>
      </c>
      <c r="D14" t="inlineStr">
        <is>
          <t>OK</t>
        </is>
      </c>
      <c r="E14" t="inlineStr"/>
    </row>
    <row r="15">
      <c r="A15" t="inlineStr">
        <is>
          <t>2025 antigo 01 item 01: parcelas + 30 % = valor do item</t>
        </is>
      </c>
      <c r="B15" t="n">
        <v>9661414</v>
      </c>
      <c r="C15" t="n">
        <v>9661414</v>
      </c>
      <c r="D15" t="inlineStr">
        <is>
          <t>OK</t>
        </is>
      </c>
      <c r="E15" t="inlineStr">
        <is>
          <t>parcelas 7.245.000,00, 439.275,00, 769.505,00, 650.000,00</t>
        </is>
      </c>
    </row>
    <row r="16">
      <c r="A16" t="inlineStr">
        <is>
          <t>2025 antigo 08 item 01: 8.700,00 m² × R$ 992,78 = valor</t>
        </is>
      </c>
      <c r="B16" t="n">
        <v>8637186</v>
      </c>
      <c r="C16" t="n">
        <v>8637186</v>
      </c>
      <c r="D16" t="inlineStr">
        <is>
          <t>OK</t>
        </is>
      </c>
      <c r="E16" t="inlineStr"/>
    </row>
    <row r="17">
      <c r="A17" t="inlineStr">
        <is>
          <t>2025 antigo 08 item 02: 1.298 m² × R$ 1.100 = valor (30 % não calculado)</t>
        </is>
      </c>
      <c r="B17" t="n">
        <v>1427800</v>
      </c>
      <c r="C17" t="n">
        <v>1427800</v>
      </c>
      <c r="D17" t="inlineStr">
        <is>
          <t>OK</t>
        </is>
      </c>
      <c r="E17" t="inlineStr"/>
    </row>
    <row r="18">
      <c r="A18" t="inlineStr">
        <is>
          <t>2025 antigo 08 item 07: 69,80 ha × R$ 50.000,00/ha = valor</t>
        </is>
      </c>
      <c r="B18" t="n">
        <v>3490000</v>
      </c>
      <c r="C18" t="n">
        <v>3500000</v>
      </c>
      <c r="D18" t="inlineStr">
        <is>
          <t>DIVERGÊNCIA NO DOCUMENTO</t>
        </is>
      </c>
      <c r="E18" t="inlineStr">
        <is>
          <t>a conta escrita no item não fecha</t>
        </is>
      </c>
    </row>
    <row r="19">
      <c r="A19" t="inlineStr">
        <is>
          <t>2025 antigo 08 item 08: 4,50 ha × R$ 50.000,00/ha = valor</t>
        </is>
      </c>
      <c r="B19" t="n">
        <v>225000</v>
      </c>
      <c r="C19" t="n">
        <v>250000</v>
      </c>
      <c r="D19" t="inlineStr">
        <is>
          <t>DIVERGÊNCIA NO DOCUMENTO</t>
        </is>
      </c>
      <c r="E19" t="inlineStr">
        <is>
          <t>a conta escrita no item não fecha</t>
        </is>
      </c>
    </row>
    <row r="20">
      <c r="A20" t="inlineStr">
        <is>
          <t>2018 doc 12 Abastecedora item 01: 30 % × (construída + coberta + equipamentos)</t>
        </is>
      </c>
      <c r="B20" t="n">
        <v>828888.9</v>
      </c>
      <c r="C20" t="n">
        <v>828888.9</v>
      </c>
      <c r="D20" t="inlineStr">
        <is>
          <t>OK</t>
        </is>
      </c>
      <c r="E20" t="inlineStr"/>
    </row>
    <row r="21">
      <c r="A21" t="inlineStr">
        <is>
          <t>2018 doc 12 Abastecedora item 01: parcelas + 30 % = valor do item</t>
        </is>
      </c>
      <c r="B21" t="n">
        <v>12216851.89</v>
      </c>
      <c r="C21" t="n">
        <v>12216851.89</v>
      </c>
      <c r="D21" t="inlineStr">
        <is>
          <t>OK</t>
        </is>
      </c>
      <c r="E21" t="inlineStr">
        <is>
          <t>parcelas 8.625.000,00, 630.825,26, 1.132.137,73, 1.000.000,00</t>
        </is>
      </c>
    </row>
    <row r="22">
      <c r="A22" t="inlineStr">
        <is>
          <t>2018 doc 10 Oficina Mecânica item 02 (pavilhão): CUB + 30 % = valor</t>
        </is>
      </c>
      <c r="B22" t="n">
        <v>1259812.84</v>
      </c>
      <c r="C22" t="n">
        <v>1259812.84</v>
      </c>
      <c r="D22" t="inlineStr">
        <is>
          <t>OK</t>
        </is>
      </c>
      <c r="E22" t="inlineStr">
        <is>
          <t>parcelas 969.086,80 + 290.726,04</t>
        </is>
      </c>
    </row>
    <row r="23">
      <c r="A23" t="inlineStr">
        <is>
          <t>2025 atual 08: nota 'acrescentado ao capital de bens' × itens 03 + 04 + 05</t>
        </is>
      </c>
      <c r="B23" t="n">
        <v>1020000</v>
      </c>
      <c r="C23" t="n">
        <v>1135000</v>
      </c>
      <c r="D23" t="inlineStr">
        <is>
          <t>DIVERGÊNCIA NO DOCUMENTO</t>
        </is>
      </c>
      <c r="E23" t="inlineStr">
        <is>
          <t>diferença de 115.000 sem explicação no documento</t>
        </is>
      </c>
    </row>
    <row r="24">
      <c r="A24" t="inlineStr">
        <is>
          <t>2025 antigo 08: nota 'acrescentado ao capital de bens' × itens 03 + 04 + 05</t>
        </is>
      </c>
      <c r="B24" t="n">
        <v>1020000</v>
      </c>
      <c r="C24" t="n">
        <v>1135000</v>
      </c>
      <c r="D24" t="inlineStr">
        <is>
          <t>DIVERGÊNCIA NO DOCUMENTO</t>
        </is>
      </c>
      <c r="E24" t="inlineStr">
        <is>
          <t>diferença de 115.000 sem explicação no documento</t>
        </is>
      </c>
    </row>
    <row r="25">
      <c r="A25" t="inlineStr">
        <is>
          <t>2018 doc 12 Abastecedora: total = doc 27 (resumo 2018)</t>
        </is>
      </c>
      <c r="B25" t="n">
        <v>12361851.89</v>
      </c>
      <c r="C25" t="n">
        <v>12361851.89</v>
      </c>
      <c r="D25" t="inlineStr">
        <is>
          <t>OK</t>
        </is>
      </c>
      <c r="E25" t="inlineStr"/>
    </row>
    <row r="26">
      <c r="A26" t="inlineStr">
        <is>
          <t>2018 doc 15 Transportadora: total = doc 27 (resumo 2018)</t>
        </is>
      </c>
      <c r="B26" t="n">
        <v>1564000</v>
      </c>
      <c r="C26" t="n">
        <v>1564000</v>
      </c>
      <c r="D26" t="inlineStr">
        <is>
          <t>OK</t>
        </is>
      </c>
      <c r="E26" t="inlineStr"/>
    </row>
    <row r="27">
      <c r="A27" t="inlineStr">
        <is>
          <t>2018 doc 10 Oficina Mecânica: total = doc 27 (resumo 2018)</t>
        </is>
      </c>
      <c r="B27" t="n">
        <v>29303377.44</v>
      </c>
      <c r="C27" t="n">
        <v>29303377.44</v>
      </c>
      <c r="D27" t="inlineStr">
        <is>
          <t>OK</t>
        </is>
      </c>
      <c r="E27" t="inlineStr"/>
    </row>
    <row r="28">
      <c r="A28" t="inlineStr">
        <is>
          <t>2025 atual 01: total = 2025 atual 00</t>
        </is>
      </c>
      <c r="B28" t="n">
        <v>9661414</v>
      </c>
      <c r="C28" t="n">
        <v>9661414</v>
      </c>
      <c r="D28" t="inlineStr">
        <is>
          <t>OK</t>
        </is>
      </c>
      <c r="E28" t="inlineStr"/>
    </row>
    <row r="29">
      <c r="A29" t="inlineStr">
        <is>
          <t>2025 atual 08: total = 2025 atual 00</t>
        </is>
      </c>
      <c r="B29" t="n">
        <v>16374986</v>
      </c>
      <c r="C29" t="n">
        <v>16374986</v>
      </c>
      <c r="D29" t="inlineStr">
        <is>
          <t>OK</t>
        </is>
      </c>
      <c r="E29" t="inlineStr"/>
    </row>
    <row r="30">
      <c r="A30" t="inlineStr">
        <is>
          <t>2025 antigo 01: total = 2025 antigo 00</t>
        </is>
      </c>
      <c r="B30" t="n">
        <v>9661414</v>
      </c>
      <c r="C30" t="n">
        <v>9661414</v>
      </c>
      <c r="D30" t="inlineStr">
        <is>
          <t>OK</t>
        </is>
      </c>
      <c r="E30" t="inlineStr"/>
    </row>
    <row r="31">
      <c r="A31" t="inlineStr">
        <is>
          <t>2025 antigo 08: total = 2025 antigo 00</t>
        </is>
      </c>
      <c r="B31" t="n">
        <v>16374986</v>
      </c>
      <c r="C31" t="n">
        <v>16374986</v>
      </c>
      <c r="D31" t="inlineStr">
        <is>
          <t>OK</t>
        </is>
      </c>
      <c r="E31" t="inlineStr"/>
    </row>
    <row r="32">
      <c r="A32" t="inlineStr">
        <is>
          <t>2025 atual 01: soma dos percentuais do quadro 'valor real de cada sócio'</t>
        </is>
      </c>
      <c r="B32" t="n">
        <v>99.96000000000001</v>
      </c>
      <c r="C32" t="n">
        <v>100</v>
      </c>
      <c r="D32" t="inlineStr">
        <is>
          <t>DIVERGÊNCIA NO DOCUMENTO</t>
        </is>
      </c>
      <c r="E32" t="inlineStr">
        <is>
          <t>6 linhas; o documento escreve TOTAL 100,00 %</t>
        </is>
      </c>
    </row>
    <row r="33">
      <c r="A33" t="inlineStr">
        <is>
          <t>2025 atual 08: soma dos percentuais do quadro 'valor real de cada sócio'</t>
        </is>
      </c>
      <c r="B33" t="n">
        <v>99.96000000000001</v>
      </c>
      <c r="C33" t="n">
        <v>100</v>
      </c>
      <c r="D33" t="inlineStr">
        <is>
          <t>DIVERGÊNCIA NO DOCUMENTO</t>
        </is>
      </c>
      <c r="E33" t="inlineStr">
        <is>
          <t>6 linhas; o documento escreve TOTAL 100,00 %</t>
        </is>
      </c>
    </row>
    <row r="34">
      <c r="A34" t="inlineStr">
        <is>
          <t>2025 antigo 01: soma dos percentuais do quadro 'valor real de cada sócio'</t>
        </is>
      </c>
      <c r="B34" t="n">
        <v>99.97999999999999</v>
      </c>
      <c r="C34" t="n">
        <v>100</v>
      </c>
      <c r="D34" t="inlineStr">
        <is>
          <t>DIVERGÊNCIA NO DOCUMENTO</t>
        </is>
      </c>
      <c r="E34" t="inlineStr">
        <is>
          <t>7 linhas; o documento escreve TOTAL 100,00 %</t>
        </is>
      </c>
    </row>
    <row r="35">
      <c r="A35" t="inlineStr">
        <is>
          <t>2025 antigo 01: parcela de Rovílio = 2 % do total</t>
        </is>
      </c>
      <c r="B35" t="n">
        <v>193228.28</v>
      </c>
      <c r="C35" t="n">
        <v>193228.24</v>
      </c>
      <c r="D35" t="inlineStr">
        <is>
          <t>DIVERGÊNCIA NO DOCUMENTO</t>
        </is>
      </c>
      <c r="E35" t="inlineStr"/>
    </row>
    <row r="36">
      <c r="A36" t="inlineStr">
        <is>
          <t>2025 antigo 08: soma dos percentuais do quadro 'valor real de cada sócio'</t>
        </is>
      </c>
      <c r="B36" t="n">
        <v>99.97999999999999</v>
      </c>
      <c r="C36" t="n">
        <v>100</v>
      </c>
      <c r="D36" t="inlineStr">
        <is>
          <t>DIVERGÊNCIA NO DOCUMENTO</t>
        </is>
      </c>
      <c r="E36" t="inlineStr">
        <is>
          <t>7 linhas; o documento escreve TOTAL 100,00 %</t>
        </is>
      </c>
    </row>
    <row r="37">
      <c r="A37" t="inlineStr">
        <is>
          <t>2025 antigo 08: parcela de Rovílio = 2 % do total</t>
        </is>
      </c>
      <c r="B37" t="n">
        <v>327499.72</v>
      </c>
      <c r="C37" t="n">
        <v>327499.7</v>
      </c>
      <c r="D37" t="inlineStr">
        <is>
          <t>DIVERGÊNCIA NO DOCUMENTO</t>
        </is>
      </c>
      <c r="E37" t="inlineStr"/>
    </row>
    <row r="38">
      <c r="A38" t="inlineStr">
        <is>
          <t>Rafael 01 item 01: balanço do grupo transcrito por Rafael = inventário 2025</t>
        </is>
      </c>
      <c r="B38" t="n">
        <v>9661414</v>
      </c>
      <c r="C38" t="n">
        <v>9661414</v>
      </c>
      <c r="D38" t="inlineStr">
        <is>
          <t>OK</t>
        </is>
      </c>
      <c r="E38" t="inlineStr">
        <is>
          <t>p. 1</t>
        </is>
      </c>
    </row>
    <row r="39">
      <c r="A39" t="inlineStr">
        <is>
          <t>Rafael 08 item 01: balanço do grupo transcrito por Rafael = inventário 2025</t>
        </is>
      </c>
      <c r="B39" t="n">
        <v>8637186</v>
      </c>
      <c r="C39" t="n">
        <v>8637186</v>
      </c>
      <c r="D39" t="inlineStr">
        <is>
          <t>OK</t>
        </is>
      </c>
      <c r="E39" t="inlineStr">
        <is>
          <t>p. 1</t>
        </is>
      </c>
    </row>
    <row r="40">
      <c r="A40" t="inlineStr">
        <is>
          <t>Rafael 08 item 02: balanço do grupo transcrito por Rafael = inventário 2025</t>
        </is>
      </c>
      <c r="B40" t="n">
        <v>1427800</v>
      </c>
      <c r="C40" t="n">
        <v>1427800</v>
      </c>
      <c r="D40" t="inlineStr">
        <is>
          <t>OK</t>
        </is>
      </c>
      <c r="E40" t="inlineStr">
        <is>
          <t>p. 1</t>
        </is>
      </c>
    </row>
    <row r="41">
      <c r="A41" t="inlineStr">
        <is>
          <t>Rafael 08 item 03: balanço do grupo transcrito por Rafael = inventário 2025</t>
        </is>
      </c>
      <c r="B41" t="n">
        <v>500000</v>
      </c>
      <c r="C41" t="n">
        <v>500000</v>
      </c>
      <c r="D41" t="inlineStr">
        <is>
          <t>OK</t>
        </is>
      </c>
      <c r="E41" t="inlineStr">
        <is>
          <t>p. 2</t>
        </is>
      </c>
    </row>
    <row r="42">
      <c r="A42" t="inlineStr">
        <is>
          <t>Rafael 08 item 04: balanço do grupo transcrito por Rafael = inventário 2025</t>
        </is>
      </c>
      <c r="B42" t="n">
        <v>300000</v>
      </c>
      <c r="C42" t="n">
        <v>300000</v>
      </c>
      <c r="D42" t="inlineStr">
        <is>
          <t>OK</t>
        </is>
      </c>
      <c r="E42" t="inlineStr">
        <is>
          <t>p. 2</t>
        </is>
      </c>
    </row>
    <row r="43">
      <c r="A43" t="inlineStr">
        <is>
          <t>Rafael 08 item 05: balanço do grupo transcrito por Rafael = inventário 2025</t>
        </is>
      </c>
      <c r="B43" t="n">
        <v>220000</v>
      </c>
      <c r="C43" t="n">
        <v>220000</v>
      </c>
      <c r="D43" t="inlineStr">
        <is>
          <t>OK</t>
        </is>
      </c>
      <c r="E43" t="inlineStr">
        <is>
          <t>p. 2</t>
        </is>
      </c>
    </row>
    <row r="44">
      <c r="A44" t="inlineStr">
        <is>
          <t>Rafael 08 item 06: balanço do grupo transcrito por Rafael = inventário 2025</t>
        </is>
      </c>
      <c r="B44" t="n">
        <v>840000</v>
      </c>
      <c r="C44" t="n">
        <v>840000</v>
      </c>
      <c r="D44" t="inlineStr">
        <is>
          <t>OK</t>
        </is>
      </c>
      <c r="E44" t="inlineStr">
        <is>
          <t>p. 2</t>
        </is>
      </c>
    </row>
    <row r="45">
      <c r="A45" t="inlineStr">
        <is>
          <t>Rafael 08 item 07: balanço do grupo transcrito por Rafael = inventário 2025</t>
        </is>
      </c>
      <c r="B45" t="n">
        <v>3500000</v>
      </c>
      <c r="C45" t="n">
        <v>3500000</v>
      </c>
      <c r="D45" t="inlineStr">
        <is>
          <t>OK</t>
        </is>
      </c>
      <c r="E45" t="inlineStr">
        <is>
          <t>p. 3</t>
        </is>
      </c>
    </row>
    <row r="46">
      <c r="A46" t="inlineStr">
        <is>
          <t>Rafael 08 item 08: balanço do grupo transcrito por Rafael = inventário 2025</t>
        </is>
      </c>
      <c r="B46" t="n">
        <v>250000</v>
      </c>
      <c r="C46" t="n">
        <v>250000</v>
      </c>
      <c r="D46" t="inlineStr">
        <is>
          <t>OK</t>
        </is>
      </c>
      <c r="E46" t="inlineStr">
        <is>
          <t>p. 3</t>
        </is>
      </c>
    </row>
    <row r="47">
      <c r="A47" t="inlineStr">
        <is>
          <t>Rafael 08 item 09: balanço do grupo transcrito por Rafael = inventário 2025</t>
        </is>
      </c>
      <c r="B47" t="n">
        <v>360000</v>
      </c>
      <c r="C47" t="n">
        <v>360000</v>
      </c>
      <c r="D47" t="inlineStr">
        <is>
          <t>OK</t>
        </is>
      </c>
      <c r="E47" t="inlineStr">
        <is>
          <t>p. 3</t>
        </is>
      </c>
    </row>
    <row r="48">
      <c r="A48" t="inlineStr">
        <is>
          <t>Rafael 08 item 10: balanço do grupo transcrito por Rafael = inventário 2025</t>
        </is>
      </c>
      <c r="B48" t="n">
        <v>140000</v>
      </c>
      <c r="C48" t="n">
        <v>140000</v>
      </c>
      <c r="D48" t="inlineStr">
        <is>
          <t>OK</t>
        </is>
      </c>
      <c r="E48" t="inlineStr">
        <is>
          <t>p. 3</t>
        </is>
      </c>
    </row>
    <row r="49">
      <c r="A49" t="inlineStr">
        <is>
          <t>Rafael 08 item 11: balanço do grupo transcrito por Rafael = inventário 2025</t>
        </is>
      </c>
      <c r="B49" t="n">
        <v>30000</v>
      </c>
      <c r="C49" t="n">
        <v>30000</v>
      </c>
      <c r="D49" t="inlineStr">
        <is>
          <t>OK</t>
        </is>
      </c>
      <c r="E49" t="inlineStr">
        <is>
          <t>p. 3</t>
        </is>
      </c>
    </row>
    <row r="50">
      <c r="A50" t="inlineStr">
        <is>
          <t>Rafael 08 item 12: balanço do grupo transcrito por Rafael = inventário 2025</t>
        </is>
      </c>
      <c r="B50" t="n">
        <v>140000</v>
      </c>
      <c r="C50" t="n">
        <v>140000</v>
      </c>
      <c r="D50" t="inlineStr">
        <is>
          <t>OK</t>
        </is>
      </c>
      <c r="E50" t="inlineStr">
        <is>
          <t>p. 3</t>
        </is>
      </c>
    </row>
    <row r="51">
      <c r="A51" t="inlineStr">
        <is>
          <t>Rafael 08 item 13: balanço do grupo transcrito por Rafael = inventário 2025</t>
        </is>
      </c>
      <c r="B51" t="n">
        <v>30000</v>
      </c>
      <c r="C51" t="n">
        <v>30000</v>
      </c>
      <c r="D51" t="inlineStr">
        <is>
          <t>OK</t>
        </is>
      </c>
      <c r="E51" t="inlineStr">
        <is>
          <t>p. 3</t>
        </is>
      </c>
    </row>
    <row r="52">
      <c r="A52" t="inlineStr">
        <is>
          <t>Rafael 01 · Balanço apresentado pelo grupo: soma dos itens = total</t>
        </is>
      </c>
      <c r="B52" t="n">
        <v>9661414</v>
      </c>
      <c r="C52" t="n">
        <v>9661414</v>
      </c>
      <c r="D52" t="inlineStr">
        <is>
          <t>OK</t>
        </is>
      </c>
      <c r="E52" t="inlineStr">
        <is>
          <t>1 itens</t>
        </is>
      </c>
    </row>
    <row r="53">
      <c r="A53" t="inlineStr">
        <is>
          <t>Rafael 08 · Balanço apresentado pelo grupo: soma dos itens = total</t>
        </is>
      </c>
      <c r="B53" t="n">
        <v>16374986</v>
      </c>
      <c r="C53" t="n">
        <v>16374986</v>
      </c>
      <c r="D53" t="inlineStr">
        <is>
          <t>OK</t>
        </is>
      </c>
      <c r="E53" t="inlineStr">
        <is>
          <t>13 itens</t>
        </is>
      </c>
    </row>
    <row r="54">
      <c r="A54" t="inlineStr">
        <is>
          <t>Rafael 08 · Balanço executado por Valter: soma dos itens = total</t>
        </is>
      </c>
      <c r="B54" t="n">
        <v>16924986</v>
      </c>
      <c r="C54" t="n">
        <v>16924986</v>
      </c>
      <c r="D54" t="inlineStr">
        <is>
          <t>OK</t>
        </is>
      </c>
      <c r="E54" t="inlineStr">
        <is>
          <t>13 itens</t>
        </is>
      </c>
    </row>
    <row r="55">
      <c r="A55" t="inlineStr">
        <is>
          <t>Rafael 01: valor adotado (p. 3) × total da empresa em 2018 (doc 12)</t>
        </is>
      </c>
      <c r="B55" t="n">
        <v>12361850</v>
      </c>
      <c r="C55" t="n">
        <v>12361851.89</v>
      </c>
      <c r="D55" t="inlineStr">
        <is>
          <t>DIVERGÊNCIA NO DOCUMENTO</t>
        </is>
      </c>
      <c r="E55" t="inlineStr">
        <is>
          <t>o total de 2018 inclui o caminhão-tanque ICW 8342 (145.000), que não existe em 2025</t>
        </is>
      </c>
    </row>
    <row r="56">
      <c r="A56" t="inlineStr">
        <is>
          <t>Rafael 01: valor adotado (p. 3) × posto em 2018 (doc 12 item 01)</t>
        </is>
      </c>
      <c r="B56" t="n">
        <v>12361850</v>
      </c>
      <c r="C56" t="n">
        <v>12216851.89</v>
      </c>
      <c r="D56" t="inlineStr">
        <is>
          <t>DIVERGÊNCIA NO DOCUMENTO</t>
        </is>
      </c>
      <c r="E56" t="inlineStr">
        <is>
          <t>Rafael usa o total da empresa, não o valor do posto</t>
        </is>
      </c>
    </row>
    <row r="57">
      <c r="A57" t="inlineStr">
        <is>
          <t>Rafael 01: valor adotado (p. 3) × parcelas da descrição que ele mesmo transcreve</t>
        </is>
      </c>
      <c r="B57" t="n">
        <v>12361850</v>
      </c>
      <c r="C57" t="n">
        <v>9661414</v>
      </c>
      <c r="D57" t="inlineStr">
        <is>
          <t>DIVERGÊNCIA NO DOCUMENTO</t>
        </is>
      </c>
      <c r="E57" t="inlineStr">
        <is>
          <t>a descrição da p. 3 é a de 2025 e soma 9.661.414</t>
        </is>
      </c>
    </row>
    <row r="58">
      <c r="A58" t="inlineStr">
        <is>
          <t>Rafael 01: quadro-resumo, 1/6 do patrimônio</t>
        </is>
      </c>
      <c r="B58" t="n">
        <v>2060308.33</v>
      </c>
      <c r="C58" t="n">
        <v>2060166</v>
      </c>
      <c r="D58" t="inlineStr">
        <is>
          <t>DIVERGÊNCIA NO DOCUMENTO</t>
        </is>
      </c>
      <c r="E58" t="inlineStr">
        <is>
          <t>escrito R$   2.060,166; total 12.361.850,00</t>
        </is>
      </c>
    </row>
    <row r="59">
      <c r="A59" t="inlineStr">
        <is>
          <t>Rafael 08: quadro-resumo, 1/6 do patrimônio</t>
        </is>
      </c>
      <c r="B59" t="n">
        <v>2820831</v>
      </c>
      <c r="C59" t="n">
        <v>2820831</v>
      </c>
      <c r="D59" t="inlineStr">
        <is>
          <t>OK</t>
        </is>
      </c>
      <c r="E59" t="inlineStr">
        <is>
          <t>escrito R$ 2.820.831,00; total 16.924.986,00</t>
        </is>
      </c>
    </row>
    <row r="60">
      <c r="A60" t="inlineStr">
        <is>
          <t>arq. 10 (Rovílio): soma dos itens 1 a 10 = preço da cláusula 3ª</t>
        </is>
      </c>
      <c r="B60" t="n">
        <v>3440082</v>
      </c>
      <c r="C60" t="n">
        <v>3440082</v>
      </c>
      <c r="D60" t="inlineStr">
        <is>
          <t>OK</t>
        </is>
      </c>
      <c r="E60" t="inlineStr">
        <is>
          <t>10 itens (transcrição conferida nas p. 4–6)</t>
        </is>
      </c>
    </row>
    <row r="61">
      <c r="A61" t="inlineStr">
        <is>
          <t>Planilha 1.Abastecedora C5 (2018 apresentado) = doc 12 (2018)</t>
        </is>
      </c>
      <c r="B61" t="n">
        <v>12361851.89</v>
      </c>
      <c r="C61" t="n">
        <v>12361851.89</v>
      </c>
      <c r="D61" t="inlineStr">
        <is>
          <t>OK</t>
        </is>
      </c>
      <c r="E61" t="inlineStr"/>
    </row>
    <row r="62">
      <c r="A62" t="inlineStr">
        <is>
          <t>Planilha 1.Abastecedora F5/G5 (2025) = doc 00</t>
        </is>
      </c>
      <c r="B62" t="n">
        <v>9661414</v>
      </c>
      <c r="C62" t="n">
        <v>9661414</v>
      </c>
      <c r="D62" t="inlineStr">
        <is>
          <t>OK</t>
        </is>
      </c>
      <c r="E62" t="inlineStr"/>
    </row>
    <row r="63">
      <c r="A63" t="inlineStr">
        <is>
          <t>Planilha GERAL E5 (2025) = doc 00</t>
        </is>
      </c>
      <c r="B63" t="n">
        <v>9661414</v>
      </c>
      <c r="C63" t="n">
        <v>9661414</v>
      </c>
      <c r="D63" t="inlineStr">
        <is>
          <t>OK</t>
        </is>
      </c>
      <c r="E63" t="inlineStr"/>
    </row>
    <row r="64">
      <c r="A64" t="inlineStr">
        <is>
          <t>Planilha 8.Transportadora F2/G2 (2025) = doc 00</t>
        </is>
      </c>
      <c r="B64" t="n">
        <v>16374986</v>
      </c>
      <c r="C64" t="n">
        <v>16374986</v>
      </c>
      <c r="D64" t="inlineStr">
        <is>
          <t>OK</t>
        </is>
      </c>
      <c r="E64" t="inlineStr"/>
    </row>
    <row r="65">
      <c r="A65" t="inlineStr">
        <is>
          <t>Planilha GERAL E116 (2025) = doc 00</t>
        </is>
      </c>
      <c r="B65" t="n">
        <v>16374986</v>
      </c>
      <c r="C65" t="n">
        <v>16374986</v>
      </c>
      <c r="D65" t="inlineStr">
        <is>
          <t>OK</t>
        </is>
      </c>
      <c r="E65" t="inlineStr"/>
    </row>
    <row r="66">
      <c r="A66" t="inlineStr">
        <is>
          <t>Planilha 8.Transportadora C2 (2018 apresentado) = Oficina itens 01–05 + Transportadora 2018 (líquido)</t>
        </is>
      </c>
      <c r="B66" t="n">
        <v>12285998.84</v>
      </c>
      <c r="C66" t="n">
        <v>12285998.84</v>
      </c>
      <c r="D66" t="inlineStr">
        <is>
          <t>OK</t>
        </is>
      </c>
      <c r="E66" t="inlineStr">
        <is>
          <t>base composta: não é o total de nenhum documento de 2018; a coluna D ('2018: atualizado') repete o valor de 2025 nos itens que existem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2026-10-28T22:46:56Z</dcterms:created>
  <dcterms:modified xmlns:dcterms="http://purl.org/dc/terms/" xmlns:xsi="http://www.w3.org/2001/XMLSchema-instance" xsi:type="dcterms:W3CDTF">2026-10-28T22:46:57Z</dcterms:modified>
</cp:coreProperties>
</file>