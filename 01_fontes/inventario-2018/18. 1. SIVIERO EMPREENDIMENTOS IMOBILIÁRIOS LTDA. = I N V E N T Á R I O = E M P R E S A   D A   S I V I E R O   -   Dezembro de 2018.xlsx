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Bens" sheetId="2" state="visible" r:id="rId2"/>
    <sheet xmlns:r="http://schemas.openxmlformats.org/officeDocument/2006/relationships" name="Bens em outras empresas" sheetId="3" state="visible" r:id="rId3"/>
    <sheet xmlns:r="http://schemas.openxmlformats.org/officeDocument/2006/relationships" name="Processos" sheetId="4" state="visible" r:id="rId4"/>
    <sheet xmlns:r="http://schemas.openxmlformats.org/officeDocument/2006/relationships" name="Credores" sheetId="5" state="visible" r:id="rId5"/>
    <sheet xmlns:r="http://schemas.openxmlformats.org/officeDocument/2006/relationships" name="Aluguéis" sheetId="6" state="visible" r:id="rId6"/>
    <sheet xmlns:r="http://schemas.openxmlformats.org/officeDocument/2006/relationships" name="Saldo de lotes" sheetId="7" state="visible" r:id="rId7"/>
    <sheet xmlns:r="http://schemas.openxmlformats.org/officeDocument/2006/relationships" name="Investimentos" sheetId="8" state="visible" r:id="rId8"/>
    <sheet xmlns:r="http://schemas.openxmlformats.org/officeDocument/2006/relationships" name="Sócios" sheetId="9" state="visible" r:id="rId9"/>
  </sheets>
  <definedNames>
    <definedName name="_xlnm._FilterDatabase" localSheetId="1" hidden="1">'Bens'!$A$4:$I$142</definedName>
    <definedName name="_xlnm._FilterDatabase" localSheetId="2" hidden="1">'Bens em outras empresas'!$A$4:$E$13</definedName>
    <definedName name="_xlnm._FilterDatabase" localSheetId="3" hidden="1">'Processos'!$A$4:$F$23</definedName>
    <definedName name="_xlnm._FilterDatabase" localSheetId="4" hidden="1">'Credores'!$A$4:$F$36</definedName>
    <definedName name="_xlnm._FilterDatabase" localSheetId="5" hidden="1">'Aluguéis'!$A$4:$D$20</definedName>
    <definedName name="_xlnm._FilterDatabase" localSheetId="6" hidden="1">'Saldo de lotes'!$A$4:$D$44</definedName>
    <definedName name="_xlnm._FilterDatabase" localSheetId="7" hidden="1">'Investimentos'!$A$4:$C$23</definedName>
    <definedName name="_xlnm._FilterDatabase" localSheetId="8" hidden="1">'Sócios'!$A$4:$E$20</definedName>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b val="1"/>
      <sz val="13"/>
    </font>
    <font>
      <i val="1"/>
      <color rgb="00666666"/>
    </font>
    <font>
      <b val="1"/>
    </font>
    <font>
      <color rgb="000000FF"/>
    </font>
    <font>
      <b val="1"/>
      <color rgb="000000FF"/>
    </font>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4" fontId="0" fillId="0" borderId="0" pivotButton="0" quotePrefix="0" xfId="0"/>
    <xf numFmtId="4" fontId="4" fillId="0" borderId="0" pivotButton="0" quotePrefix="0" xfId="0"/>
    <xf numFmtId="0" fontId="3" fillId="0" borderId="0" pivotButton="0" quotePrefix="0" xfId="0"/>
    <xf numFmtId="4" fontId="3" fillId="0" borderId="0" pivotButton="0" quotePrefix="0" xfId="0"/>
    <xf numFmtId="4" fontId="5" fillId="0" borderId="0" pivotButton="0" quotePrefix="0" xfId="0"/>
    <xf numFmtId="0" fontId="6"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4" fontId="4" fillId="0" borderId="0" applyAlignment="1" pivotButton="0" quotePrefix="0" xfId="0">
      <alignment vertical="top" wrapText="1"/>
    </xf>
    <xf numFmtId="4"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164"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pane ySplit="4" topLeftCell="A5" activePane="bottomLeft" state="frozen"/>
      <selection pane="bottomLeft" activeCell="A1" sqref="A1"/>
    </sheetView>
  </sheetViews>
  <sheetFormatPr baseColWidth="8" defaultRowHeight="15"/>
  <cols>
    <col width="62" customWidth="1" min="1" max="1"/>
    <col width="12" customWidth="1" min="2" max="2"/>
    <col width="22" customWidth="1" min="3" max="3"/>
    <col width="22" customWidth="1" min="4" max="4"/>
    <col width="16" customWidth="1" min="5" max="5"/>
  </cols>
  <sheetData>
    <row r="1">
      <c r="A1" s="1" t="inlineStr">
        <is>
          <t>Resumo - Siviero Empreendimentos Imobiliários Ltda. (31.12.2018)</t>
        </is>
      </c>
    </row>
    <row r="2">
      <c r="A2" s="2" t="inlineStr">
        <is>
          <t>Valor calculado = soma da aba Bens; 'Total no documento' transcrito do inventário; 'Dif.' deve ser zero.</t>
        </is>
      </c>
    </row>
    <row r="4">
      <c r="A4" s="3" t="inlineStr">
        <is>
          <t>Grupo</t>
        </is>
      </c>
      <c r="B4" s="3" t="inlineStr">
        <is>
          <t>Qtde. itens</t>
        </is>
      </c>
      <c r="C4" s="3" t="inlineStr">
        <is>
          <t>Valor calculado (R$)</t>
        </is>
      </c>
      <c r="D4" s="3" t="inlineStr">
        <is>
          <t>Total no documento (R$)</t>
        </is>
      </c>
      <c r="E4" s="3" t="inlineStr">
        <is>
          <t>Dif. (R$)</t>
        </is>
      </c>
    </row>
    <row r="5">
      <c r="A5" t="inlineStr">
        <is>
          <t>Veículos</t>
        </is>
      </c>
      <c r="B5">
        <f>COUNTIF(Bens!$B$5:$B$142,A5)</f>
        <v/>
      </c>
      <c r="C5" s="4">
        <f>SUMIF(Bens!$B$5:$B$142,A5,Bens!$E$5:$E$142)</f>
        <v/>
      </c>
      <c r="D5" s="5" t="n">
        <v>953000</v>
      </c>
      <c r="E5" s="4">
        <f>C5-D5</f>
        <v/>
      </c>
    </row>
    <row r="6">
      <c r="A6" t="inlineStr">
        <is>
          <t>Imóveis e móveis</t>
        </is>
      </c>
      <c r="B6">
        <f>COUNTIF(Bens!$B$5:$B$142,A6)</f>
        <v/>
      </c>
      <c r="C6" s="4">
        <f>SUMIF(Bens!$B$5:$B$142,A6,Bens!$E$5:$E$142)</f>
        <v/>
      </c>
      <c r="D6" s="5" t="n">
        <v>110000</v>
      </c>
      <c r="E6" s="4">
        <f>C6-D6</f>
        <v/>
      </c>
    </row>
    <row r="7">
      <c r="A7" t="inlineStr">
        <is>
          <t>Máquinas</t>
        </is>
      </c>
      <c r="B7">
        <f>COUNTIF(Bens!$B$5:$B$142,A7)</f>
        <v/>
      </c>
      <c r="C7" s="4">
        <f>SUMIF(Bens!$B$5:$B$142,A7,Bens!$E$5:$E$142)</f>
        <v/>
      </c>
      <c r="D7" s="5" t="n">
        <v>1350000</v>
      </c>
      <c r="E7" s="4">
        <f>C7-D7</f>
        <v/>
      </c>
    </row>
    <row r="8">
      <c r="A8" t="inlineStr">
        <is>
          <t>Lotes urbanos - Veranópolis e Bento Gonçalves</t>
        </is>
      </c>
      <c r="B8">
        <f>COUNTIF(Bens!$B$5:$B$142,A8)</f>
        <v/>
      </c>
      <c r="C8" s="4">
        <f>SUMIF(Bens!$B$5:$B$142,A8,Bens!$E$5:$E$142)</f>
        <v/>
      </c>
      <c r="D8" s="5" t="n">
        <v>2600000</v>
      </c>
      <c r="E8" s="4">
        <f>C8-D8</f>
        <v/>
      </c>
    </row>
    <row r="9">
      <c r="A9" t="inlineStr">
        <is>
          <t>Áreas urbanas e rurais - Veranópolis e Caxias do Sul</t>
        </is>
      </c>
      <c r="B9">
        <f>COUNTIF(Bens!$B$5:$B$142,A9)</f>
        <v/>
      </c>
      <c r="C9" s="4">
        <f>SUMIF(Bens!$B$5:$B$142,A9,Bens!$E$5:$E$142)</f>
        <v/>
      </c>
      <c r="D9" s="5" t="n">
        <v>6850000</v>
      </c>
      <c r="E9" s="4">
        <f>C9-D9</f>
        <v/>
      </c>
    </row>
    <row r="10">
      <c r="A10" t="inlineStr">
        <is>
          <t>Loteamentos executados e registrados</t>
        </is>
      </c>
      <c r="B10">
        <f>COUNTIF(Bens!$B$5:$B$142,A10)</f>
        <v/>
      </c>
      <c r="C10" s="4">
        <f>SUMIF(Bens!$B$5:$B$142,A10,Bens!$E$5:$E$142)</f>
        <v/>
      </c>
      <c r="D10" s="5" t="n">
        <v>64225000</v>
      </c>
      <c r="E10" s="4">
        <f>C10-D10</f>
        <v/>
      </c>
    </row>
    <row r="11">
      <c r="A11" t="inlineStr">
        <is>
          <t>Loteamentos executados e não registrados</t>
        </is>
      </c>
      <c r="B11">
        <f>COUNTIF(Bens!$B$5:$B$142,A11)</f>
        <v/>
      </c>
      <c r="C11" s="4">
        <f>SUMIF(Bens!$B$5:$B$142,A11,Bens!$E$5:$E$142)</f>
        <v/>
      </c>
      <c r="D11" s="5" t="n">
        <v>25690000</v>
      </c>
      <c r="E11" s="4">
        <f>C11-D11</f>
        <v/>
      </c>
    </row>
    <row r="12">
      <c r="A12" t="inlineStr">
        <is>
          <t>Loteamentos em execução e não registrados</t>
        </is>
      </c>
      <c r="B12">
        <f>COUNTIF(Bens!$B$5:$B$142,A12)</f>
        <v/>
      </c>
      <c r="C12" s="4">
        <f>SUMIF(Bens!$B$5:$B$142,A12,Bens!$E$5:$E$142)</f>
        <v/>
      </c>
      <c r="D12" s="5" t="n">
        <v>5400000</v>
      </c>
      <c r="E12" s="4">
        <f>C12-D12</f>
        <v/>
      </c>
    </row>
    <row r="13">
      <c r="A13" t="inlineStr">
        <is>
          <t>Loteamentos contratados a executar / em licenciamento</t>
        </is>
      </c>
      <c r="B13">
        <f>COUNTIF(Bens!$B$5:$B$142,A13)</f>
        <v/>
      </c>
      <c r="C13" s="4">
        <f>SUMIF(Bens!$B$5:$B$142,A13,Bens!$E$5:$E$142)</f>
        <v/>
      </c>
      <c r="D13" s="5" t="n">
        <v>1250000</v>
      </c>
      <c r="E13" s="4">
        <f>C13-D13</f>
        <v/>
      </c>
    </row>
    <row r="14">
      <c r="A14" s="6" t="inlineStr">
        <is>
          <t>TOTAL GERAL DA EMPRESA</t>
        </is>
      </c>
      <c r="B14">
        <f>SUM(B5:B13)</f>
        <v/>
      </c>
      <c r="C14" s="7">
        <f>SUM(C5:C13)</f>
        <v/>
      </c>
      <c r="D14" s="8" t="n">
        <v>108428000</v>
      </c>
      <c r="E14" s="4">
        <f>C14-D14</f>
        <v/>
      </c>
    </row>
    <row r="15">
      <c r="C15" s="4" t="n"/>
      <c r="D15" s="4" t="n"/>
      <c r="E15" s="4" t="n"/>
    </row>
    <row r="16">
      <c r="A16" t="inlineStr">
        <is>
          <t>(-) Ações judiciais em curso (com honorários e custas)</t>
        </is>
      </c>
      <c r="C16" s="4">
        <f>'Processos'!E28</f>
        <v/>
      </c>
      <c r="D16" s="5" t="n">
        <v>8161960.05</v>
      </c>
      <c r="E16" s="4">
        <f>C16-D16</f>
        <v/>
      </c>
    </row>
    <row r="17">
      <c r="A17" t="inlineStr">
        <is>
          <t>(-) Dívidas com sócios, terceiros, bancos etc.</t>
        </is>
      </c>
      <c r="C17" s="4">
        <f>'Credores'!E38</f>
        <v/>
      </c>
      <c r="D17" s="5" t="n">
        <v>10120000</v>
      </c>
      <c r="E17" s="4">
        <f>C17-D17</f>
        <v/>
      </c>
    </row>
    <row r="18">
      <c r="A18" t="inlineStr">
        <is>
          <t>(-) Previsão para administração da empresa</t>
        </is>
      </c>
      <c r="C18" s="5" t="n">
        <v>15000000</v>
      </c>
      <c r="D18" s="5" t="n">
        <v>15000000</v>
      </c>
      <c r="E18" s="4">
        <f>C18-D18</f>
        <v/>
      </c>
    </row>
    <row r="19">
      <c r="A19" s="6" t="inlineStr">
        <is>
          <t>TOTAL LÍQUIDO DA EMPRESA</t>
        </is>
      </c>
      <c r="C19" s="7">
        <f>C14-C16-C17-C18</f>
        <v/>
      </c>
      <c r="D19" s="8" t="n">
        <v>75146039.95</v>
      </c>
      <c r="E19" s="4">
        <f>C19-D19</f>
        <v/>
      </c>
    </row>
    <row r="20">
      <c r="C20" s="4" t="n"/>
      <c r="D20" s="4" t="n"/>
      <c r="E20" s="4" t="n"/>
    </row>
    <row r="21">
      <c r="A21" t="inlineStr">
        <is>
          <t>+ Bens relacionados nos inventários de outras empresas</t>
        </is>
      </c>
      <c r="B21">
        <f>COUNTA('Bens em outras empresas'!A5:A13)</f>
        <v/>
      </c>
      <c r="C21" s="4">
        <f>SUM('Bens em outras empresas'!D5:D13)</f>
        <v/>
      </c>
      <c r="D21" s="4" t="inlineStr">
        <is>
          <t>(sem total no doc.)</t>
        </is>
      </c>
      <c r="E21" s="4" t="n"/>
    </row>
    <row r="22">
      <c r="A22" s="6" t="inlineStr">
        <is>
          <t>SUB-TOTAL REAL DA EMPRESA</t>
        </is>
      </c>
      <c r="C22" s="7">
        <f>C19+C21</f>
        <v/>
      </c>
      <c r="D22" s="8" t="n">
        <v>105940226.35</v>
      </c>
      <c r="E22" s="4">
        <f>C22-D22</f>
        <v/>
      </c>
    </row>
    <row r="23">
      <c r="A23" t="inlineStr">
        <is>
          <t>+ Ações judiciais, dívidas e previsão (somadas de volta, como no documento)</t>
        </is>
      </c>
      <c r="C23" s="4">
        <f>C16+C17+C18</f>
        <v/>
      </c>
      <c r="D23" s="4" t="n"/>
      <c r="E23" s="4" t="n"/>
    </row>
    <row r="24">
      <c r="A24" s="6" t="inlineStr">
        <is>
          <t>TOTAL GERAL E REAL DA EMPRESA</t>
        </is>
      </c>
      <c r="C24" s="7">
        <f>C22+C23</f>
        <v/>
      </c>
      <c r="D24" s="8" t="n">
        <v>139222186.4</v>
      </c>
      <c r="E24" s="4">
        <f>C24-D24</f>
        <v/>
      </c>
    </row>
    <row r="26">
      <c r="A26" s="6" t="inlineStr">
        <is>
          <t>Observações:</t>
        </is>
      </c>
    </row>
    <row r="27">
      <c r="A27" s="9" t="inlineStr">
        <is>
          <t>- Loteamentos em execução: o documento soma apenas o valor da obra já realizada (R$ 5.400.000,00); valor bruto, custo de conclusão e líquido estão na aba Bens.</t>
        </is>
      </c>
    </row>
    <row r="28">
      <c r="A28" s="9" t="inlineStr">
        <is>
          <t>- Loteamento Alto das Graças I: R$ 11.730.000,00 dividido por 2 (50% da Villa Luna) = R$ 5.865.000,00.</t>
        </is>
      </c>
    </row>
    <row r="29">
      <c r="A29" s="9" t="inlineStr">
        <is>
          <t>- Processos: a soma dos valores da causa (R$ 5.187.216,15) difere do total declarado no documento (R$ 6.278.430,81); no resumo foi usado o valor do documento (ver aba Processos).</t>
        </is>
      </c>
    </row>
    <row r="30">
      <c r="A30" s="9" t="inlineStr">
        <is>
          <t>- Credores: a soma do saldo em aberto (R$ 10.119.900,00) difere em R$ 100,00 dos R$ 10.120.000,00 do documento; no resumo foi usado o valor do documento.</t>
        </is>
      </c>
    </row>
    <row r="31">
      <c r="A31" s="9" t="inlineStr">
        <is>
          <t>- Aluguéis: a soma dos itens (R$ 39.692,00, incluindo 4 valores anuais) difere do 'aprox. R$ 36.000,00 por mês' do documento.</t>
        </is>
      </c>
    </row>
    <row r="32">
      <c r="A32" s="9" t="inlineStr">
        <is>
          <t>- A tabela final de valor por sócio está sem valores em R$ no documento (só percentuais).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2"/>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9" customWidth="1" min="3" max="3"/>
    <col width="90" customWidth="1" min="4" max="4"/>
    <col width="16" customWidth="1" min="5" max="5"/>
    <col width="16" customWidth="1" min="6" max="6"/>
    <col width="16" customWidth="1" min="7" max="7"/>
    <col width="16" customWidth="1" min="8" max="8"/>
    <col width="40" customWidth="1" min="9" max="9"/>
  </cols>
  <sheetData>
    <row r="1">
      <c r="A1" s="1" t="inlineStr">
        <is>
          <t>Siviero Empreendimentos Imobiliários Ltda. - bens (inventário 31.12.2018)</t>
        </is>
      </c>
    </row>
    <row r="2">
      <c r="A2" s="2" t="inlineStr">
        <is>
          <t>Fonte: 18. 1. SIVIERO EMPREENDIMENTOS IMOBILIÁRIOS LTDA. = I N V E N T Á R I O = E M P R E S A   D A   S I V I E R O   -   Dezembro de 2018.docx (data-base 31.12.2018). Valores em azul transcritos do documento; totais em preto são fórmulas.</t>
        </is>
      </c>
    </row>
    <row r="4">
      <c r="A4" s="10" t="inlineStr">
        <is>
          <t>Nº</t>
        </is>
      </c>
      <c r="B4" s="10" t="inlineStr">
        <is>
          <t>Categoria</t>
        </is>
      </c>
      <c r="C4" s="10" t="inlineStr">
        <is>
          <t>Item no doc.</t>
        </is>
      </c>
      <c r="D4" s="10" t="inlineStr">
        <is>
          <t>Descrição</t>
        </is>
      </c>
      <c r="E4" s="10" t="inlineStr">
        <is>
          <t>Valor (R$)</t>
        </is>
      </c>
      <c r="F4" s="10" t="inlineStr">
        <is>
          <t>Valor bruto (R$)</t>
        </is>
      </c>
      <c r="G4" s="10" t="inlineStr">
        <is>
          <t>(-) Custo p/ conclusão (R$)</t>
        </is>
      </c>
      <c r="H4" s="10" t="inlineStr">
        <is>
          <t>Valor líquido (R$)</t>
        </is>
      </c>
      <c r="I4" s="10" t="inlineStr">
        <is>
          <t>Observação</t>
        </is>
      </c>
    </row>
    <row r="5">
      <c r="A5" s="11" t="n">
        <v>1</v>
      </c>
      <c r="B5" s="11" t="inlineStr">
        <is>
          <t>Veículos</t>
        </is>
      </c>
      <c r="C5" s="11" t="inlineStr">
        <is>
          <t>01</t>
        </is>
      </c>
      <c r="D5" s="11" t="inlineStr">
        <is>
          <t>Um veículo caminhão basculante, marca VW = PLACA IUV 8325, cor branca, ano 2013, adquirido da empresa Dalfovo.</t>
        </is>
      </c>
      <c r="E5" s="12" t="n">
        <v>198000</v>
      </c>
      <c r="F5" s="13" t="n"/>
      <c r="G5" s="13" t="n"/>
      <c r="H5" s="13" t="n"/>
      <c r="I5" s="11" t="n"/>
    </row>
    <row r="6">
      <c r="A6" s="11" t="n">
        <v>2</v>
      </c>
      <c r="B6" s="11" t="inlineStr">
        <is>
          <t>Veículos</t>
        </is>
      </c>
      <c r="C6" s="11" t="inlineStr">
        <is>
          <t>02</t>
        </is>
      </c>
      <c r="D6" s="11" t="inlineStr">
        <is>
          <t>Um veículo caminhão basculante, marca VW = PLACA IUV 8309, cor branca, ano 2013, adquirido da empresa Dalfovo.</t>
        </is>
      </c>
      <c r="E6" s="12" t="n">
        <v>198000</v>
      </c>
      <c r="F6" s="13" t="n"/>
      <c r="G6" s="13" t="n"/>
      <c r="H6" s="13" t="n"/>
      <c r="I6" s="11" t="n"/>
    </row>
    <row r="7">
      <c r="A7" s="11" t="n">
        <v>3</v>
      </c>
      <c r="B7" s="11" t="inlineStr">
        <is>
          <t>Veículos</t>
        </is>
      </c>
      <c r="C7" s="11" t="inlineStr">
        <is>
          <t>03</t>
        </is>
      </c>
      <c r="D7" s="11" t="inlineStr">
        <is>
          <t>Um veículo caminhão basculante, marca MERCEDES BENZ, L1620 = PLACA ILQ 1739, cor cinza, ano 2003.</t>
        </is>
      </c>
      <c r="E7" s="12" t="n">
        <v>98000</v>
      </c>
      <c r="F7" s="13" t="n"/>
      <c r="G7" s="13" t="n"/>
      <c r="H7" s="13" t="n"/>
      <c r="I7" s="11" t="n"/>
    </row>
    <row r="8">
      <c r="A8" s="11" t="n">
        <v>4</v>
      </c>
      <c r="B8" s="11" t="inlineStr">
        <is>
          <t>Veículos</t>
        </is>
      </c>
      <c r="C8" s="11" t="inlineStr">
        <is>
          <t>04</t>
        </is>
      </c>
      <c r="D8" s="11" t="inlineStr">
        <is>
          <t>Um veículo caminhão basculante, marca MERCEDES BENZ, = PLACA IBP 3873, cor vermelha, ano 1990.</t>
        </is>
      </c>
      <c r="E8" s="12" t="n">
        <v>53000</v>
      </c>
      <c r="F8" s="13" t="n"/>
      <c r="G8" s="13" t="n"/>
      <c r="H8" s="13" t="n"/>
      <c r="I8" s="11" t="n"/>
    </row>
    <row r="9">
      <c r="A9" s="11" t="n">
        <v>5</v>
      </c>
      <c r="B9" s="11" t="inlineStr">
        <is>
          <t>Veículos</t>
        </is>
      </c>
      <c r="C9" s="11" t="inlineStr">
        <is>
          <t>05</t>
        </is>
      </c>
      <c r="D9" s="11" t="inlineStr">
        <is>
          <t>Um veículo DODGE = PLACA IQJ 5001, cor azul, ano 1978.
VENDIDO PELO VALOR DE R$ 30.000,00, EM TROCA DE PALANQUES E POSTES DE MADEIRA.</t>
        </is>
      </c>
      <c r="E9" s="12" t="n">
        <v>30000</v>
      </c>
      <c r="F9" s="13" t="n"/>
      <c r="G9" s="13" t="n"/>
      <c r="H9" s="13" t="n"/>
      <c r="I9" s="11" t="n"/>
    </row>
    <row r="10">
      <c r="A10" s="11" t="n">
        <v>6</v>
      </c>
      <c r="B10" s="11" t="inlineStr">
        <is>
          <t>Veículos</t>
        </is>
      </c>
      <c r="C10" s="11" t="inlineStr">
        <is>
          <t>06</t>
        </is>
      </c>
      <c r="D10" s="11" t="inlineStr">
        <is>
          <t>Um veículo caminhão SCANIA = PLACA IIQ 0751, cor laranja, ano 1963.</t>
        </is>
      </c>
      <c r="E10" s="12" t="n">
        <v>28000</v>
      </c>
      <c r="F10" s="13" t="n"/>
      <c r="G10" s="13" t="n"/>
      <c r="H10" s="13" t="n"/>
      <c r="I10" s="11" t="n"/>
    </row>
    <row r="11">
      <c r="A11" s="11" t="n">
        <v>7</v>
      </c>
      <c r="B11" s="11" t="inlineStr">
        <is>
          <t>Veículos</t>
        </is>
      </c>
      <c r="C11" s="11" t="inlineStr">
        <is>
          <t>07</t>
        </is>
      </c>
      <c r="D11" s="11" t="inlineStr">
        <is>
          <t>Um semirreboque RANDON = PLACA IHP 6632, cor amarelo, ano 1990.</t>
        </is>
      </c>
      <c r="E11" s="12" t="n">
        <v>25000</v>
      </c>
      <c r="F11" s="13" t="n"/>
      <c r="G11" s="13" t="n"/>
      <c r="H11" s="13" t="n"/>
      <c r="I11" s="11" t="n"/>
    </row>
    <row r="12">
      <c r="A12" s="11" t="n">
        <v>8</v>
      </c>
      <c r="B12" s="11" t="inlineStr">
        <is>
          <t>Veículos</t>
        </is>
      </c>
      <c r="C12" s="11" t="inlineStr">
        <is>
          <t>08</t>
        </is>
      </c>
      <c r="D12" s="11" t="inlineStr">
        <is>
          <t>Um veículo Mercedinha, marca MERCEDES BENZ, L608 = PLACA BWF 0672, cor vermelha, ano 1979.</t>
        </is>
      </c>
      <c r="E12" s="12" t="n">
        <v>20000</v>
      </c>
      <c r="F12" s="13" t="n"/>
      <c r="G12" s="13" t="n"/>
      <c r="H12" s="13" t="n"/>
      <c r="I12" s="11" t="n"/>
    </row>
    <row r="13">
      <c r="A13" s="11" t="n">
        <v>9</v>
      </c>
      <c r="B13" s="11" t="inlineStr">
        <is>
          <t>Veículos</t>
        </is>
      </c>
      <c r="C13" s="11" t="inlineStr">
        <is>
          <t>09</t>
        </is>
      </c>
      <c r="D13" s="11" t="inlineStr">
        <is>
          <t>Um veículo caminhão basculante, marca MERCEDES BENZ, L1316 = PLACA IHZ 0172, cor vermelha, ano 1984.</t>
        </is>
      </c>
      <c r="E13" s="12" t="n">
        <v>50000</v>
      </c>
      <c r="F13" s="13" t="n"/>
      <c r="G13" s="13" t="n"/>
      <c r="H13" s="13" t="n"/>
      <c r="I13" s="11" t="n"/>
    </row>
    <row r="14">
      <c r="A14" s="11" t="n">
        <v>10</v>
      </c>
      <c r="B14" s="11" t="inlineStr">
        <is>
          <t>Veículos</t>
        </is>
      </c>
      <c r="C14" s="11" t="inlineStr">
        <is>
          <t>10</t>
        </is>
      </c>
      <c r="D14" s="11" t="inlineStr">
        <is>
          <t>Um veículo caminhão basculante, marca MERCDES BENZ = PLACA IHW 8294, cor grená, ano 1974.</t>
        </is>
      </c>
      <c r="E14" s="12" t="n">
        <v>30000</v>
      </c>
      <c r="F14" s="13" t="n"/>
      <c r="G14" s="13" t="n"/>
      <c r="H14" s="13" t="n"/>
      <c r="I14" s="11" t="n"/>
    </row>
    <row r="15">
      <c r="A15" s="11" t="n">
        <v>11</v>
      </c>
      <c r="B15" s="11" t="inlineStr">
        <is>
          <t>Veículos</t>
        </is>
      </c>
      <c r="C15" s="11" t="inlineStr">
        <is>
          <t>11</t>
        </is>
      </c>
      <c r="D15" s="11" t="inlineStr">
        <is>
          <t>Um veículo caminhão, marca SCÂNIA = PLACA IHK 2435, cor laranja, ano 1967.</t>
        </is>
      </c>
      <c r="E15" s="12" t="n">
        <v>40000</v>
      </c>
      <c r="F15" s="13" t="n"/>
      <c r="G15" s="13" t="n"/>
      <c r="H15" s="13" t="n"/>
      <c r="I15" s="11" t="n"/>
    </row>
    <row r="16">
      <c r="A16" s="11" t="n">
        <v>12</v>
      </c>
      <c r="B16" s="11" t="inlineStr">
        <is>
          <t>Veículos</t>
        </is>
      </c>
      <c r="C16" s="11" t="inlineStr">
        <is>
          <t>12</t>
        </is>
      </c>
      <c r="D16" s="11" t="inlineStr">
        <is>
          <t>Um semirreboque ARTESANAL = PLACA IIH 6326, cor branca, ano 1986.</t>
        </is>
      </c>
      <c r="E16" s="12" t="n">
        <v>20000</v>
      </c>
      <c r="F16" s="13" t="n"/>
      <c r="G16" s="13" t="n"/>
      <c r="H16" s="13" t="n"/>
      <c r="I16" s="11" t="n"/>
    </row>
    <row r="17">
      <c r="A17" s="11" t="n">
        <v>13</v>
      </c>
      <c r="B17" s="11" t="inlineStr">
        <is>
          <t>Veículos</t>
        </is>
      </c>
      <c r="C17" s="11" t="inlineStr">
        <is>
          <t>13</t>
        </is>
      </c>
      <c r="D17" s="11" t="inlineStr">
        <is>
          <t>Um veículo camionete, marca FORD, F1000 TURBO XL = PLACA IIO 5901, cor prata, ano 1998 – Pedro Siviero.</t>
        </is>
      </c>
      <c r="E17" s="12" t="n">
        <v>35000</v>
      </c>
      <c r="F17" s="13" t="n"/>
      <c r="G17" s="13" t="n"/>
      <c r="H17" s="13" t="n"/>
      <c r="I17" s="11" t="n"/>
    </row>
    <row r="18">
      <c r="A18" s="11" t="n">
        <v>14</v>
      </c>
      <c r="B18" s="11" t="inlineStr">
        <is>
          <t>Veículos</t>
        </is>
      </c>
      <c r="C18" s="11" t="inlineStr">
        <is>
          <t>14</t>
        </is>
      </c>
      <c r="D18" s="11" t="inlineStr">
        <is>
          <t>Um veículo camionete, marca FORD, F1000 4x4 = PLACA IHP 6607, cor prata, ano 1994 – Válter Siviero.</t>
        </is>
      </c>
      <c r="E18" s="12" t="n">
        <v>33000</v>
      </c>
      <c r="F18" s="13" t="n"/>
      <c r="G18" s="13" t="n"/>
      <c r="H18" s="13" t="n"/>
      <c r="I18" s="11" t="n"/>
    </row>
    <row r="19">
      <c r="A19" s="11" t="n">
        <v>15</v>
      </c>
      <c r="B19" s="11" t="inlineStr">
        <is>
          <t>Veículos</t>
        </is>
      </c>
      <c r="C19" s="11" t="inlineStr">
        <is>
          <t>15</t>
        </is>
      </c>
      <c r="D19" s="11" t="inlineStr">
        <is>
          <t>Um veículo GOL, marca VW 1.6 = PLACA IQS 7696, cor cinza, ano 2010 – João Lunelli.</t>
        </is>
      </c>
      <c r="E19" s="12" t="n">
        <v>25000</v>
      </c>
      <c r="F19" s="13" t="n"/>
      <c r="G19" s="13" t="n"/>
      <c r="H19" s="13" t="n"/>
      <c r="I19" s="11" t="n"/>
    </row>
    <row r="20">
      <c r="A20" s="11" t="n">
        <v>16</v>
      </c>
      <c r="B20" s="11" t="inlineStr">
        <is>
          <t>Veículos</t>
        </is>
      </c>
      <c r="C20" s="11" t="inlineStr">
        <is>
          <t>16</t>
        </is>
      </c>
      <c r="D20" s="11" t="inlineStr">
        <is>
          <t>Um veículo caminhão, marca SCÂNIA = PLACA IIX 8288, cor laranja, ano 1963.</t>
        </is>
      </c>
      <c r="E20" s="12" t="n">
        <v>30000</v>
      </c>
      <c r="F20" s="13" t="n"/>
      <c r="G20" s="13" t="n"/>
      <c r="H20" s="13" t="n"/>
      <c r="I20" s="11" t="n"/>
    </row>
    <row r="21">
      <c r="A21" s="11" t="n">
        <v>17</v>
      </c>
      <c r="B21" s="11" t="inlineStr">
        <is>
          <t>Veículos</t>
        </is>
      </c>
      <c r="C21" s="11" t="inlineStr">
        <is>
          <t>17</t>
        </is>
      </c>
      <c r="D21" s="11" t="inlineStr">
        <is>
          <t>Um carro automóvel FORD, cor vermelha, ano 1929 = PLACA IKR 3122 – FUBICA.</t>
        </is>
      </c>
      <c r="E21" s="12" t="n">
        <v>40000</v>
      </c>
      <c r="F21" s="13" t="n"/>
      <c r="G21" s="13" t="n"/>
      <c r="H21" s="13" t="n"/>
      <c r="I21" s="11" t="n"/>
    </row>
    <row r="22">
      <c r="A22" s="11" t="n">
        <v>18</v>
      </c>
      <c r="B22" s="11" t="inlineStr">
        <is>
          <t>Imóveis e móveis</t>
        </is>
      </c>
      <c r="C22" s="11" t="inlineStr">
        <is>
          <t>01</t>
        </is>
      </c>
      <c r="D22" s="11" t="inlineStr">
        <is>
          <t>Um apartamento residencial denominado de nº 303, do Edifício BOA ESPERANÇA, localizado na Rua Eduardo Reginato, n° 48, Bairro Valverde, na cidade de Veranópolis – RS, adquirido do Senhor Valmir Antônio Sottili. Área de 89,73m², devidamente Registrado no Ofício de Registro de Imóveis da Comarca de Veranópolis – RS, sob Matrícula nº 17.399, adquirido por R$ 85.000,00.</t>
        </is>
      </c>
      <c r="E22" s="12" t="n">
        <v>100000</v>
      </c>
      <c r="F22" s="13" t="n"/>
      <c r="G22" s="13" t="n"/>
      <c r="H22" s="13" t="n"/>
      <c r="I22" s="11" t="n"/>
    </row>
    <row r="23">
      <c r="A23" s="11" t="n">
        <v>19</v>
      </c>
      <c r="B23" s="11" t="inlineStr">
        <is>
          <t>Imóveis e móveis</t>
        </is>
      </c>
      <c r="C23" s="11" t="inlineStr">
        <is>
          <t>02</t>
        </is>
      </c>
      <c r="D23" s="11" t="inlineStr">
        <is>
          <t>Móveis, materiais diversos (mesas, cadeiras, telefone, impressora, etc...), informática e outros equipamentos instalados no Escritório da empresa Siviero, na cidade de Caxias do Sul – RS, na Rua Feijó Júnior, nº 318 – Sala nº 01, Bairro São Pelegrino – SALA ALUGADA.
- E, no decorrer do ano de 2018, foi transferido o Escritório para outra Sala, de propriedade do Senhor Válter Siviero.
- Os móveis e divisórias instalados no Escritório permaneceram, como forma de pagamento pelas obras de conservação da sala.
- Mesas e cadeiras foram transferidas para uma casa localizada no Loteamento Zanandréa.
- Impressoras e computadores foram para o novo endereço.</t>
        </is>
      </c>
      <c r="E23" s="12" t="n">
        <v>10000</v>
      </c>
      <c r="F23" s="13" t="n"/>
      <c r="G23" s="13" t="n"/>
      <c r="H23" s="13" t="n"/>
      <c r="I23" s="11" t="n"/>
    </row>
    <row r="24">
      <c r="A24" s="11" t="n">
        <v>20</v>
      </c>
      <c r="B24" s="11" t="inlineStr">
        <is>
          <t>Máquinas</t>
        </is>
      </c>
      <c r="C24" s="11" t="inlineStr">
        <is>
          <t>01</t>
        </is>
      </c>
      <c r="D24" s="11" t="inlineStr">
        <is>
          <t>Uma Escavadeira Hidráulica, ano 2014, modelo 320DL, CATERPILLAR.</t>
        </is>
      </c>
      <c r="E24" s="12" t="n">
        <v>400000</v>
      </c>
      <c r="F24" s="13" t="n"/>
      <c r="G24" s="13" t="n"/>
      <c r="H24" s="13" t="n"/>
      <c r="I24" s="11" t="n"/>
    </row>
    <row r="25">
      <c r="A25" s="11" t="n">
        <v>21</v>
      </c>
      <c r="B25" s="11" t="inlineStr">
        <is>
          <t>Máquinas</t>
        </is>
      </c>
      <c r="C25" s="11" t="inlineStr">
        <is>
          <t>02</t>
        </is>
      </c>
      <c r="D25" s="11" t="inlineStr">
        <is>
          <t>Uma Escavadeira Hidráulica, ano 2009, modelo 320D, CATERPILLAR.</t>
        </is>
      </c>
      <c r="E25" s="12" t="n">
        <v>250000</v>
      </c>
      <c r="F25" s="13" t="n"/>
      <c r="G25" s="13" t="n"/>
      <c r="H25" s="13" t="n"/>
      <c r="I25" s="11" t="n"/>
    </row>
    <row r="26">
      <c r="A26" s="11" t="n">
        <v>22</v>
      </c>
      <c r="B26" s="11" t="inlineStr">
        <is>
          <t>Máquinas</t>
        </is>
      </c>
      <c r="C26" s="11" t="inlineStr">
        <is>
          <t>03</t>
        </is>
      </c>
      <c r="D26" s="11" t="inlineStr">
        <is>
          <t>Um Trator de Esteira D6, ano 1980.</t>
        </is>
      </c>
      <c r="E26" s="12" t="n">
        <v>80000</v>
      </c>
      <c r="F26" s="13" t="n"/>
      <c r="G26" s="13" t="n"/>
      <c r="H26" s="13" t="n"/>
      <c r="I26" s="11" t="n"/>
    </row>
    <row r="27">
      <c r="A27" s="11" t="n">
        <v>23</v>
      </c>
      <c r="B27" s="11" t="inlineStr">
        <is>
          <t>Máquinas</t>
        </is>
      </c>
      <c r="C27" s="11" t="inlineStr">
        <is>
          <t>04</t>
        </is>
      </c>
      <c r="D27" s="11" t="inlineStr">
        <is>
          <t>Um Trator de Esteira D6, ano.....</t>
        </is>
      </c>
      <c r="E27" s="12" t="n">
        <v>100000</v>
      </c>
      <c r="F27" s="13" t="n"/>
      <c r="G27" s="13" t="n"/>
      <c r="H27" s="13" t="n"/>
      <c r="I27" s="11" t="n"/>
    </row>
    <row r="28">
      <c r="A28" s="11" t="n">
        <v>24</v>
      </c>
      <c r="B28" s="11" t="inlineStr">
        <is>
          <t>Máquinas</t>
        </is>
      </c>
      <c r="C28" s="11" t="inlineStr">
        <is>
          <t>05</t>
        </is>
      </c>
      <c r="D28" s="11" t="inlineStr">
        <is>
          <t>Um Trator de Esteira D6, ano.....</t>
        </is>
      </c>
      <c r="E28" s="12" t="n">
        <v>100000</v>
      </c>
      <c r="F28" s="13" t="n"/>
      <c r="G28" s="13" t="n"/>
      <c r="H28" s="13" t="n"/>
      <c r="I28" s="11" t="n"/>
    </row>
    <row r="29">
      <c r="A29" s="11" t="n">
        <v>25</v>
      </c>
      <c r="B29" s="11" t="inlineStr">
        <is>
          <t>Máquinas</t>
        </is>
      </c>
      <c r="C29" s="11" t="inlineStr">
        <is>
          <t>06</t>
        </is>
      </c>
      <c r="D29" s="11" t="inlineStr">
        <is>
          <t>Uma Retroescavadeira CASE 580L, ano 2001, PLACA IKI 4827.</t>
        </is>
      </c>
      <c r="E29" s="12" t="n">
        <v>60000</v>
      </c>
      <c r="F29" s="13" t="n"/>
      <c r="G29" s="13" t="n"/>
      <c r="H29" s="13" t="n"/>
      <c r="I29" s="11" t="n"/>
    </row>
    <row r="30">
      <c r="A30" s="11" t="n">
        <v>26</v>
      </c>
      <c r="B30" s="11" t="inlineStr">
        <is>
          <t>Máquinas</t>
        </is>
      </c>
      <c r="C30" s="11" t="inlineStr">
        <is>
          <t>07</t>
        </is>
      </c>
      <c r="D30" s="11" t="inlineStr">
        <is>
          <t>Uma Retroescavadeira, ano 2008, CASE 580M.
Foi roubada.</t>
        </is>
      </c>
      <c r="E30" s="12" t="n">
        <v>0</v>
      </c>
      <c r="F30" s="13" t="n"/>
      <c r="G30" s="13" t="n"/>
      <c r="H30" s="13" t="n"/>
      <c r="I30" s="11" t="n"/>
    </row>
    <row r="31">
      <c r="A31" s="11" t="n">
        <v>27</v>
      </c>
      <c r="B31" s="11" t="inlineStr">
        <is>
          <t>Máquinas</t>
        </is>
      </c>
      <c r="C31" s="11" t="inlineStr">
        <is>
          <t>08</t>
        </is>
      </c>
      <c r="D31" s="11" t="inlineStr">
        <is>
          <t>Uma Pá carregadeira, ano 1980.</t>
        </is>
      </c>
      <c r="E31" s="12" t="n">
        <v>60000</v>
      </c>
      <c r="F31" s="13" t="n"/>
      <c r="G31" s="13" t="n"/>
      <c r="H31" s="13" t="n"/>
      <c r="I31" s="11" t="n"/>
    </row>
    <row r="32">
      <c r="A32" s="11" t="n">
        <v>28</v>
      </c>
      <c r="B32" s="11" t="inlineStr">
        <is>
          <t>Máquinas</t>
        </is>
      </c>
      <c r="C32" s="11" t="inlineStr">
        <is>
          <t>09</t>
        </is>
      </c>
      <c r="D32" s="11" t="inlineStr">
        <is>
          <t>Um Compressor, ano 2012, marca ATLAS COPCO.</t>
        </is>
      </c>
      <c r="E32" s="12" t="n">
        <v>150000</v>
      </c>
      <c r="F32" s="13" t="n"/>
      <c r="G32" s="13" t="n"/>
      <c r="H32" s="13" t="n"/>
      <c r="I32" s="11" t="n"/>
    </row>
    <row r="33">
      <c r="A33" s="11" t="n">
        <v>29</v>
      </c>
      <c r="B33" s="11" t="inlineStr">
        <is>
          <t>Máquinas</t>
        </is>
      </c>
      <c r="C33" s="11" t="inlineStr">
        <is>
          <t>10</t>
        </is>
      </c>
      <c r="D33" s="11" t="inlineStr">
        <is>
          <t>Um Compressor, ano 1980, a ar, CA80, marca ATLAS COPCO. Adquirido por leilão da Prefeitura de Bento Gonçalves.</t>
        </is>
      </c>
      <c r="E33" s="12" t="n">
        <v>10000</v>
      </c>
      <c r="F33" s="13" t="n"/>
      <c r="G33" s="13" t="n"/>
      <c r="H33" s="13" t="n"/>
      <c r="I33" s="11" t="n"/>
    </row>
    <row r="34">
      <c r="A34" s="11" t="n">
        <v>30</v>
      </c>
      <c r="B34" s="11" t="inlineStr">
        <is>
          <t>Máquinas</t>
        </is>
      </c>
      <c r="C34" s="11" t="inlineStr">
        <is>
          <t>11</t>
        </is>
      </c>
      <c r="D34" s="11" t="inlineStr">
        <is>
          <t>Um Compressor, ano....., cor verde.</t>
        </is>
      </c>
      <c r="E34" s="12" t="n">
        <v>30000</v>
      </c>
      <c r="F34" s="13" t="n"/>
      <c r="G34" s="13" t="n"/>
      <c r="H34" s="13" t="n"/>
      <c r="I34" s="11" t="n"/>
    </row>
    <row r="35">
      <c r="A35" s="11" t="n">
        <v>31</v>
      </c>
      <c r="B35" s="11" t="inlineStr">
        <is>
          <t>Máquinas</t>
        </is>
      </c>
      <c r="C35" s="11" t="inlineStr">
        <is>
          <t>12</t>
        </is>
      </c>
      <c r="D35" s="11" t="inlineStr">
        <is>
          <t>Uma Perfuratriz, ano.....</t>
        </is>
      </c>
      <c r="E35" s="12" t="n">
        <v>10000</v>
      </c>
      <c r="F35" s="13" t="n"/>
      <c r="G35" s="13" t="n"/>
      <c r="H35" s="13" t="n"/>
      <c r="I35" s="11" t="n"/>
    </row>
    <row r="36">
      <c r="A36" s="11" t="n">
        <v>32</v>
      </c>
      <c r="B36" s="11" t="inlineStr">
        <is>
          <t>Máquinas</t>
        </is>
      </c>
      <c r="C36" s="11" t="inlineStr">
        <is>
          <t>13</t>
        </is>
      </c>
      <c r="D36" s="11" t="inlineStr">
        <is>
          <t>Um Rompedor Hidráulico, ano 2014, adquirido da ATLAS COPCO, modelo MB 1700.</t>
        </is>
      </c>
      <c r="E36" s="12" t="n">
        <v>100000</v>
      </c>
      <c r="F36" s="13" t="n"/>
      <c r="G36" s="13" t="n"/>
      <c r="H36" s="13" t="n"/>
      <c r="I36" s="11" t="n"/>
    </row>
    <row r="37">
      <c r="A37" s="11" t="n">
        <v>33</v>
      </c>
      <c r="B37" s="11" t="inlineStr">
        <is>
          <t>Lotes urbanos - Veranópolis e Bento Gonçalves</t>
        </is>
      </c>
      <c r="C37" s="11" t="inlineStr">
        <is>
          <t>01</t>
        </is>
      </c>
      <c r="D37" s="11" t="inlineStr">
        <is>
          <t>Um lote urbano, localizado na Avenida Pinheiro Machado, Bairro Centro – Casa da Nina – Casa onde mora o Senhor Rubens Baldissera. Área de 330,00m², devidamente Registrado no Ofício de Registro de Imóveis da Comarca de Veranópolis – RS, sob Matrícula nº 1.597.</t>
        </is>
      </c>
      <c r="E37" s="12" t="n">
        <v>150000</v>
      </c>
      <c r="F37" s="13" t="n"/>
      <c r="G37" s="13" t="n"/>
      <c r="H37" s="13" t="n"/>
      <c r="I37" s="11" t="n"/>
    </row>
    <row r="38">
      <c r="A38" s="11" t="n">
        <v>34</v>
      </c>
      <c r="B38" s="11" t="inlineStr">
        <is>
          <t>Lotes urbanos - Veranópolis e Bento Gonçalves</t>
        </is>
      </c>
      <c r="C38" s="11" t="inlineStr">
        <is>
          <t>02</t>
        </is>
      </c>
      <c r="D38" s="11" t="inlineStr">
        <is>
          <t>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1.335.</t>
        </is>
      </c>
      <c r="E38" s="12" t="n">
        <v>220000</v>
      </c>
      <c r="F38" s="13" t="n"/>
      <c r="G38" s="13" t="n"/>
      <c r="H38" s="13" t="n"/>
      <c r="I38" s="11" t="n"/>
    </row>
    <row r="39">
      <c r="A39" s="11" t="n">
        <v>35</v>
      </c>
      <c r="B39" s="11" t="inlineStr">
        <is>
          <t>Lotes urbanos - Veranópolis e Bento Gonçalves</t>
        </is>
      </c>
      <c r="C39" s="11" t="inlineStr">
        <is>
          <t>03</t>
        </is>
      </c>
      <c r="D39" s="11" t="inlineStr">
        <is>
          <t>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9.</t>
        </is>
      </c>
      <c r="E39" s="12" t="n">
        <v>850000</v>
      </c>
      <c r="F39" s="13" t="n"/>
      <c r="G39" s="13" t="n"/>
      <c r="H39" s="13" t="n"/>
      <c r="I39" s="11" t="n"/>
    </row>
    <row r="40">
      <c r="A40" s="11" t="n">
        <v>36</v>
      </c>
      <c r="B40" s="11" t="inlineStr">
        <is>
          <t>Lotes urbanos - Veranópolis e Bento Gonçalves</t>
        </is>
      </c>
      <c r="C40" s="11" t="inlineStr">
        <is>
          <t>04</t>
        </is>
      </c>
      <c r="D40" s="11" t="inlineStr">
        <is>
          <t>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1.053.</t>
        </is>
      </c>
      <c r="E40" s="12" t="n">
        <v>60000</v>
      </c>
      <c r="F40" s="13" t="n"/>
      <c r="G40" s="13" t="n"/>
      <c r="H40" s="13" t="n"/>
      <c r="I40" s="11" t="n"/>
    </row>
    <row r="41">
      <c r="A41" s="11" t="n">
        <v>37</v>
      </c>
      <c r="B41" s="11" t="inlineStr">
        <is>
          <t>Lotes urbanos - Veranópolis e Bento Gonçalves</t>
        </is>
      </c>
      <c r="C41" s="11" t="inlineStr">
        <is>
          <t>05</t>
        </is>
      </c>
      <c r="D41" s="11" t="inlineStr">
        <is>
          <t>Um lote urbano, localizado na Rua Fioravante Boff, no Bairro Femaçã – que ainda está em nome da Senhora Cleri Fávero. LOTEAMENTO BOFF.
 ........,.....m X .........,......m = área de .................m², devidamente Registrado no Ofício de Registro de Imóveis da Comarca de Veranópolis – RS, sob Matrícula nº .....................</t>
        </is>
      </c>
      <c r="E41" s="12" t="n">
        <v>70000</v>
      </c>
      <c r="F41" s="13" t="n"/>
      <c r="G41" s="13" t="n"/>
      <c r="H41" s="13" t="n"/>
      <c r="I41" s="11" t="n"/>
    </row>
    <row r="42">
      <c r="A42" s="11" t="n">
        <v>38</v>
      </c>
      <c r="B42" s="11" t="inlineStr">
        <is>
          <t>Lotes urbanos - Veranópolis e Bento Gonçalves</t>
        </is>
      </c>
      <c r="C42" s="11" t="inlineStr">
        <is>
          <t>06</t>
        </is>
      </c>
      <c r="D42" s="11" t="inlineStr">
        <is>
          <t>Um lote urbano, localizado na Avenida Osvaldo Aranha, esquina com a Rua Eduardo Duarte, alugado para o Sr. Paulinho, das baterias. 23,00m X 15,00m = área de 345,00m², devidamente Registrado no Ofício de Registro de Imóveis da Comarca de Veranópolis – RS, sob Matrícula nº 1.507.</t>
        </is>
      </c>
      <c r="E42" s="12" t="n">
        <v>850000</v>
      </c>
      <c r="F42" s="13" t="n"/>
      <c r="G42" s="13" t="n"/>
      <c r="H42" s="13" t="n"/>
      <c r="I42" s="11" t="n"/>
    </row>
    <row r="43">
      <c r="A43" s="11" t="n">
        <v>39</v>
      </c>
      <c r="B43" s="11" t="inlineStr">
        <is>
          <t>Lotes urbanos - Veranópolis e Bento Gonçalves</t>
        </is>
      </c>
      <c r="C43" s="11" t="inlineStr">
        <is>
          <t>07</t>
        </is>
      </c>
      <c r="D43" s="11" t="inlineStr">
        <is>
          <t>Um lote urbano, localizado na cidade de Bento Gonçalves – RS, denominado de lote nº 569/46 – Quadra 216 – Cadastro na P. M. de Bento Gonçalves sob nº 13082200, no LOTEAMENTO OURO VERDE. Área de .........m², Registrado no Ofício de Registro de Imóveis da Comarca de Bento Gonçalves – RS, sob Matrícula nº ...........</t>
        </is>
      </c>
      <c r="E43" s="12" t="n">
        <v>100000</v>
      </c>
      <c r="F43" s="13" t="n"/>
      <c r="G43" s="13" t="n"/>
      <c r="H43" s="13" t="n"/>
      <c r="I43" s="11" t="n"/>
    </row>
    <row r="44">
      <c r="A44" s="11" t="n">
        <v>40</v>
      </c>
      <c r="B44" s="11" t="inlineStr">
        <is>
          <t>Lotes urbanos - Veranópolis e Bento Gonçalves</t>
        </is>
      </c>
      <c r="C44" s="11" t="inlineStr">
        <is>
          <t>08</t>
        </is>
      </c>
      <c r="D44" s="11" t="inlineStr">
        <is>
          <t>Um lote urbano, localizado na cidade de Bento Gonçalves – RS, denominado de lote nº 559/47 – Quadra 216 – Cadastro na P. M. de Bento Gonçalves sob nº 13082100, no LOTEAMENTO OURO VERDE. Área de .........m², Registrado no Ofício de Registro de Imóveis da Comarca de Bento Gonçalves – RS, sob Matrícula nº ...........</t>
        </is>
      </c>
      <c r="E44" s="12" t="n">
        <v>100000</v>
      </c>
      <c r="F44" s="13" t="n"/>
      <c r="G44" s="13" t="n"/>
      <c r="H44" s="13" t="n"/>
      <c r="I44" s="11" t="n"/>
    </row>
    <row r="45">
      <c r="A45" s="11" t="n">
        <v>41</v>
      </c>
      <c r="B45" s="11" t="inlineStr">
        <is>
          <t>Lotes urbanos - Veranópolis e Bento Gonçalves</t>
        </is>
      </c>
      <c r="C45" s="11" t="inlineStr">
        <is>
          <t>09</t>
        </is>
      </c>
      <c r="D45" s="11" t="inlineStr">
        <is>
          <t>Um lote urbano, localizado na cidade de Bento Gonçalves – RS, denominado de lote nº 247/169 – Quadra 221 – Cadastro na P. M. de Bento Gonçalves sob nº 13092200, no LOTEAMENTO OURO VERDE. Área de .........m², Registrado no Ofício de Registro de Imóveis da Comarca de Bento Gonçalves – RS, sob Matrícula nº ...........</t>
        </is>
      </c>
      <c r="E45" s="12" t="n">
        <v>100000</v>
      </c>
      <c r="F45" s="13" t="n"/>
      <c r="G45" s="13" t="n"/>
      <c r="H45" s="13" t="n"/>
      <c r="I45" s="11" t="n"/>
    </row>
    <row r="46">
      <c r="A46" s="11" t="n">
        <v>42</v>
      </c>
      <c r="B46" s="11" t="inlineStr">
        <is>
          <t>Lotes urbanos - Veranópolis e Bento Gonçalves</t>
        </is>
      </c>
      <c r="C46" s="11" t="inlineStr">
        <is>
          <t>10</t>
        </is>
      </c>
      <c r="D46" s="11" t="inlineStr">
        <is>
          <t>Um lote urbano, localizado na cidade de Bento Gonçalves – RS, denominado de lote nº 188/62 – Quadra 163/G – Cadastro na P. M. de Bento Gonçalves sob nº 12482700, no LOTEAMENTO VERONA. Área de .........m², Registrado no Ofício de Registro de Imóveis da Comarca de Bento Gonçalves – RS, sob Matrícula nº ...........</t>
        </is>
      </c>
      <c r="E46" s="12" t="n">
        <v>100000</v>
      </c>
      <c r="F46" s="13" t="n"/>
      <c r="G46" s="13" t="n"/>
      <c r="H46" s="13" t="n"/>
      <c r="I46" s="11" t="n"/>
    </row>
    <row r="47">
      <c r="A47" s="11" t="n">
        <v>43</v>
      </c>
      <c r="B47" s="11" t="inlineStr">
        <is>
          <t>Lotes urbanos - Veranópolis e Bento Gonçalves</t>
        </is>
      </c>
      <c r="C47" s="11" t="inlineStr">
        <is>
          <t>11</t>
        </is>
      </c>
      <c r="D47" s="11" t="inlineStr">
        <is>
          <t>Um lote urbano, localizado na cidade de Bento Gonçalves – RS, denominado de lote nº 112/51 – Quadra 188/B – Cadastro na P. M. de Bento Gonçalves sob nº 12848500, no LOTEAMENTO COLINA DO SOL. Área de .........m², Registrado no Ofício de Registro de Imóveis da Comarca de Bento Gonçalves – RS, sob Matrícula nº ........... VENDIDO.</t>
        </is>
      </c>
      <c r="E47" s="12" t="n">
        <v>0</v>
      </c>
      <c r="F47" s="13" t="n"/>
      <c r="G47" s="13" t="n"/>
      <c r="H47" s="13" t="n"/>
      <c r="I47" s="11" t="n"/>
    </row>
    <row r="48">
      <c r="A48" s="11" t="n">
        <v>44</v>
      </c>
      <c r="B48" s="11" t="inlineStr">
        <is>
          <t>Lotes urbanos - Veranópolis e Bento Gonçalves</t>
        </is>
      </c>
      <c r="C48" s="11" t="inlineStr">
        <is>
          <t>12</t>
        </is>
      </c>
      <c r="D48" s="11" t="inlineStr">
        <is>
          <t>Um lote urbano, localizado na cidade de Bento Gonçalves – RS, denominado de lote nº 126/50 – Quadra 188/B – Cadastro na P. M. de Bento Gonçalves sob nº 12848600, no LOTEAMENTO COLINA DO SOL. Área de .........m², Registrado no Ofício de Registro de Imóveis da Comarca de Bento Gonçalves – RS, sob Matrícula nº ........... VENDIDO.</t>
        </is>
      </c>
      <c r="E48" s="12" t="n">
        <v>0</v>
      </c>
      <c r="F48" s="13" t="n"/>
      <c r="G48" s="13" t="n"/>
      <c r="H48" s="13" t="n"/>
      <c r="I48" s="11" t="n"/>
    </row>
    <row r="49">
      <c r="A49" s="11" t="n">
        <v>45</v>
      </c>
      <c r="B49" s="11" t="inlineStr">
        <is>
          <t>Áreas urbanas e rurais - Veranópolis e Caxias do Sul</t>
        </is>
      </c>
      <c r="C49" s="11" t="inlineStr">
        <is>
          <t>01</t>
        </is>
      </c>
      <c r="D49" s="11" t="inlineStr">
        <is>
          <t>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
Matrícula nº 14.443, 14.444, 14.576 = 3,4 hectares.
Cadastrada no CCIR – Receita Federal sob nº 6.206.801-6.
90,00 metros de frente.</t>
        </is>
      </c>
      <c r="E49" s="12" t="n">
        <v>1200000</v>
      </c>
      <c r="F49" s="13" t="n"/>
      <c r="G49" s="13" t="n"/>
      <c r="H49" s="13" t="n"/>
      <c r="I49" s="11" t="n"/>
    </row>
    <row r="50">
      <c r="A50" s="11" t="n">
        <v>46</v>
      </c>
      <c r="B50" s="11" t="inlineStr">
        <is>
          <t>Áreas urbanas e rurais - Veranópolis e Caxias do Sul</t>
        </is>
      </c>
      <c r="C50" s="11" t="inlineStr">
        <is>
          <t>02</t>
        </is>
      </c>
      <c r="D50" s="11" t="inlineStr">
        <is>
          <t>Uma área de terras urbanas, denominada de LOTE Nº 1054, com área total de 16.913,9670m², ou 1,6 hectares, localizada no Município de Veranópolis – RS, próximo a Abastecedora de Combustíveis Siviero Ltda., adquirida do Senhor MOACIR ZANINI, área esta registrada sob Matrícula nº.: 17.038.
Matrícula nº 17.038 = 1,60 hectares.
95,00 metros de frente.</t>
        </is>
      </c>
      <c r="E50" s="12" t="n">
        <v>900000</v>
      </c>
      <c r="F50" s="13" t="n"/>
      <c r="G50" s="13" t="n"/>
      <c r="H50" s="13" t="n"/>
      <c r="I50" s="11" t="n"/>
    </row>
    <row r="51">
      <c r="A51" s="11" t="n">
        <v>47</v>
      </c>
      <c r="B51" s="11" t="inlineStr">
        <is>
          <t>Áreas urbanas e rurais - Veranópolis e Caxias do Sul</t>
        </is>
      </c>
      <c r="C51" s="11" t="inlineStr">
        <is>
          <t>03</t>
        </is>
      </c>
      <c r="D51" s="11" t="inlineStr">
        <is>
          <t>Uma área de terras rurais, denominada de PARTE DO LOTE RURAL LETRA “M”, com área total de 3,6 hectares, conforme contrato e área medida conforme croqui, com 33.742,78m², localizada na Linha Tomaz Flores, no Município de Veranópolis – RS, na localidade de Sapopema, próxima ao CTG Rincão da Roça Reiuna, adquirida da FAMÍLIA LAGO, área esta registrada sob Matrícula nº.: 14.319. Matrícula nº 14.319 = 3,6 hectares.</t>
        </is>
      </c>
      <c r="E51" s="12" t="n">
        <v>900000</v>
      </c>
      <c r="F51" s="13" t="n"/>
      <c r="G51" s="13" t="n"/>
      <c r="H51" s="13" t="n"/>
      <c r="I51" s="11" t="n"/>
    </row>
    <row r="52">
      <c r="A52" s="11" t="n">
        <v>48</v>
      </c>
      <c r="B52" s="11" t="inlineStr">
        <is>
          <t>Áreas urbanas e rurais - Veranópolis e Caxias do Sul</t>
        </is>
      </c>
      <c r="C52" s="11" t="inlineStr">
        <is>
          <t>04</t>
        </is>
      </c>
      <c r="D52" s="11" t="inlineStr">
        <is>
          <t>Uma área de terras urbanas, denominada de LOTE Nº 0024, com área total de 2,6 hectares = 26.100,00m², localizada na Rua Capitão Pelegrino Guzzo, no Município de Veranópolis – RS, na localidade de Santa Rita, adquirida do Senhor .............., área esta registrada sob Matrícula nº.:
Matrícula nº .......... = 2,6 hectares. Inscrição Municipal nº 113 0024 001 001</t>
        </is>
      </c>
      <c r="E52" s="12" t="n">
        <v>70000</v>
      </c>
      <c r="F52" s="13" t="n"/>
      <c r="G52" s="13" t="n"/>
      <c r="H52" s="13" t="n"/>
      <c r="I52" s="11" t="n"/>
    </row>
    <row r="53">
      <c r="A53" s="11" t="n">
        <v>49</v>
      </c>
      <c r="B53" s="11" t="inlineStr">
        <is>
          <t>Áreas urbanas e rurais - Veranópolis e Caxias do Sul</t>
        </is>
      </c>
      <c r="C53" s="11" t="inlineStr">
        <is>
          <t>05</t>
        </is>
      </c>
      <c r="D53" s="11" t="inlineStr">
        <is>
          <t>Uma área de terras rurais, denominada de PARTE DO LOTE RURAL Nº 14, da linha Dr. Júlio de Castilhos, com área total de 7,5 hectares, ou 75.550,00m², localizada no Município de Veranópolis – RS, na localidade de Santa Rita, adquirida da FAMÍLIA SANGALI – VALDIR SANGALI, área esta registrada sob Matrícula nº.: 4.194.
Matrícula nº 4.194 = 7,5 hectares, adquirida pelo valor de R$ 50.000,00.</t>
        </is>
      </c>
      <c r="E53" s="12" t="n">
        <v>280000</v>
      </c>
      <c r="F53" s="13" t="n"/>
      <c r="G53" s="13" t="n"/>
      <c r="H53" s="13" t="n"/>
      <c r="I53" s="11" t="n"/>
    </row>
    <row r="54">
      <c r="A54" s="11" t="n">
        <v>50</v>
      </c>
      <c r="B54" s="11" t="inlineStr">
        <is>
          <t>Áreas urbanas e rurais - Veranópolis e Caxias do Sul</t>
        </is>
      </c>
      <c r="C54" s="11" t="inlineStr">
        <is>
          <t>06</t>
        </is>
      </c>
      <c r="D54" s="11" t="inlineStr">
        <is>
          <t>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
Matrícula nº 14.945 = 1,8 hectares, adquirida pelo valor de R$ 305.000,00.</t>
        </is>
      </c>
      <c r="E54" s="12" t="n">
        <v>1000000</v>
      </c>
      <c r="F54" s="13" t="n"/>
      <c r="G54" s="13" t="n"/>
      <c r="H54" s="13" t="n"/>
      <c r="I54" s="11" t="n"/>
    </row>
    <row r="55">
      <c r="A55" s="11" t="n">
        <v>51</v>
      </c>
      <c r="B55" s="11" t="inlineStr">
        <is>
          <t>Áreas urbanas e rurais - Veranópolis e Caxias do Sul</t>
        </is>
      </c>
      <c r="C55" s="11" t="inlineStr">
        <is>
          <t>07</t>
        </is>
      </c>
      <c r="D55" s="11" t="inlineStr">
        <is>
          <t>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R$ 400.000,00.
17.604,00m² + 2.000,00m² = 19.604,00m².</t>
        </is>
      </c>
      <c r="E55" s="12" t="n">
        <v>900000</v>
      </c>
      <c r="F55" s="13" t="n"/>
      <c r="G55" s="13" t="n"/>
      <c r="H55" s="13" t="n"/>
      <c r="I55" s="11" t="n"/>
    </row>
    <row r="56">
      <c r="A56" s="11" t="n">
        <v>52</v>
      </c>
      <c r="B56" s="11" t="inlineStr">
        <is>
          <t>Áreas urbanas e rurais - Veranópolis e Caxias do Sul</t>
        </is>
      </c>
      <c r="C56" s="11" t="inlineStr">
        <is>
          <t>08</t>
        </is>
      </c>
      <c r="D56" s="11" t="inlineStr">
        <is>
          <t>Uma área de terras rurais, denominada de PARTE DO LOTE RURAL nº 73, com área total de 6,0 hectares, ou 60.000,00m², localizada na Linha Tomaz Flores, no Município de Veranópolis – RS, na localidade de Vila Azul, adquirida do Senhor ANTÔNIO ANSOLIN, registrada sob Matrícula nº.: 21.771. Adquirida a parte ideal de 6,0 hectares, pelo valor de R$ 525.000,00. Está prometida para a execução do Loteamento Pedra Lisa II – Ansolin, juntamente com os demais 12,0ha, que perfazem o total da área de terras escriturada na Matrícula. Neste Loteamento, a empresa Siviero tem adquirido 6,0 hectares de terras, no total de 18,0 ha.</t>
        </is>
      </c>
      <c r="E56" s="12" t="n">
        <v>900000</v>
      </c>
      <c r="F56" s="13" t="n"/>
      <c r="G56" s="13" t="n"/>
      <c r="H56" s="13" t="n"/>
      <c r="I56" s="11" t="n"/>
    </row>
    <row r="57">
      <c r="A57" s="11" t="n">
        <v>53</v>
      </c>
      <c r="B57" s="11" t="inlineStr">
        <is>
          <t>Áreas urbanas e rurais - Veranópolis e Caxias do Sul</t>
        </is>
      </c>
      <c r="C57" s="11" t="inlineStr">
        <is>
          <t>09</t>
        </is>
      </c>
      <c r="D57" s="11" t="inlineStr">
        <is>
          <t>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R$ 10.000,00 cada chácara.</t>
        </is>
      </c>
      <c r="E57" s="12" t="n">
        <v>100000</v>
      </c>
      <c r="F57" s="13" t="n"/>
      <c r="G57" s="13" t="n"/>
      <c r="H57" s="13" t="n"/>
      <c r="I57" s="11" t="n"/>
    </row>
    <row r="58">
      <c r="A58" s="11" t="n">
        <v>54</v>
      </c>
      <c r="B58" s="11" t="inlineStr">
        <is>
          <t>Áreas urbanas e rurais - Veranópolis e Caxias do Sul</t>
        </is>
      </c>
      <c r="C58" s="11" t="inlineStr">
        <is>
          <t>10</t>
        </is>
      </c>
      <c r="D58" s="11" t="inlineStr">
        <is>
          <t>Uma área de terras rurais, ADQUIRIDA em 2014, DA FAMÍLIA CECCONELLO, localizada no Município de Caxias do Sul – RS, composto por 2,0 (Dois) hectares, dentro de um todo maior, que compõem o Loteamento = 130.446,00m².</t>
        </is>
      </c>
      <c r="E58" s="12" t="n">
        <v>600000</v>
      </c>
      <c r="F58" s="13" t="n"/>
      <c r="G58" s="13" t="n"/>
      <c r="H58" s="13" t="n"/>
      <c r="I58" s="11" t="n"/>
    </row>
    <row r="59">
      <c r="A59" s="11" t="n">
        <v>55</v>
      </c>
      <c r="B59" s="11" t="inlineStr">
        <is>
          <t>Loteamentos executados e registrados</t>
        </is>
      </c>
      <c r="C59" s="11" t="inlineStr">
        <is>
          <t>01</t>
        </is>
      </c>
      <c r="D59" s="11" t="inlineStr">
        <is>
          <t>Loteamento Sol Nascente I, localizado na cidade de Antônio Prado – RS, num saldo de 14 lotes, ao valor de R$ 200.000,00, cada lote – Valor da média considerada dentre os lotes.
- FALTA A INSTALAÇÃO DA REDE DE ÁGUA.</t>
        </is>
      </c>
      <c r="E59" s="12" t="n">
        <v>2800000</v>
      </c>
      <c r="F59" s="13" t="n"/>
      <c r="G59" s="13" t="n"/>
      <c r="H59" s="13" t="n"/>
      <c r="I59" s="11" t="inlineStr">
        <is>
          <t>Texto na célula de valor: 'colina do basalto'.</t>
        </is>
      </c>
    </row>
    <row r="60">
      <c r="A60" s="11" t="n">
        <v>56</v>
      </c>
      <c r="B60" s="11" t="inlineStr">
        <is>
          <t>Loteamentos executados e registrados</t>
        </is>
      </c>
      <c r="C60" s="11" t="inlineStr">
        <is>
          <t>02</t>
        </is>
      </c>
      <c r="D60" s="11" t="inlineStr">
        <is>
          <t>Loteamento Fracionamento Simioni, localizado na cidade de Veranópolis – RS, num saldo de 04 lotes, ao valor de R$ 250.000,00, cada lote. Sobre os lotes há restrições ambientais – Fonte de Água e Mato – Valor da média considerada dentre os lotes.</t>
        </is>
      </c>
      <c r="E60" s="12" t="n">
        <v>1000000</v>
      </c>
      <c r="F60" s="13" t="n"/>
      <c r="G60" s="13" t="n"/>
      <c r="H60" s="13" t="n"/>
      <c r="I60" s="11" t="n"/>
    </row>
    <row r="61">
      <c r="A61" s="11" t="n">
        <v>57</v>
      </c>
      <c r="B61" s="11" t="inlineStr">
        <is>
          <t>Loteamentos executados e registrados</t>
        </is>
      </c>
      <c r="C61" s="11" t="inlineStr">
        <is>
          <t>03</t>
        </is>
      </c>
      <c r="D61" s="11" t="inlineStr">
        <is>
          <t>Loteamento Colina do Basalto, localizado na cidade de Nova Prata – RS, num saldo de 14 lotes, ao valor de R$ 90.000,00, cada lote – Valor da média considerada dentre os lotes.</t>
        </is>
      </c>
      <c r="E61" s="12" t="n">
        <v>1260000</v>
      </c>
      <c r="F61" s="13" t="n"/>
      <c r="G61" s="13" t="n"/>
      <c r="H61" s="13" t="n"/>
      <c r="I61" s="11" t="n"/>
    </row>
    <row r="62">
      <c r="A62" s="11" t="n">
        <v>58</v>
      </c>
      <c r="B62" s="11" t="inlineStr">
        <is>
          <t>Loteamentos executados e registrados</t>
        </is>
      </c>
      <c r="C62" s="11" t="inlineStr">
        <is>
          <t>04</t>
        </is>
      </c>
      <c r="D62" s="11" t="inlineStr">
        <is>
          <t>Loteamento Aditivo Medianeira, localizado na cidade de Veranópolis – RS, num saldo de 20 lotes, ao valor de R$ 100.000,00, cada lote – Valor da média considerada dentre os lotes.</t>
        </is>
      </c>
      <c r="E62" s="12" t="n">
        <v>2000000</v>
      </c>
      <c r="F62" s="13" t="n"/>
      <c r="G62" s="13" t="n"/>
      <c r="H62" s="13" t="n"/>
      <c r="I62" s="11" t="n"/>
    </row>
    <row r="63">
      <c r="A63" s="11" t="n">
        <v>59</v>
      </c>
      <c r="B63" s="11" t="inlineStr">
        <is>
          <t>Loteamentos executados e registrados</t>
        </is>
      </c>
      <c r="C63" s="11" t="inlineStr">
        <is>
          <t>05</t>
        </is>
      </c>
      <c r="D63" s="11" t="inlineStr">
        <is>
          <t>Loteamento Alto das Graças I, localizado na cidade de Caxias do Sul – RS, num saldo de 51 lotes, ao valor de R$ 115.000,00, cada lote. (50,00% é da empresa Villa Luna: total = 102 lotes) – Valor da média considerada dentre os lotes.</t>
        </is>
      </c>
      <c r="E63" s="12" t="n">
        <v>5865000</v>
      </c>
      <c r="F63" s="12" t="n">
        <v>11730000</v>
      </c>
      <c r="G63" s="13" t="n"/>
      <c r="H63" s="13" t="n"/>
      <c r="I63" s="11" t="inlineStr">
        <is>
          <t>Valor bruto R$ 11.730.000,00 dividido por 2 (50% da Villa Luna).</t>
        </is>
      </c>
    </row>
    <row r="64">
      <c r="A64" s="11" t="n">
        <v>60</v>
      </c>
      <c r="B64" s="11" t="inlineStr">
        <is>
          <t>Loteamentos executados e registrados</t>
        </is>
      </c>
      <c r="C64" s="11" t="inlineStr">
        <is>
          <t>06</t>
        </is>
      </c>
      <c r="D64" s="11" t="inlineStr">
        <is>
          <t>Loteamento Cichelero, localizado na cidade de Carlos Barbosa – RS, num saldo de 10 lotes, ao valor de R$ 100.000,00, cada lote – Valor da média considerada dentre os lotes.</t>
        </is>
      </c>
      <c r="E64" s="12" t="n">
        <v>1000000</v>
      </c>
      <c r="F64" s="13" t="n"/>
      <c r="G64" s="13" t="n"/>
      <c r="H64" s="13" t="n"/>
      <c r="I64" s="11" t="n"/>
    </row>
    <row r="65">
      <c r="A65" s="11" t="n">
        <v>61</v>
      </c>
      <c r="B65" s="11" t="inlineStr">
        <is>
          <t>Loteamentos executados e registrados</t>
        </is>
      </c>
      <c r="C65" s="11" t="inlineStr">
        <is>
          <t>07</t>
        </is>
      </c>
      <c r="D65" s="11" t="inlineStr">
        <is>
          <t>Loteamento Firminio Dalzóchio, localizado na cidade de Farroupilha – RS, num saldo de 15 lotes, ao valor de R$ 100.000,00, cada lote – Valor da média considerada dentre os lotes.</t>
        </is>
      </c>
      <c r="E65" s="12" t="n">
        <v>1500000</v>
      </c>
      <c r="F65" s="13" t="n"/>
      <c r="G65" s="13" t="n"/>
      <c r="H65" s="13" t="n"/>
      <c r="I65" s="11" t="n"/>
    </row>
    <row r="66">
      <c r="A66" s="11" t="n">
        <v>62</v>
      </c>
      <c r="B66" s="11" t="inlineStr">
        <is>
          <t>Loteamentos executados e registrados</t>
        </is>
      </c>
      <c r="C66" s="11" t="inlineStr">
        <is>
          <t>08</t>
        </is>
      </c>
      <c r="D66" s="11" t="inlineStr">
        <is>
          <t>Loteamento Industrial Pedra Lisa, localizado na cidade de Veranópolis – RS, num saldo de 39 lotes, ao valor de R$ VARIÁVEL, cada lote.
01 LOTE – R$ 550.000,00.
01 LOTE – R$ 450.000,00.
37 LOTES – R$ 230.000,00, cada um. (Mínimo de R$ 150.000,00 e Máximo de R$ 300.000,00).
– Valor da média considerada dentre os lotes.</t>
        </is>
      </c>
      <c r="E66" s="12" t="n">
        <v>9510000</v>
      </c>
      <c r="F66" s="13" t="n"/>
      <c r="G66" s="13" t="n"/>
      <c r="H66" s="13" t="n"/>
      <c r="I66" s="11" t="n"/>
    </row>
    <row r="67">
      <c r="A67" s="11" t="n">
        <v>63</v>
      </c>
      <c r="B67" s="11" t="inlineStr">
        <is>
          <t>Loteamentos executados e registrados</t>
        </is>
      </c>
      <c r="C67" s="11" t="inlineStr">
        <is>
          <t>09</t>
        </is>
      </c>
      <c r="D67" s="11" t="inlineStr">
        <is>
          <t>Loteamento Industrial Vicentino, localizado na cidade de Farroupilha – RS, num saldo de 12 lotes, ao valor de R$ 800.000,00, cada lote – Valor da média considerada dentre os lotes.</t>
        </is>
      </c>
      <c r="E67" s="12" t="n">
        <v>9600000</v>
      </c>
      <c r="F67" s="13" t="n"/>
      <c r="G67" s="13" t="n"/>
      <c r="H67" s="13" t="n"/>
      <c r="I67" s="11" t="n"/>
    </row>
    <row r="68">
      <c r="A68" s="11" t="n">
        <v>64</v>
      </c>
      <c r="B68" s="11" t="inlineStr">
        <is>
          <t>Loteamentos executados e registrados</t>
        </is>
      </c>
      <c r="C68" s="11" t="inlineStr">
        <is>
          <t>10</t>
        </is>
      </c>
      <c r="D68" s="11" t="inlineStr">
        <is>
          <t>Loteamento Monte Vêneto, localizado na cidade de Carlos Barbosa – RS, num saldo de 01 lote, ao valor de R$ 110.000,00, cada lote – Valor da média considerada dentre os lotes.</t>
        </is>
      </c>
      <c r="E68" s="12" t="n">
        <v>110000</v>
      </c>
      <c r="F68" s="13" t="n"/>
      <c r="G68" s="13" t="n"/>
      <c r="H68" s="13" t="n"/>
      <c r="I68" s="11" t="n"/>
    </row>
    <row r="69">
      <c r="A69" s="11" t="n">
        <v>65</v>
      </c>
      <c r="B69" s="11" t="inlineStr">
        <is>
          <t>Loteamentos executados e registrados</t>
        </is>
      </c>
      <c r="C69" s="11" t="inlineStr">
        <is>
          <t>11</t>
        </is>
      </c>
      <c r="D69" s="11" t="inlineStr">
        <is>
          <t>Loteamento Nossa Senhora da Saúde, localizado na cidade de Guaporé – RS, num saldo de 03 lotes, ao valor de R$ 80.000,00, cada lote – Valor da média considerada dentre os lotes.</t>
        </is>
      </c>
      <c r="E69" s="12" t="n">
        <v>240000</v>
      </c>
      <c r="F69" s="13" t="n"/>
      <c r="G69" s="13" t="n"/>
      <c r="H69" s="13" t="n"/>
      <c r="I69" s="11" t="n"/>
    </row>
    <row r="70">
      <c r="A70" s="11" t="n">
        <v>66</v>
      </c>
      <c r="B70" s="11" t="inlineStr">
        <is>
          <t>Loteamentos executados e registrados</t>
        </is>
      </c>
      <c r="C70" s="11" t="inlineStr">
        <is>
          <t>12</t>
        </is>
      </c>
      <c r="D70" s="11" t="inlineStr">
        <is>
          <t>Loteamento Perini, localizado na cidade de Farroupilha – RS, num saldo de 10 lotes, ao valor de R$ VARIÁVEL, cada lote.
04 LOTES – R$ 500.000,00, cada um.
06 LOTES – R$ 95.000,00, cada um.
– Valor da média considerada dentre os lotes.</t>
        </is>
      </c>
      <c r="E70" s="12" t="n">
        <v>2570000</v>
      </c>
      <c r="F70" s="13" t="n"/>
      <c r="G70" s="13" t="n"/>
      <c r="H70" s="13" t="n"/>
      <c r="I70" s="11" t="n"/>
    </row>
    <row r="71">
      <c r="A71" s="11" t="n">
        <v>67</v>
      </c>
      <c r="B71" s="11" t="inlineStr">
        <is>
          <t>Loteamentos executados e registrados</t>
        </is>
      </c>
      <c r="C71" s="11" t="inlineStr">
        <is>
          <t>13</t>
        </is>
      </c>
      <c r="D71" s="11" t="inlineStr">
        <is>
          <t>Loteamento Princesa dos Vales, localizado na cidade de Carlos Barbosa – RS, num saldo de 01 lote, ao valor de R$ 90.000,00, cada lote – Valor da média considerada dentre os lotes.</t>
        </is>
      </c>
      <c r="E71" s="12" t="n">
        <v>90000</v>
      </c>
      <c r="F71" s="13" t="n"/>
      <c r="G71" s="13" t="n"/>
      <c r="H71" s="13" t="n"/>
      <c r="I71" s="11" t="n"/>
    </row>
    <row r="72">
      <c r="A72" s="11" t="n">
        <v>68</v>
      </c>
      <c r="B72" s="11" t="inlineStr">
        <is>
          <t>Loteamentos executados e registrados</t>
        </is>
      </c>
      <c r="C72" s="11" t="inlineStr">
        <is>
          <t>14</t>
        </is>
      </c>
      <c r="D72" s="11" t="inlineStr">
        <is>
          <t>Loteamento Morada da Colina, localizado na cidade de Veranópolis – RS, num saldo de 00 lotes, ao valor de R$ 500.000,00, cada lote – Valor da média considerada dentre os lotes.</t>
        </is>
      </c>
      <c r="E72" s="12" t="n">
        <v>0</v>
      </c>
      <c r="F72" s="13" t="n"/>
      <c r="G72" s="13" t="n"/>
      <c r="H72" s="13" t="n"/>
      <c r="I72" s="11" t="n"/>
    </row>
    <row r="73">
      <c r="A73" s="11" t="n">
        <v>69</v>
      </c>
      <c r="B73" s="11" t="inlineStr">
        <is>
          <t>Loteamentos executados e registrados</t>
        </is>
      </c>
      <c r="C73" s="11" t="inlineStr">
        <is>
          <t>15</t>
        </is>
      </c>
      <c r="D73" s="11" t="inlineStr">
        <is>
          <t>Loteamento Araçá, localizado na cidade de Nova Araçá – RS, num saldo de 01 lote, ao valor de R$ 60.000,00, cada lote – Valor da média considerada dentre os lotes.</t>
        </is>
      </c>
      <c r="E73" s="12" t="n">
        <v>60000</v>
      </c>
      <c r="F73" s="13" t="n"/>
      <c r="G73" s="13" t="n"/>
      <c r="H73" s="13" t="n"/>
      <c r="I73" s="11" t="n"/>
    </row>
    <row r="74">
      <c r="A74" s="11" t="n">
        <v>70</v>
      </c>
      <c r="B74" s="11" t="inlineStr">
        <is>
          <t>Loteamentos executados e registrados</t>
        </is>
      </c>
      <c r="C74" s="11" t="inlineStr">
        <is>
          <t>16</t>
        </is>
      </c>
      <c r="D74" s="11" t="inlineStr">
        <is>
          <t>Loteamento Baú, localizado na cidade de Carlos Barbosa – RS, num saldo de 02 lotes, ao valor de R$ 130.000,00, cada lote – Valor da média considerada dentre os lotes.</t>
        </is>
      </c>
      <c r="E74" s="12" t="n">
        <v>260000</v>
      </c>
      <c r="F74" s="13" t="n"/>
      <c r="G74" s="13" t="n"/>
      <c r="H74" s="13" t="n"/>
      <c r="I74" s="11" t="n"/>
    </row>
    <row r="75">
      <c r="A75" s="11" t="n">
        <v>71</v>
      </c>
      <c r="B75" s="11" t="inlineStr">
        <is>
          <t>Loteamentos executados e registrados</t>
        </is>
      </c>
      <c r="C75" s="11" t="inlineStr">
        <is>
          <t>17</t>
        </is>
      </c>
      <c r="D75" s="11" t="inlineStr">
        <is>
          <t>Loteamento Bella Visione, localizado na cidade de Carlos Barbosa – RS, num saldo de 00 lotes, ao valor de R$ 100.000,00, cada lote – Valor da média considerada dentre os lotes.</t>
        </is>
      </c>
      <c r="E75" s="12" t="n">
        <v>0</v>
      </c>
      <c r="F75" s="13" t="n"/>
      <c r="G75" s="13" t="n"/>
      <c r="H75" s="13" t="n"/>
      <c r="I75" s="11" t="n"/>
    </row>
    <row r="76">
      <c r="A76" s="11" t="n">
        <v>72</v>
      </c>
      <c r="B76" s="11" t="inlineStr">
        <is>
          <t>Loteamentos executados e registrados</t>
        </is>
      </c>
      <c r="C76" s="11" t="inlineStr">
        <is>
          <t>18</t>
        </is>
      </c>
      <c r="D76" s="11" t="inlineStr">
        <is>
          <t>Loteamento Dalla Costa, localizado na cidade de Nova Bassano – RS, num saldo de 05 lotes, ao valor de R$ 75.000,00, cada lote – Valor da média considerada dentre os lotes.</t>
        </is>
      </c>
      <c r="E76" s="12" t="n">
        <v>375000</v>
      </c>
      <c r="F76" s="13" t="n"/>
      <c r="G76" s="13" t="n"/>
      <c r="H76" s="13" t="n"/>
      <c r="I76" s="11" t="n"/>
    </row>
    <row r="77">
      <c r="A77" s="11" t="n">
        <v>73</v>
      </c>
      <c r="B77" s="11" t="inlineStr">
        <is>
          <t>Loteamentos executados e registrados</t>
        </is>
      </c>
      <c r="C77" s="11" t="inlineStr">
        <is>
          <t>19</t>
        </is>
      </c>
      <c r="D77" s="11" t="inlineStr">
        <is>
          <t>Loteamento Delta – Nilumar, localizado na cidade de Caxias do Sul – RS, num saldo de 03 lotes, ao valor de R$ 75.000,00, cada lote – Valor da média considerada dentre os lotes.</t>
        </is>
      </c>
      <c r="E77" s="12" t="n">
        <v>225000</v>
      </c>
      <c r="F77" s="13" t="n"/>
      <c r="G77" s="13" t="n"/>
      <c r="H77" s="13" t="n"/>
      <c r="I77" s="11" t="n"/>
    </row>
    <row r="78">
      <c r="A78" s="11" t="n">
        <v>74</v>
      </c>
      <c r="B78" s="11" t="inlineStr">
        <is>
          <t>Loteamentos executados e registrados</t>
        </is>
      </c>
      <c r="C78" s="11" t="inlineStr">
        <is>
          <t>20</t>
        </is>
      </c>
      <c r="D78" s="11" t="inlineStr">
        <is>
          <t>Loteamento Femaçã, localizado na cidade de Veranópolis – RS, num saldo de 05 lotes, ao valor de R$ 120.000,00, cada lote – Valor da média considerada dentre os lotes.</t>
        </is>
      </c>
      <c r="E78" s="12" t="n">
        <v>600000</v>
      </c>
      <c r="F78" s="13" t="n"/>
      <c r="G78" s="13" t="n"/>
      <c r="H78" s="13" t="n"/>
      <c r="I78" s="11" t="n"/>
    </row>
    <row r="79">
      <c r="A79" s="11" t="n">
        <v>75</v>
      </c>
      <c r="B79" s="11" t="inlineStr">
        <is>
          <t>Loteamentos executados e registrados</t>
        </is>
      </c>
      <c r="C79" s="11" t="inlineStr">
        <is>
          <t>21</t>
        </is>
      </c>
      <c r="D79" s="11" t="inlineStr">
        <is>
          <t>Loteamento Irmãos Boff, localizado na cidade de Veranópolis – RS, num saldo de 01 lote, ao valor de R$ 60.000,00, cada lote – Valor da média considerada dentre os lotes.</t>
        </is>
      </c>
      <c r="E79" s="12" t="n">
        <v>60000</v>
      </c>
      <c r="F79" s="13" t="n"/>
      <c r="G79" s="13" t="n"/>
      <c r="H79" s="13" t="n"/>
      <c r="I79" s="11" t="n"/>
    </row>
    <row r="80">
      <c r="A80" s="11" t="n">
        <v>76</v>
      </c>
      <c r="B80" s="11" t="inlineStr">
        <is>
          <t>Loteamentos executados e registrados</t>
        </is>
      </c>
      <c r="C80" s="11" t="inlineStr">
        <is>
          <t>22</t>
        </is>
      </c>
      <c r="D80" s="11" t="inlineStr">
        <is>
          <t>Loteamento Jardim Itália, localizado na cidade de Farroupilha – RS, num saldo de 40 lotes, ao valor de R$ 100.000,00, cada lote – Valor da média considerada dentre os lotes.</t>
        </is>
      </c>
      <c r="E80" s="12" t="n">
        <v>4000000</v>
      </c>
      <c r="F80" s="13" t="n"/>
      <c r="G80" s="13" t="n"/>
      <c r="H80" s="13" t="n"/>
      <c r="I80" s="11" t="n"/>
    </row>
    <row r="81">
      <c r="A81" s="11" t="n">
        <v>77</v>
      </c>
      <c r="B81" s="11" t="inlineStr">
        <is>
          <t>Loteamentos executados e registrados</t>
        </is>
      </c>
      <c r="C81" s="11" t="inlineStr">
        <is>
          <t>23</t>
        </is>
      </c>
      <c r="D81" s="11" t="inlineStr">
        <is>
          <t>Loteamento Lago Negro, localizado na cidade de Gramado – RS, num saldo de 35 lotes, ao valor de R$ VARIÁVEL, cada lote.
05 LOTES – R$ 350.000,00, cada um.
30 LOTES – R$ 230.000,00, cada um.
– Valor da média considerada dentre os lotes.</t>
        </is>
      </c>
      <c r="E81" s="12" t="n">
        <v>8650000</v>
      </c>
      <c r="F81" s="13" t="n"/>
      <c r="G81" s="13" t="n"/>
      <c r="H81" s="13" t="n"/>
      <c r="I81" s="11" t="n"/>
    </row>
    <row r="82">
      <c r="A82" s="11" t="n">
        <v>78</v>
      </c>
      <c r="B82" s="11" t="inlineStr">
        <is>
          <t>Loteamentos executados e registrados</t>
        </is>
      </c>
      <c r="C82" s="11" t="inlineStr">
        <is>
          <t>24</t>
        </is>
      </c>
      <c r="D82" s="11" t="inlineStr">
        <is>
          <t>Loteamento Lovison, localizado na cidade de Nova Prata – RS, num saldo de 00 lotes, ao valor de R$ 100.000,00, cada lote – Valor da média considerada dentre os lotes.</t>
        </is>
      </c>
      <c r="E82" s="12" t="n">
        <v>0</v>
      </c>
      <c r="F82" s="13" t="n"/>
      <c r="G82" s="13" t="n"/>
      <c r="H82" s="13" t="n"/>
      <c r="I82" s="11" t="n"/>
    </row>
    <row r="83">
      <c r="A83" s="11" t="n">
        <v>79</v>
      </c>
      <c r="B83" s="11" t="inlineStr">
        <is>
          <t>Loteamentos executados e registrados</t>
        </is>
      </c>
      <c r="C83" s="11" t="inlineStr">
        <is>
          <t>25</t>
        </is>
      </c>
      <c r="D83" s="11" t="inlineStr">
        <is>
          <t>Loteamento Prata, localizado na cidade de Nova Prata – RS, num saldo de 02 lotes, ao valor de R$ 90.000,00, cada lote – Valor da média considerada dentre os lotes.</t>
        </is>
      </c>
      <c r="E83" s="12" t="n">
        <v>180000</v>
      </c>
      <c r="F83" s="13" t="n"/>
      <c r="G83" s="13" t="n"/>
      <c r="H83" s="13" t="n"/>
      <c r="I83" s="11" t="n"/>
    </row>
    <row r="84">
      <c r="A84" s="11" t="n">
        <v>80</v>
      </c>
      <c r="B84" s="11" t="inlineStr">
        <is>
          <t>Loteamentos executados e registrados</t>
        </is>
      </c>
      <c r="C84" s="11" t="inlineStr">
        <is>
          <t>26</t>
        </is>
      </c>
      <c r="D84" s="11" t="inlineStr">
        <is>
          <t>Loteamento Primavera, localizado na cidade de Farroupilha – RS, num saldo de 04 lotes, ao valor de R$ 80.000,00, cada lote – Valor da média considerada dentre os lotes.</t>
        </is>
      </c>
      <c r="E84" s="12" t="n">
        <v>320000</v>
      </c>
      <c r="F84" s="13" t="n"/>
      <c r="G84" s="13" t="n"/>
      <c r="H84" s="13" t="n"/>
      <c r="I84" s="11" t="n"/>
    </row>
    <row r="85">
      <c r="A85" s="11" t="n">
        <v>81</v>
      </c>
      <c r="B85" s="11" t="inlineStr">
        <is>
          <t>Loteamentos executados e registrados</t>
        </is>
      </c>
      <c r="C85" s="11" t="inlineStr">
        <is>
          <t>27</t>
        </is>
      </c>
      <c r="D85" s="11" t="inlineStr">
        <is>
          <t>Loteamento San Marino, localizado na cidade de Farroupilha – RS, num saldo de 33 lotes, ao valor de R$ 110.000,00, cada lote – Valor da média considerada dentre os lotes.</t>
        </is>
      </c>
      <c r="E85" s="12" t="n">
        <v>3630000</v>
      </c>
      <c r="F85" s="13" t="n"/>
      <c r="G85" s="13" t="n"/>
      <c r="H85" s="13" t="n"/>
      <c r="I85" s="11" t="n"/>
    </row>
    <row r="86">
      <c r="A86" s="11" t="n">
        <v>82</v>
      </c>
      <c r="B86" s="11" t="inlineStr">
        <is>
          <t>Loteamentos executados e registrados</t>
        </is>
      </c>
      <c r="C86" s="11" t="inlineStr">
        <is>
          <t>28</t>
        </is>
      </c>
      <c r="D86" s="11" t="inlineStr">
        <is>
          <t>Loteamento São Roque, localizado na cidade de Carlos Barbosa – RS, num saldo de 00 lotes, ao valor de R$ 100.000,00, cada lote – Valor da média considerada dentre os lotes.</t>
        </is>
      </c>
      <c r="E86" s="12" t="n">
        <v>0</v>
      </c>
      <c r="F86" s="13" t="n"/>
      <c r="G86" s="13" t="n"/>
      <c r="H86" s="13" t="n"/>
      <c r="I86" s="11" t="n"/>
    </row>
    <row r="87">
      <c r="A87" s="11" t="n">
        <v>83</v>
      </c>
      <c r="B87" s="11" t="inlineStr">
        <is>
          <t>Loteamentos executados e registrados</t>
        </is>
      </c>
      <c r="C87" s="11" t="inlineStr">
        <is>
          <t>29</t>
        </is>
      </c>
      <c r="D87" s="11" t="inlineStr">
        <is>
          <t>Loteamento Vila Vicenza, localizado na cidade de Farroupilha – RS, num saldo de 02 lotes, ao valor de R$ VARIÁVEL, cada lote.
01 LOTE – R$ 30.000,00, cada um.
01 LOTE – R$ 60.000,00, cada um.
– Valor da média considerada dentre os lotes.</t>
        </is>
      </c>
      <c r="E87" s="12" t="n">
        <v>90000</v>
      </c>
      <c r="F87" s="13" t="n"/>
      <c r="G87" s="13" t="n"/>
      <c r="H87" s="13" t="n"/>
      <c r="I87" s="11" t="n"/>
    </row>
    <row r="88">
      <c r="A88" s="11" t="n">
        <v>84</v>
      </c>
      <c r="B88" s="11" t="inlineStr">
        <is>
          <t>Loteamentos executados e registrados</t>
        </is>
      </c>
      <c r="C88" s="11" t="inlineStr">
        <is>
          <t>30</t>
        </is>
      </c>
      <c r="D88" s="11" t="inlineStr">
        <is>
          <t>Loteamento Sol Nascente II, localizado na cidade de Antônio Prado – RS, num saldo de 02 lotes, ao valor de R$ 100.000,00, cada lote – Valor da média considerada dentre os lotes.
- FALTA A INSTALAÇÃO DA REDE DE ÁGUA.</t>
        </is>
      </c>
      <c r="E88" s="12" t="n">
        <v>200000</v>
      </c>
      <c r="F88" s="13" t="n"/>
      <c r="G88" s="13" t="n"/>
      <c r="H88" s="13" t="n"/>
      <c r="I88" s="11" t="n"/>
    </row>
    <row r="89">
      <c r="A89" s="11" t="n">
        <v>85</v>
      </c>
      <c r="B89" s="11" t="inlineStr">
        <is>
          <t>Loteamentos executados e registrados</t>
        </is>
      </c>
      <c r="C89" s="11" t="inlineStr">
        <is>
          <t>31</t>
        </is>
      </c>
      <c r="D89" s="11" t="inlineStr">
        <is>
          <t>Loteamento Solar Norte I e II, localizado na cidade de Veranópolis – RS, num saldo de 10 lotes, ao valor de R$ VARIÁVEL, cada lote.
01 LOTE – R$ 250.000,00, cada um.
09 LOTES – R$ 120.000,00, cada um.
– Valor da média considerada dentre os lotes.</t>
        </is>
      </c>
      <c r="E89" s="12" t="n">
        <v>1330000</v>
      </c>
      <c r="F89" s="13" t="n"/>
      <c r="G89" s="13" t="n"/>
      <c r="H89" s="13" t="n"/>
      <c r="I89" s="11" t="n"/>
    </row>
    <row r="90">
      <c r="A90" s="11" t="n">
        <v>86</v>
      </c>
      <c r="B90" s="11" t="inlineStr">
        <is>
          <t>Loteamentos executados e registrados</t>
        </is>
      </c>
      <c r="C90" s="11" t="inlineStr">
        <is>
          <t>32</t>
        </is>
      </c>
      <c r="D90" s="11" t="inlineStr">
        <is>
          <t>Loteamento Viero, localizado na cidade de Farroupilha – RS, num saldo de 08 lotes, ao valor de R$ 80.000,00, cada lote – Valor da média considerada dentre os lotes.</t>
        </is>
      </c>
      <c r="E90" s="12" t="n">
        <v>640000</v>
      </c>
      <c r="F90" s="13" t="n"/>
      <c r="G90" s="13" t="n"/>
      <c r="H90" s="13" t="n"/>
      <c r="I90" s="11" t="n"/>
    </row>
    <row r="91">
      <c r="A91" s="11" t="n">
        <v>87</v>
      </c>
      <c r="B91" s="11" t="inlineStr">
        <is>
          <t>Loteamentos executados e registrados</t>
        </is>
      </c>
      <c r="C91" s="11" t="inlineStr">
        <is>
          <t>33</t>
        </is>
      </c>
      <c r="D91" s="11" t="inlineStr">
        <is>
          <t>Loteamento Altos da Julieta I – Perini, localizado na cidade de Farroupilha – RS, num total de aproximadamente 20 lotes, ao valor de R$ 90.000,00, cada lote. Total de 47 lotes.
Área total de 38.637,77m². 
– Valor da média considerada dentre os lotes.</t>
        </is>
      </c>
      <c r="E91" s="12" t="n">
        <v>1800000</v>
      </c>
      <c r="F91" s="13" t="n"/>
      <c r="G91" s="13" t="n"/>
      <c r="H91" s="13" t="n"/>
      <c r="I91" s="11" t="n"/>
    </row>
    <row r="92">
      <c r="A92" s="11" t="n">
        <v>88</v>
      </c>
      <c r="B92" s="11" t="inlineStr">
        <is>
          <t>Loteamentos executados e registrados</t>
        </is>
      </c>
      <c r="C92" s="11" t="inlineStr">
        <is>
          <t>34</t>
        </is>
      </c>
      <c r="D92" s="11" t="inlineStr">
        <is>
          <t>Loteamento Altos da Julieta II – Perini, localizado na cidade de Farroupilha – RS, num total de aproximadamente 20 lotes, ao valor de R$ 90.000,00, cada lote. Total de 42 lotes.
Área total de 37.702,23m².
– Valor da média considerada dentre os lotes.</t>
        </is>
      </c>
      <c r="E92" s="12" t="n">
        <v>1800000</v>
      </c>
      <c r="F92" s="13" t="n"/>
      <c r="G92" s="13" t="n"/>
      <c r="H92" s="13" t="n"/>
      <c r="I92" s="11" t="n"/>
    </row>
    <row r="93">
      <c r="A93" s="11" t="n">
        <v>89</v>
      </c>
      <c r="B93" s="11" t="inlineStr">
        <is>
          <t>Loteamentos executados e registrados</t>
        </is>
      </c>
      <c r="C93" s="11" t="inlineStr">
        <is>
          <t>35</t>
        </is>
      </c>
      <c r="D93" s="11" t="inlineStr">
        <is>
          <t>Loteamento Desmembramento Tedesco I, localizado na cidade de Veranópolis – RS, num total de aproximadamente 00 lotes, ao valor de R$ 100.000,00, cada lote. Total de ..... lotes. Área total de..........m².</t>
        </is>
      </c>
      <c r="E93" s="12" t="n">
        <v>0</v>
      </c>
      <c r="F93" s="13" t="n"/>
      <c r="G93" s="13" t="n"/>
      <c r="H93" s="13" t="n"/>
      <c r="I93" s="11" t="n"/>
    </row>
    <row r="94">
      <c r="A94" s="11" t="n">
        <v>90</v>
      </c>
      <c r="B94" s="11" t="inlineStr">
        <is>
          <t>Loteamentos executados e registrados</t>
        </is>
      </c>
      <c r="C94" s="11" t="inlineStr">
        <is>
          <t>36</t>
        </is>
      </c>
      <c r="D94" s="11" t="inlineStr">
        <is>
          <t>Loteamento Desmembramento Tedesco II, localizado na cidade de Veranópolis – RS, num total de aproximadamente 00 lotes, ao valor de R$ 100.000,00, cada lote. Total de ..... lotes. Área total de..........m².</t>
        </is>
      </c>
      <c r="E94" s="12" t="n">
        <v>0</v>
      </c>
      <c r="F94" s="13" t="n"/>
      <c r="G94" s="13" t="n"/>
      <c r="H94" s="13" t="n"/>
      <c r="I94" s="11" t="n"/>
    </row>
    <row r="95">
      <c r="A95" s="11" t="n">
        <v>91</v>
      </c>
      <c r="B95" s="11" t="inlineStr">
        <is>
          <t>Loteamentos executados e registrados</t>
        </is>
      </c>
      <c r="C95" s="11" t="inlineStr">
        <is>
          <t>37</t>
        </is>
      </c>
      <c r="D95" s="11" t="inlineStr">
        <is>
          <t>Loteamento Colina do Lindóia, localizado na cidade de Farroupilha – RS, num saldo de 00 lotes, ao valor de R$ 100.000,00, cada lote.</t>
        </is>
      </c>
      <c r="E95" s="12" t="n">
        <v>0</v>
      </c>
      <c r="F95" s="13" t="n"/>
      <c r="G95" s="13" t="n"/>
      <c r="H95" s="13" t="n"/>
      <c r="I95" s="11" t="n"/>
    </row>
    <row r="96">
      <c r="A96" s="11" t="n">
        <v>92</v>
      </c>
      <c r="B96" s="11" t="inlineStr">
        <is>
          <t>Loteamentos executados e registrados</t>
        </is>
      </c>
      <c r="C96" s="11" t="inlineStr">
        <is>
          <t>38</t>
        </is>
      </c>
      <c r="D96" s="11" t="inlineStr">
        <is>
          <t>Loteamento Fracionamento Pagliari, localizado na cidade de Carlos Barbosa – RS, num saldo de 00 lotes, ao valor de R$ 100.000,00, cada lote.</t>
        </is>
      </c>
      <c r="E96" s="12" t="n">
        <v>0</v>
      </c>
      <c r="F96" s="13" t="n"/>
      <c r="G96" s="13" t="n"/>
      <c r="H96" s="13" t="n"/>
      <c r="I96" s="11" t="n"/>
    </row>
    <row r="97">
      <c r="A97" s="11" t="n">
        <v>93</v>
      </c>
      <c r="B97" s="11" t="inlineStr">
        <is>
          <t>Loteamentos executados e registrados</t>
        </is>
      </c>
      <c r="C97" s="11" t="inlineStr">
        <is>
          <t>39</t>
        </is>
      </c>
      <c r="D97" s="11" t="inlineStr">
        <is>
          <t>Loteamento Fracionamento Primavera – 02 Quadras, localizado na cidade de Farroupilha – RS, num saldo de 00 lotes, ao valor de R$ 100.000,00, cada lote.</t>
        </is>
      </c>
      <c r="E97" s="12" t="n">
        <v>0</v>
      </c>
      <c r="F97" s="13" t="n"/>
      <c r="G97" s="13" t="n"/>
      <c r="H97" s="13" t="n"/>
      <c r="I97" s="11" t="n"/>
    </row>
    <row r="98">
      <c r="A98" s="11" t="n">
        <v>94</v>
      </c>
      <c r="B98" s="11" t="inlineStr">
        <is>
          <t>Loteamentos executados e registrados</t>
        </is>
      </c>
      <c r="C98" s="11" t="inlineStr">
        <is>
          <t>40</t>
        </is>
      </c>
      <c r="D98" s="11" t="inlineStr">
        <is>
          <t>Loteamento Martini, localizado na cidade de Veranópolis – RS, num saldo de 00 lotes, ao valor de R$ 100.000,00, cada lote.</t>
        </is>
      </c>
      <c r="E98" s="12" t="n">
        <v>0</v>
      </c>
      <c r="F98" s="13" t="n"/>
      <c r="G98" s="13" t="n"/>
      <c r="H98" s="13" t="n"/>
      <c r="I98" s="11" t="n"/>
    </row>
    <row r="99">
      <c r="A99" s="11" t="n">
        <v>95</v>
      </c>
      <c r="B99" s="11" t="inlineStr">
        <is>
          <t>Loteamentos executados e registrados</t>
        </is>
      </c>
      <c r="C99" s="11" t="inlineStr">
        <is>
          <t>41</t>
        </is>
      </c>
      <c r="D99" s="11" t="inlineStr">
        <is>
          <t>Loteamento Conte, localizado na cidade de Nova Prata – RS, num saldo de 00 lotes, ao valor de R$ 100.000,00, cada lote.</t>
        </is>
      </c>
      <c r="E99" s="12" t="n">
        <v>0</v>
      </c>
      <c r="F99" s="13" t="n"/>
      <c r="G99" s="13" t="n"/>
      <c r="H99" s="13" t="n"/>
      <c r="I99" s="11" t="n"/>
    </row>
    <row r="100">
      <c r="A100" s="11" t="n">
        <v>96</v>
      </c>
      <c r="B100" s="11" t="inlineStr">
        <is>
          <t>Loteamentos executados e registrados</t>
        </is>
      </c>
      <c r="C100" s="11" t="inlineStr">
        <is>
          <t>42</t>
        </is>
      </c>
      <c r="D100" s="11" t="inlineStr">
        <is>
          <t>Loteamento São Luiz, localizado na cidade de Vila Flores – RS, num saldo de 00 lotes, ao valor de R$ 100.000,00, cada lote.</t>
        </is>
      </c>
      <c r="E100" s="12" t="n">
        <v>0</v>
      </c>
      <c r="F100" s="13" t="n"/>
      <c r="G100" s="13" t="n"/>
      <c r="H100" s="13" t="n"/>
      <c r="I100" s="11" t="n"/>
    </row>
    <row r="101">
      <c r="A101" s="11" t="n">
        <v>97</v>
      </c>
      <c r="B101" s="11" t="inlineStr">
        <is>
          <t>Loteamentos executados e registrados</t>
        </is>
      </c>
      <c r="C101" s="11" t="inlineStr">
        <is>
          <t>43</t>
        </is>
      </c>
      <c r="D101" s="11" t="inlineStr">
        <is>
          <t>Loteamento Valverde IV, localizado na cidade de Veranópolis – RS, num saldo de 00 lotes, ao valor de R$ 100.000,00, cada lote.</t>
        </is>
      </c>
      <c r="E101" s="12" t="n">
        <v>0</v>
      </c>
      <c r="F101" s="13" t="n"/>
      <c r="G101" s="13" t="n"/>
      <c r="H101" s="13" t="n"/>
      <c r="I101" s="11" t="n"/>
    </row>
    <row r="102">
      <c r="A102" s="11" t="n">
        <v>98</v>
      </c>
      <c r="B102" s="11" t="inlineStr">
        <is>
          <t>Loteamentos executados e registrados</t>
        </is>
      </c>
      <c r="C102" s="11" t="inlineStr">
        <is>
          <t>44</t>
        </is>
      </c>
      <c r="D102" s="11" t="inlineStr">
        <is>
          <t>Loteamento Medianeira, localizado na cidade de Veranópolis – RS, num saldo de 00 lotes, ao valor de R$ 100.000,00, cada lote.</t>
        </is>
      </c>
      <c r="E102" s="12" t="n">
        <v>0</v>
      </c>
      <c r="F102" s="13" t="n"/>
      <c r="G102" s="13" t="n"/>
      <c r="H102" s="13" t="n"/>
      <c r="I102" s="11" t="n"/>
    </row>
    <row r="103">
      <c r="A103" s="11" t="n">
        <v>99</v>
      </c>
      <c r="B103" s="11" t="inlineStr">
        <is>
          <t>Loteamentos executados e registrados</t>
        </is>
      </c>
      <c r="C103" s="11" t="inlineStr">
        <is>
          <t>45</t>
        </is>
      </c>
      <c r="D103" s="11" t="inlineStr">
        <is>
          <t>Loteamento Zanetti, localizado na cidade de Carlos Barbosa – RS, num saldo de 00 lotes, ao valor de R$ 100.000,00, cada lote.</t>
        </is>
      </c>
      <c r="E103" s="12" t="n">
        <v>0</v>
      </c>
      <c r="F103" s="13" t="n"/>
      <c r="G103" s="13" t="n"/>
      <c r="H103" s="13" t="n"/>
      <c r="I103" s="11" t="n"/>
    </row>
    <row r="104">
      <c r="A104" s="11" t="n">
        <v>100</v>
      </c>
      <c r="B104" s="11" t="inlineStr">
        <is>
          <t>Loteamentos executados e registrados</t>
        </is>
      </c>
      <c r="C104" s="11" t="inlineStr">
        <is>
          <t>46</t>
        </is>
      </c>
      <c r="D104" s="11" t="inlineStr">
        <is>
          <t>Loteamento Colina do Retiro I, localizado na cidade de Veranópolis – RS, num saldo de 23 lotes, ao valor de R$ VARIÁVEL , cada lote.
02 LOTES – R$ 150.000,00, cada um.
03 LOTES – R$ 120.000,00, cada um.
18 LOTES – R$ 100.000,00, cada um. (Mínimo de R$ 95.000,00 e Máximo de R$ 110.000,00).
– Valor da média considerada dentre os lotes.</t>
        </is>
      </c>
      <c r="E104" s="12" t="n">
        <v>2460000</v>
      </c>
      <c r="F104" s="13" t="n"/>
      <c r="G104" s="13" t="n"/>
      <c r="H104" s="13" t="n"/>
      <c r="I104" s="11" t="n"/>
    </row>
    <row r="105">
      <c r="A105" s="11" t="n">
        <v>101</v>
      </c>
      <c r="B105" s="11" t="inlineStr">
        <is>
          <t>Loteamentos executados e não registrados</t>
        </is>
      </c>
      <c r="C105" s="11" t="inlineStr">
        <is>
          <t>01</t>
        </is>
      </c>
      <c r="D105" s="11" t="inlineStr">
        <is>
          <t>Loteamento Baldasso – Baldasso, localizado na cidade de Carlos Barbosa – RS, num total de 15 lotes, ao valor de R$ 120.000,00, cada lote. Total de 34 lotes – Valor da média considerada dentre os lotes.
(Mínimo de R$ 100.000,00 e Máximo de R$ 140.000,00).
Área total de 27.576,94m². – Falta pavimentação, ETE e Registro.</t>
        </is>
      </c>
      <c r="E105" s="12" t="n">
        <v>1800000</v>
      </c>
      <c r="F105" s="13" t="n"/>
      <c r="G105" s="13" t="n"/>
      <c r="H105" s="13" t="n"/>
      <c r="I105" s="11" t="n"/>
    </row>
    <row r="106">
      <c r="A106" s="11" t="n">
        <v>102</v>
      </c>
      <c r="B106" s="11" t="inlineStr">
        <is>
          <t>Loteamentos executados e não registrados</t>
        </is>
      </c>
      <c r="C106" s="11" t="inlineStr">
        <is>
          <t>02</t>
        </is>
      </c>
      <c r="D106" s="11" t="inlineStr">
        <is>
          <t>Loteamento Monte Vêneto I – Três + Merlo + Bortoncello, localizado na cidade de Cotiporã – RS, num total de aproximadamente 39 lotes, ao valor de R$ 70.000,00, cada lote. Total de 78 lotes – Valor da média considerada dentre os lotes.
Área total de 49.997,05m². – Falta água, pavimentação e Registro.
OBSERVAÇÃO: Se exigida a pavimentação, o valor do lote passa para R$ 100.000,00, cada um.</t>
        </is>
      </c>
      <c r="E106" s="12" t="n">
        <v>2730000</v>
      </c>
      <c r="F106" s="13" t="n"/>
      <c r="G106" s="13" t="n"/>
      <c r="H106" s="13" t="n"/>
      <c r="I106" s="11" t="n"/>
    </row>
    <row r="107">
      <c r="A107" s="11" t="n">
        <v>103</v>
      </c>
      <c r="B107" s="11" t="inlineStr">
        <is>
          <t>Loteamentos executados e não registrados</t>
        </is>
      </c>
      <c r="C107" s="11" t="inlineStr">
        <is>
          <t>03</t>
        </is>
      </c>
      <c r="D107" s="11" t="inlineStr">
        <is>
          <t>Loteamento Monte Vêneto II – Três + Merlo + Bortoncello, localizado na cidade de Cotiporã – RS, num total de aproximadamente 41 lotes, ao valor de R$ 70.000,00, cada lote. Total de 83 lotes – Valor da média considerada dentre os lotes.
Área total de 49.389,03m². – Falta água, pavimentação e Registro.
OBSERVAÇÃO: Se exigida a pavimentação, o valor do lote passa para R$ 100.000,00, cada um.</t>
        </is>
      </c>
      <c r="E107" s="12" t="n">
        <v>2870000</v>
      </c>
      <c r="F107" s="13" t="n"/>
      <c r="G107" s="13" t="n"/>
      <c r="H107" s="13" t="n"/>
      <c r="I107" s="11" t="n"/>
    </row>
    <row r="108">
      <c r="A108" s="11" t="n">
        <v>104</v>
      </c>
      <c r="B108" s="11" t="inlineStr">
        <is>
          <t>Loteamentos executados e não registrados</t>
        </is>
      </c>
      <c r="C108" s="11" t="inlineStr">
        <is>
          <t>04</t>
        </is>
      </c>
      <c r="D108" s="11" t="inlineStr">
        <is>
          <t>Loteamento Carnevalli – Carnevalli, localizado na cidade de Nova Prata – RS, num total de 17 lotes, ao valor de R$ 90.000,00, cada lote – Valor da média considerada dentre os lotes.
Área total de 45.925,17m². – Obras todas OK. Falta o Registro.</t>
        </is>
      </c>
      <c r="E108" s="12" t="n">
        <v>1530000</v>
      </c>
      <c r="F108" s="13" t="n"/>
      <c r="G108" s="13" t="n"/>
      <c r="H108" s="13" t="n"/>
      <c r="I108" s="11" t="n"/>
    </row>
    <row r="109">
      <c r="A109" s="11" t="n">
        <v>105</v>
      </c>
      <c r="B109" s="11" t="inlineStr">
        <is>
          <t>Loteamentos executados e não registrados</t>
        </is>
      </c>
      <c r="C109" s="11" t="inlineStr">
        <is>
          <t>05</t>
        </is>
      </c>
      <c r="D109" s="11" t="inlineStr">
        <is>
          <t>Loteamento Salvador – Alberto Salvador, localizado na cidade de Veranópolis – RS, no Bairro Femaçã, num total de 45 lotes, ao valor de R$ VARIÁVEL, cada lote. Matrícula nº 3.171. Área total de 34.650,00m² = 45 lotes. – Obras todas OK. Falta o Registro. – Valor da média considerada dentre os lotes.
08 LOTES – R$ 200.000,00, cada um.
12 LOTES – R$ 150.000,00, cada um.
16 LOTES – R$ 110.000,00, cada um. (Mínimo de R$ 100.000,00 e Máximo de R$ 200.000,00).
04 LOTES VENDIDOS.
05 LOTES DESTINADOS PARA A ÁREA VERDE.</t>
        </is>
      </c>
      <c r="E109" s="12" t="n">
        <v>5160000</v>
      </c>
      <c r="F109" s="13" t="n"/>
      <c r="G109" s="13" t="n"/>
      <c r="H109" s="13" t="n"/>
      <c r="I109" s="11" t="n"/>
    </row>
    <row r="110">
      <c r="A110" s="11" t="n">
        <v>106</v>
      </c>
      <c r="B110" s="11" t="inlineStr">
        <is>
          <t>Loteamentos executados e não registrados</t>
        </is>
      </c>
      <c r="C110" s="11" t="inlineStr">
        <is>
          <t>06</t>
        </is>
      </c>
      <c r="D110" s="11" t="inlineStr">
        <is>
          <t>Loteamento Colina do Retiro II – Frainer, localizado na cidade de Veranópolis – RS, num total de aproximadamente 100 lotes, ao valor de R$ 90.000,00, cada lote. Total de 210 lotes – Valor da média considerada dentre os lotes.
Área total de 148.478,00m². – Falta 50,00% da pavimentação, licenciamento ambiental, Elevada (caixa da água), aprovação de todos os projetos em todos os órgãos, readequação do Projeto Urbanístico e Registro.</t>
        </is>
      </c>
      <c r="E110" s="12" t="n">
        <v>9000000</v>
      </c>
      <c r="F110" s="13" t="n"/>
      <c r="G110" s="13" t="n"/>
      <c r="H110" s="13" t="n"/>
      <c r="I110" s="11" t="n"/>
    </row>
    <row r="111">
      <c r="A111" s="11" t="n">
        <v>107</v>
      </c>
      <c r="B111" s="11" t="inlineStr">
        <is>
          <t>Loteamentos executados e não registrados</t>
        </is>
      </c>
      <c r="C111" s="11" t="inlineStr">
        <is>
          <t>07</t>
        </is>
      </c>
      <c r="D111" s="11" t="inlineStr">
        <is>
          <t>Loteamento Barbiero – Barbiero, localizado na cidade de Nova Prata – RS, num total de aproximadamente 20 lotes, ao valor de R$ 130.000,00, cada lote – Valor da média considerada dentre os lotes.
Área total de 47.550,52m². – Obras todas OK, com a falta do pagamento de parte da pavimentação, conforme medição final. Falta o Registro.</t>
        </is>
      </c>
      <c r="E111" s="12" t="n">
        <v>2600000</v>
      </c>
      <c r="F111" s="13" t="n"/>
      <c r="G111" s="13" t="n"/>
      <c r="H111" s="13" t="n"/>
      <c r="I111" s="11" t="n"/>
    </row>
    <row r="112">
      <c r="A112" s="11" t="n">
        <v>108</v>
      </c>
      <c r="B112" s="11" t="inlineStr">
        <is>
          <t>Loteamentos em execução e não registrados</t>
        </is>
      </c>
      <c r="C112" s="11" t="inlineStr">
        <is>
          <t>01</t>
        </is>
      </c>
      <c r="D112" s="11" t="inlineStr">
        <is>
          <t>Loteamento Caminhos do Sol – Boff, localizado na cidade de Caxias do Sul – RS, num total de aproximadamente 577 lotes, ao valor de R$ 100.000,00, cada lote.
Área total de 457.425,87m².
SIVIERO: 290 LOTES.
CUSTO TOTAL DA OBRA: R$ 16.500.000,00.
VALOR DA OBRA JÁ REALIZADA: R$ 2.800.000,00.
CUSTO PARA CONCLUSÃO DO LOTEAMENTO: R$ 13.700.000,00.</t>
        </is>
      </c>
      <c r="E112" s="12" t="n">
        <v>2800000</v>
      </c>
      <c r="F112" s="12" t="n">
        <v>29000000</v>
      </c>
      <c r="G112" s="12" t="n">
        <v>13700000</v>
      </c>
      <c r="H112" s="12" t="n">
        <v>15300000</v>
      </c>
      <c r="I112" s="11" t="inlineStr">
        <is>
          <t>Valor considerado = valor da obra já realizada (critério do documento: 'somente o valor investido nas obras realizadas').</t>
        </is>
      </c>
    </row>
    <row r="113">
      <c r="A113" s="11" t="n">
        <v>109</v>
      </c>
      <c r="B113" s="11" t="inlineStr">
        <is>
          <t>Loteamentos em execução e não registrados</t>
        </is>
      </c>
      <c r="C113" s="11" t="inlineStr">
        <is>
          <t>02</t>
        </is>
      </c>
      <c r="D113" s="11" t="inlineStr">
        <is>
          <t>Loteamento Santa Corona III – Paulety, localizado na cidade de Caxias do Sul – RS, num total de aproximadamente 88 lotes, ao valor de R$ 100.000,00, cada lote – Valor da média considerada dentre os lotes.
Área total de 7,7 ha.
SIVIERO: 44 LOTES.
CUSTO TOTAL DA OBRA: R$ 2.850.000,00.
VALOR DA OBRA JÁ REALIZADA: R$ 500.000,00.
CUSTO PARA CONCLUSÃO DO LOTEAMENTO: R$ 2.350.000,00.</t>
        </is>
      </c>
      <c r="E113" s="12" t="n">
        <v>500000</v>
      </c>
      <c r="F113" s="12" t="n">
        <v>4400000</v>
      </c>
      <c r="G113" s="12" t="n">
        <v>2350000</v>
      </c>
      <c r="H113" s="12" t="n">
        <v>2050000</v>
      </c>
      <c r="I113" s="11" t="inlineStr">
        <is>
          <t>Valor considerado = valor da obra já realizada (critério do documento: 'somente o valor investido nas obras realizadas').</t>
        </is>
      </c>
    </row>
    <row r="114">
      <c r="A114" s="11" t="n">
        <v>110</v>
      </c>
      <c r="B114" s="11" t="inlineStr">
        <is>
          <t>Loteamentos em execução e não registrados</t>
        </is>
      </c>
      <c r="C114" s="11" t="inlineStr">
        <is>
          <t>03</t>
        </is>
      </c>
      <c r="D114" s="11" t="inlineStr">
        <is>
          <t>Loteamento Vale das Colinas – Piccoli + Gasparin + Zanrosso, localizado na cidade de Caxias do Sul – RS, num total de aproximadamente 359 lotes, ao valor de R$ 100.000,00, cada lote.
Área total de 364.480,67m².
SIVIERO: 180 LOTES.
CUSTO TOTAL DA OBRA: R$ 9.650.000,00.
VALOR DA OBRA JÁ REALIZADA: R$ 600.000,00.
CUSTO PARA CONCLUSÃO DO LOTEAMENTO: R$ 9.050.000,00.</t>
        </is>
      </c>
      <c r="E114" s="12" t="n">
        <v>600000</v>
      </c>
      <c r="F114" s="12" t="n">
        <v>18000000</v>
      </c>
      <c r="G114" s="12" t="n">
        <v>9050000</v>
      </c>
      <c r="H114" s="12" t="n">
        <v>8950000</v>
      </c>
      <c r="I114" s="11" t="inlineStr">
        <is>
          <t>Valor considerado = valor da obra já realizada (critério do documento: 'somente o valor investido nas obras realizadas').</t>
        </is>
      </c>
    </row>
    <row r="115">
      <c r="A115" s="11" t="n">
        <v>111</v>
      </c>
      <c r="B115" s="11" t="inlineStr">
        <is>
          <t>Loteamentos em execução e não registrados</t>
        </is>
      </c>
      <c r="C115" s="11" t="inlineStr">
        <is>
          <t>04</t>
        </is>
      </c>
      <c r="D115" s="11" t="inlineStr">
        <is>
          <t>Loteamento da Família Falavigha, localizado na cidade de Flores da Cunha – RS, num total de aproximadamente 101 lotes, ao valor de R$ 100.000,00, cada lote.
Área total de 102.741,72m².
SIVIERO: 50 LOTES.
CUSTO TOTAL DA OBRA: R$ 2.550.000,00.
VALOR DA OBRA JÁ REALIZADA: R$ 100.000,00.
CUSTO PARA CONCLUSÃO DO LOTEAMENTO: R$ 2.450.000,00.
OBSERVAÇÃO: Os valores dos lotes, neste Loteamento, terão um valor comercial de venda superior ao estimado, visto a área estar localizada no centro da cidade. Se, o valor comercial for de R$ 300.000,00, cada lote, por exemplo, agregará uma lucratividade de MAIS R$ 10.000.000,00, porque o CUSTO DA EXECUÇÃO DO LOTEAMENTO não sofrerá grandes alterações, ao valor estimado para a execução do mesmo, com as obras de infraestrutura.</t>
        </is>
      </c>
      <c r="E115" s="12" t="n">
        <v>100000</v>
      </c>
      <c r="F115" s="12" t="n">
        <v>5000000</v>
      </c>
      <c r="G115" s="12" t="n">
        <v>2450000</v>
      </c>
      <c r="H115" s="12" t="n">
        <v>2550000</v>
      </c>
      <c r="I115" s="11" t="inlineStr">
        <is>
          <t>Valor considerado = valor da obra já realizada (critério do documento: 'somente o valor investido nas obras realizadas').</t>
        </is>
      </c>
    </row>
    <row r="116">
      <c r="A116" s="11" t="n">
        <v>112</v>
      </c>
      <c r="B116" s="11" t="inlineStr">
        <is>
          <t>Loteamentos em execução e não registrados</t>
        </is>
      </c>
      <c r="C116" s="11" t="inlineStr">
        <is>
          <t>05</t>
        </is>
      </c>
      <c r="D116" s="11" t="inlineStr">
        <is>
          <t>Loteamento da Família Zanella – CONDOMÍNIO FECHADO, localizado na cidade de Passo Fundo – RS, num total de aproximadamente 63 lotes, ao valor de R$ 150.000,00, cada lote.
Área total de 49.998,00m².
SIVIERO: 29 LOTES.
CUSTO TOTAL DA OBRA: R$ 3.150.000,00.
VALOR DA OBRA JÁ REALIZADA: R$ 1.000.000,00.
CUSTO PARA CONCLUSÃO DO LOTEAMENTO: R$ 2.150.000,00</t>
        </is>
      </c>
      <c r="E116" s="12" t="n">
        <v>1000000</v>
      </c>
      <c r="F116" s="12" t="n">
        <v>4350000</v>
      </c>
      <c r="G116" s="12" t="n">
        <v>2150000</v>
      </c>
      <c r="H116" s="12" t="n">
        <v>2200000</v>
      </c>
      <c r="I116" s="11" t="inlineStr">
        <is>
          <t>Valor considerado = valor da obra já realizada (critério do documento: 'somente o valor investido nas obras realizadas').</t>
        </is>
      </c>
    </row>
    <row r="117">
      <c r="A117" s="11" t="n">
        <v>113</v>
      </c>
      <c r="B117" s="11" t="inlineStr">
        <is>
          <t>Loteamentos em execução e não registrados</t>
        </is>
      </c>
      <c r="C117" s="11" t="inlineStr">
        <is>
          <t>06</t>
        </is>
      </c>
      <c r="D117" s="11" t="inlineStr">
        <is>
          <t>Loteamento Caminho das Flores – Palavro, localizado na cidade de Caxias do Sul – RS, num total de aproximadamente 163 lotes, ao valor de R$ 100.000,00, cada lote.
Área total de 176.805,00m².
SIVIERO: 81 LOTES.
CUSTO TOTAL DA OBRA: R$ 5.300.000,00.
VALOR DA OBRA JÁ REALIZADA: R$ 400.000,00.
CUSTO PARA CONCLUSÃO DO LOTEAMENTO: R$ 4.900.000,00</t>
        </is>
      </c>
      <c r="E117" s="12" t="n">
        <v>400000</v>
      </c>
      <c r="F117" s="12" t="n">
        <v>8100000</v>
      </c>
      <c r="G117" s="12" t="n">
        <v>4900000</v>
      </c>
      <c r="H117" s="12" t="n">
        <v>3200000</v>
      </c>
      <c r="I117" s="11" t="inlineStr">
        <is>
          <t>Valor considerado = valor da obra já realizada (critério do documento: 'somente o valor investido nas obras realizadas').</t>
        </is>
      </c>
    </row>
    <row r="118">
      <c r="A118" s="11" t="n">
        <v>114</v>
      </c>
      <c r="B118" s="11" t="inlineStr">
        <is>
          <t>Loteamentos contratados a executar / em licenciamento</t>
        </is>
      </c>
      <c r="C118" s="11" t="inlineStr">
        <is>
          <t>01</t>
        </is>
      </c>
      <c r="D118" s="11" t="inlineStr">
        <is>
          <t>Loteamento Bella Visione – Truccolo, localizado na cidade de Nova Prata – RS, num total de aproximadamente ...... lotes, ao valor de R$ 100.000,00, cada lote.
Área total de 123.960,00m².</t>
        </is>
      </c>
      <c r="E118" s="12" t="n">
        <v>50000</v>
      </c>
      <c r="F118" s="13" t="n"/>
      <c r="G118" s="13" t="n"/>
      <c r="H118" s="13" t="n"/>
      <c r="I118" s="11" t="n"/>
    </row>
    <row r="119">
      <c r="A119" s="11" t="n">
        <v>115</v>
      </c>
      <c r="B119" s="11" t="inlineStr">
        <is>
          <t>Loteamentos contratados a executar / em licenciamento</t>
        </is>
      </c>
      <c r="C119" s="11" t="inlineStr">
        <is>
          <t>02</t>
        </is>
      </c>
      <c r="D119" s="11" t="inlineStr">
        <is>
          <t>Loteamento Pedra Lisa II – Ansolin, localizado na cidade de Veranópolis – RS, num total de aproximadamente ...... lotes, ao valor de R$ 100.000,00, cada lote.
Neste Loteamento, a empresa Siviero Empreendimentos Imobiliários Ltda. tem adquirido 6,0 hectares de terras.
Área total de 200.246,25m².
Área de 2,00 ha não fará parte do Loteamento, pois pertence ao Senhor Antônio Ansolin.</t>
        </is>
      </c>
      <c r="E119" s="12" t="n">
        <v>50000</v>
      </c>
      <c r="F119" s="13" t="n"/>
      <c r="G119" s="13" t="n"/>
      <c r="H119" s="13" t="n"/>
      <c r="I119" s="11" t="n"/>
    </row>
    <row r="120">
      <c r="A120" s="11" t="n">
        <v>116</v>
      </c>
      <c r="B120" s="11" t="inlineStr">
        <is>
          <t>Loteamentos contratados a executar / em licenciamento</t>
        </is>
      </c>
      <c r="C120" s="11" t="inlineStr">
        <is>
          <t>03</t>
        </is>
      </c>
      <c r="D120" s="11" t="inlineStr">
        <is>
          <t>Loteamento Champagnat I – Maristas, localizado na cidade de Veranópolis – RS, num total de aproximadamente ...... lotes, ao valor de R$ 100.000,00, cada lote.
Área total de 43.653,09m².</t>
        </is>
      </c>
      <c r="E120" s="12" t="n">
        <v>50000</v>
      </c>
      <c r="F120" s="13" t="n"/>
      <c r="G120" s="13" t="n"/>
      <c r="H120" s="13" t="n"/>
      <c r="I120" s="11" t="n"/>
    </row>
    <row r="121">
      <c r="A121" s="11" t="n">
        <v>117</v>
      </c>
      <c r="B121" s="11" t="inlineStr">
        <is>
          <t>Loteamentos contratados a executar / em licenciamento</t>
        </is>
      </c>
      <c r="C121" s="11" t="inlineStr">
        <is>
          <t>04</t>
        </is>
      </c>
      <c r="D121" s="11" t="inlineStr">
        <is>
          <t>Loteamento Champagnat II – Maristas, localizado na cidade de Veranópolis – RS, num total de aproximadamente ...... lotes, ao valor de R$ 100.000,00, cada lote.
Área total de 48.225,64m².</t>
        </is>
      </c>
      <c r="E121" s="12" t="n">
        <v>50000</v>
      </c>
      <c r="F121" s="13" t="n"/>
      <c r="G121" s="13" t="n"/>
      <c r="H121" s="13" t="n"/>
      <c r="I121" s="11" t="n"/>
    </row>
    <row r="122">
      <c r="A122" s="11" t="n">
        <v>118</v>
      </c>
      <c r="B122" s="11" t="inlineStr">
        <is>
          <t>Loteamentos contratados a executar / em licenciamento</t>
        </is>
      </c>
      <c r="C122" s="11" t="inlineStr">
        <is>
          <t>05</t>
        </is>
      </c>
      <c r="D122" s="11" t="inlineStr">
        <is>
          <t>Loteamento E. R. Amantino – Elias Ruas Amantino, localizado na cidade de Veranópolis – RS, num total de aproximadamente ...... lotes, ao valor de R$ 100.000,00, cada lote.
Área total de 147.396,00m².</t>
        </is>
      </c>
      <c r="E122" s="12" t="n">
        <v>50000</v>
      </c>
      <c r="F122" s="13" t="n"/>
      <c r="G122" s="13" t="n"/>
      <c r="H122" s="13" t="n"/>
      <c r="I122" s="11" t="n"/>
    </row>
    <row r="123">
      <c r="A123" s="11" t="n">
        <v>119</v>
      </c>
      <c r="B123" s="11" t="inlineStr">
        <is>
          <t>Loteamentos contratados a executar / em licenciamento</t>
        </is>
      </c>
      <c r="C123" s="11" t="inlineStr">
        <is>
          <t>06</t>
        </is>
      </c>
      <c r="D123" s="11" t="inlineStr">
        <is>
          <t>Loteamento Longevidade – Giaretta, localizado na cidade de Veranópolis – RS, num total de aproximadamente ...... lotes, ao valor de R$ 100.000,00, cada lote.
Área total de 87.538,27m².</t>
        </is>
      </c>
      <c r="E123" s="12" t="n">
        <v>50000</v>
      </c>
      <c r="F123" s="13" t="n"/>
      <c r="G123" s="13" t="n"/>
      <c r="H123" s="13" t="n"/>
      <c r="I123" s="11" t="n"/>
    </row>
    <row r="124">
      <c r="A124" s="11" t="n">
        <v>120</v>
      </c>
      <c r="B124" s="11" t="inlineStr">
        <is>
          <t>Loteamentos contratados a executar / em licenciamento</t>
        </is>
      </c>
      <c r="C124" s="11" t="inlineStr">
        <is>
          <t>07</t>
        </is>
      </c>
      <c r="D124" s="11" t="inlineStr">
        <is>
          <t>Loteamento Andreis, localizado na cidade de Caxias do Sul – RS, num total de aproximadamente ...... lotes, ao valor de R$ 100.000,00, cada lote.
 Área total de 38.000,00m².</t>
        </is>
      </c>
      <c r="E124" s="12" t="n">
        <v>50000</v>
      </c>
      <c r="F124" s="13" t="n"/>
      <c r="G124" s="13" t="n"/>
      <c r="H124" s="13" t="n"/>
      <c r="I124" s="11" t="n"/>
    </row>
    <row r="125">
      <c r="A125" s="11" t="n">
        <v>121</v>
      </c>
      <c r="B125" s="11" t="inlineStr">
        <is>
          <t>Loteamentos contratados a executar / em licenciamento</t>
        </is>
      </c>
      <c r="C125" s="11" t="inlineStr">
        <is>
          <t>08</t>
        </is>
      </c>
      <c r="D125" s="11" t="inlineStr">
        <is>
          <t>Loteamento Cecconello, localizado na cidade de Caxias do Sul – RS, num total de aproximadamente ...... lotes, ao valor de R$ 100.000,00, cada lote.
Área total de 130.446,00m².
Neste Loteamento, a empresa Siviero Empreendimentos Imobiliários Ltda. tem adquirido 2,0 hectares de terras.</t>
        </is>
      </c>
      <c r="E125" s="12" t="n">
        <v>50000</v>
      </c>
      <c r="F125" s="13" t="n"/>
      <c r="G125" s="13" t="n"/>
      <c r="H125" s="13" t="n"/>
      <c r="I125" s="11" t="n"/>
    </row>
    <row r="126">
      <c r="A126" s="11" t="n">
        <v>122</v>
      </c>
      <c r="B126" s="11" t="inlineStr">
        <is>
          <t>Loteamentos contratados a executar / em licenciamento</t>
        </is>
      </c>
      <c r="C126" s="11" t="inlineStr">
        <is>
          <t>09</t>
        </is>
      </c>
      <c r="D126" s="11" t="inlineStr">
        <is>
          <t>Loteamento Alto das Graças II – Bellini, localizado na cidade de Caxias do Sul – RS, num total de aproximadamente ...... lotes, ao valor de R$ 100.000,00, cada lote.
Área total de 34.685,20m².</t>
        </is>
      </c>
      <c r="E126" s="12" t="n">
        <v>50000</v>
      </c>
      <c r="F126" s="13" t="n"/>
      <c r="G126" s="13" t="n"/>
      <c r="H126" s="13" t="n"/>
      <c r="I126" s="11" t="n"/>
    </row>
    <row r="127">
      <c r="A127" s="11" t="n">
        <v>123</v>
      </c>
      <c r="B127" s="11" t="inlineStr">
        <is>
          <t>Loteamentos contratados a executar / em licenciamento</t>
        </is>
      </c>
      <c r="C127" s="11" t="inlineStr">
        <is>
          <t>10</t>
        </is>
      </c>
      <c r="D127" s="11" t="inlineStr">
        <is>
          <t>Loteamento Camazzolla, localizado na cidade de Caxias do Sul – RS, num total de aproximadamente ...... lotes, ao valor de R$ 100.000,00, cada lote. 
Área total de 381.043,79m².</t>
        </is>
      </c>
      <c r="E127" s="12" t="n">
        <v>50000</v>
      </c>
      <c r="F127" s="13" t="n"/>
      <c r="G127" s="13" t="n"/>
      <c r="H127" s="13" t="n"/>
      <c r="I127" s="11" t="n"/>
    </row>
    <row r="128">
      <c r="A128" s="11" t="n">
        <v>124</v>
      </c>
      <c r="B128" s="11" t="inlineStr">
        <is>
          <t>Loteamentos contratados a executar / em licenciamento</t>
        </is>
      </c>
      <c r="C128" s="11" t="inlineStr">
        <is>
          <t>11</t>
        </is>
      </c>
      <c r="D128" s="11" t="inlineStr">
        <is>
          <t>Loteamento Vista da Colina = Zanandréa + Fioreze, localizado na cidade de Caxias do Sul – RS, num total de aproximadamente ...... lotes, ao valor de R$ 100.000,00, cada lote.
Área total de 214.216,69m².</t>
        </is>
      </c>
      <c r="E128" s="12" t="n">
        <v>50000</v>
      </c>
      <c r="F128" s="13" t="n"/>
      <c r="G128" s="13" t="n"/>
      <c r="H128" s="13" t="n"/>
      <c r="I128" s="11" t="n"/>
    </row>
    <row r="129">
      <c r="A129" s="11" t="n">
        <v>125</v>
      </c>
      <c r="B129" s="11" t="inlineStr">
        <is>
          <t>Loteamentos contratados a executar / em licenciamento</t>
        </is>
      </c>
      <c r="C129" s="11" t="inlineStr">
        <is>
          <t>12</t>
        </is>
      </c>
      <c r="D129" s="11" t="inlineStr">
        <is>
          <t>Loteamento da Família Menegol, localizado na cidade de Caxias do Sul– RS, num total de aproximadamente ...... lotes, ao valor de R$ 100.000,00, cada lote.
Área total de 199.166,50m².
FEITO EM DISTRATO EM NOVEMBRO DE 2016.</t>
        </is>
      </c>
      <c r="E129" s="12" t="n">
        <v>50000</v>
      </c>
      <c r="F129" s="13" t="n"/>
      <c r="G129" s="13" t="n"/>
      <c r="H129" s="13" t="n"/>
      <c r="I129" s="11" t="n"/>
    </row>
    <row r="130">
      <c r="A130" s="11" t="n">
        <v>126</v>
      </c>
      <c r="B130" s="11" t="inlineStr">
        <is>
          <t>Loteamentos contratados a executar / em licenciamento</t>
        </is>
      </c>
      <c r="C130" s="11" t="inlineStr">
        <is>
          <t>13</t>
        </is>
      </c>
      <c r="D130" s="11" t="inlineStr">
        <is>
          <t>Loteamento das Famílias: Girardi + Matioda + Wiltgen, localizado na cidade de Caxias do Sul– RS, num total de aproximadamente ...... lotes, ao valor de R$ 100.000,00, cada lote.
Área total de 270.222,82m².</t>
        </is>
      </c>
      <c r="E130" s="12" t="n">
        <v>50000</v>
      </c>
      <c r="F130" s="13" t="n"/>
      <c r="G130" s="13" t="n"/>
      <c r="H130" s="13" t="n"/>
      <c r="I130" s="11" t="n"/>
    </row>
    <row r="131">
      <c r="A131" s="11" t="n">
        <v>127</v>
      </c>
      <c r="B131" s="11" t="inlineStr">
        <is>
          <t>Loteamentos contratados a executar / em licenciamento</t>
        </is>
      </c>
      <c r="C131" s="11" t="inlineStr">
        <is>
          <t>14</t>
        </is>
      </c>
      <c r="D131" s="11" t="inlineStr">
        <is>
          <t>Loteamento das Famílias: Pedrotti + Lorandi, localizado na cidade de Caxias do Sul – RS, num total de aproximadamente ...... lotes, ao valor de R$ 100.000,00, cada lote.
Área total de 216.831,72m².</t>
        </is>
      </c>
      <c r="E131" s="12" t="n">
        <v>50000</v>
      </c>
      <c r="F131" s="13" t="n"/>
      <c r="G131" s="13" t="n"/>
      <c r="H131" s="13" t="n"/>
      <c r="I131" s="11" t="n"/>
    </row>
    <row r="132">
      <c r="A132" s="11" t="n">
        <v>128</v>
      </c>
      <c r="B132" s="11" t="inlineStr">
        <is>
          <t>Loteamentos contratados a executar / em licenciamento</t>
        </is>
      </c>
      <c r="C132" s="11" t="inlineStr">
        <is>
          <t>15</t>
        </is>
      </c>
      <c r="D132" s="11" t="inlineStr">
        <is>
          <t>Loteamento Centenário II - Floresta, localizado na cidade de Farroupilha – RS, num total de aproximadamente ...... lotes, ao valor de R$ 100.000,00, cada lote.
Área total de 174.203,91m².</t>
        </is>
      </c>
      <c r="E132" s="12" t="n">
        <v>50000</v>
      </c>
      <c r="F132" s="13" t="n"/>
      <c r="G132" s="13" t="n"/>
      <c r="H132" s="13" t="n"/>
      <c r="I132" s="11" t="n"/>
    </row>
    <row r="133">
      <c r="A133" s="11" t="n">
        <v>129</v>
      </c>
      <c r="B133" s="11" t="inlineStr">
        <is>
          <t>Loteamentos contratados a executar / em licenciamento</t>
        </is>
      </c>
      <c r="C133" s="11" t="inlineStr">
        <is>
          <t>16</t>
        </is>
      </c>
      <c r="D133" s="11" t="inlineStr">
        <is>
          <t>Loteamento Industrial Dr. Letti, localizado na cidade de Farroupilha – RS, num total de aproximadamente ...... lotes, ao valor de R$ 100.000,00, cada lote.
Área total de 62.162,22m².</t>
        </is>
      </c>
      <c r="E133" s="12" t="n">
        <v>50000</v>
      </c>
      <c r="F133" s="13" t="n"/>
      <c r="G133" s="13" t="n"/>
      <c r="H133" s="13" t="n"/>
      <c r="I133" s="11" t="n"/>
    </row>
    <row r="134">
      <c r="A134" s="11" t="n">
        <v>130</v>
      </c>
      <c r="B134" s="11" t="inlineStr">
        <is>
          <t>Loteamentos contratados a executar / em licenciamento</t>
        </is>
      </c>
      <c r="C134" s="11" t="inlineStr">
        <is>
          <t>17</t>
        </is>
      </c>
      <c r="D134" s="11" t="inlineStr">
        <is>
          <t>Loteamento das Famílias: Acordi + Buzzetti, localizado na cidade de Farroupilha – RS, num total de aproximadamente ...... lotes, ao valor de R$ 100.000,00, cada lote.
Área total de 296.800,00m².</t>
        </is>
      </c>
      <c r="E134" s="12" t="n">
        <v>50000</v>
      </c>
      <c r="F134" s="13" t="n"/>
      <c r="G134" s="13" t="n"/>
      <c r="H134" s="13" t="n"/>
      <c r="I134" s="11" t="n"/>
    </row>
    <row r="135">
      <c r="A135" s="11" t="n">
        <v>131</v>
      </c>
      <c r="B135" s="11" t="inlineStr">
        <is>
          <t>Loteamentos contratados a executar / em licenciamento</t>
        </is>
      </c>
      <c r="C135" s="11" t="inlineStr">
        <is>
          <t>18</t>
        </is>
      </c>
      <c r="D135" s="11" t="inlineStr">
        <is>
          <t>Loteamento da Família Casagrande, localizado na cidade de Passo Fundo – RS, num total de aproximadamente ...... lotes, ao valor de R$ 100.000,00, cada lote.
Área total de 163.339,98m².</t>
        </is>
      </c>
      <c r="E135" s="12" t="n">
        <v>50000</v>
      </c>
      <c r="F135" s="13" t="n"/>
      <c r="G135" s="13" t="n"/>
      <c r="H135" s="13" t="n"/>
      <c r="I135" s="11" t="n"/>
    </row>
    <row r="136">
      <c r="A136" s="11" t="n">
        <v>132</v>
      </c>
      <c r="B136" s="11" t="inlineStr">
        <is>
          <t>Loteamentos contratados a executar / em licenciamento</t>
        </is>
      </c>
      <c r="C136" s="11" t="inlineStr">
        <is>
          <t>19</t>
        </is>
      </c>
      <c r="D136" s="11" t="inlineStr">
        <is>
          <t>Loteamento Zanella II, localizado na cidade de Passo Fundo – RS, num total de aproximadamente ...... lotes, ao valor de R$ 100.000,00, cada lote.
Área total de 46.049,61m².</t>
        </is>
      </c>
      <c r="E136" s="12" t="n">
        <v>50000</v>
      </c>
      <c r="F136" s="13" t="n"/>
      <c r="G136" s="13" t="n"/>
      <c r="H136" s="13" t="n"/>
      <c r="I136" s="11" t="n"/>
    </row>
    <row r="137">
      <c r="A137" s="11" t="n">
        <v>133</v>
      </c>
      <c r="B137" s="11" t="inlineStr">
        <is>
          <t>Loteamentos contratados a executar / em licenciamento</t>
        </is>
      </c>
      <c r="C137" s="11" t="inlineStr">
        <is>
          <t>20</t>
        </is>
      </c>
      <c r="D137" s="11" t="inlineStr">
        <is>
          <t>Loteamento Bonetto, localizado na cidade de Farroupilha – RS, num total de aproximadamente ...... lotes, ao valor de R$ 100.000,00, cada lote.
Área total de 48.400,00m².</t>
        </is>
      </c>
      <c r="E137" s="12" t="n">
        <v>50000</v>
      </c>
      <c r="F137" s="13" t="n"/>
      <c r="G137" s="13" t="n"/>
      <c r="H137" s="13" t="n"/>
      <c r="I137" s="11" t="n"/>
    </row>
    <row r="138">
      <c r="A138" s="11" t="n">
        <v>134</v>
      </c>
      <c r="B138" s="11" t="inlineStr">
        <is>
          <t>Loteamentos contratados a executar / em licenciamento</t>
        </is>
      </c>
      <c r="C138" s="11" t="inlineStr">
        <is>
          <t>21</t>
        </is>
      </c>
      <c r="D138" s="11" t="inlineStr">
        <is>
          <t>Loteamento Pasqual, localizado na cidade de Farroupilha – RS, num total de aproximadamente ...... lotes, ao valor de R$ 100.000,00, cada lote.
Área total de 85.005,88m².</t>
        </is>
      </c>
      <c r="E138" s="12" t="n">
        <v>50000</v>
      </c>
      <c r="F138" s="13" t="n"/>
      <c r="G138" s="13" t="n"/>
      <c r="H138" s="13" t="n"/>
      <c r="I138" s="11" t="n"/>
    </row>
    <row r="139">
      <c r="A139" s="11" t="n">
        <v>135</v>
      </c>
      <c r="B139" s="11" t="inlineStr">
        <is>
          <t>Loteamentos contratados a executar / em licenciamento</t>
        </is>
      </c>
      <c r="C139" s="11" t="inlineStr">
        <is>
          <t>22</t>
        </is>
      </c>
      <c r="D139" s="11" t="inlineStr">
        <is>
          <t>Loteamento Sol Nascente III, localizado na cidade de Antônio Prado – RS, num total de aproximadamente ...... lotes, ao valor de R$ 100.000,00, cada lote.
Área de 91.790,14m².
Área de 59.052,18m².
Área total de 150.842,32m².</t>
        </is>
      </c>
      <c r="E139" s="12" t="n">
        <v>50000</v>
      </c>
      <c r="F139" s="13" t="n"/>
      <c r="G139" s="13" t="n"/>
      <c r="H139" s="13" t="n"/>
      <c r="I139" s="11" t="n"/>
    </row>
    <row r="140">
      <c r="A140" s="11" t="n">
        <v>136</v>
      </c>
      <c r="B140" s="11" t="inlineStr">
        <is>
          <t>Loteamentos contratados a executar / em licenciamento</t>
        </is>
      </c>
      <c r="C140" s="11" t="inlineStr">
        <is>
          <t>23</t>
        </is>
      </c>
      <c r="D140" s="11" t="inlineStr">
        <is>
          <t>Loteamento Valtuir Rizzo, localizado na cidade de Caxias do Sul – RS, num total de aproximadamente ...... lotes, ao valor de R$ 100.000,00, cada lote.
Área total de 160.000,00m².</t>
        </is>
      </c>
      <c r="E140" s="12" t="n">
        <v>50000</v>
      </c>
      <c r="F140" s="13" t="n"/>
      <c r="G140" s="13" t="n"/>
      <c r="H140" s="13" t="n"/>
      <c r="I140" s="11" t="n"/>
    </row>
    <row r="141">
      <c r="A141" s="11" t="n">
        <v>137</v>
      </c>
      <c r="B141" s="11" t="inlineStr">
        <is>
          <t>Loteamentos contratados a executar / em licenciamento</t>
        </is>
      </c>
      <c r="C141" s="11" t="inlineStr">
        <is>
          <t>24</t>
        </is>
      </c>
      <c r="D141" s="11" t="inlineStr">
        <is>
          <t>Loteamento das Famílias: Mário Cavion + Zattera + Bertin, localizado na cidade de Caxias do Sul – RS, num total de aproximadamente ...... lotes, ao valor de R$ 100.000,00, cada lote.
Área total de 193.600,00m².</t>
        </is>
      </c>
      <c r="E141" s="12" t="n">
        <v>50000</v>
      </c>
      <c r="F141" s="13" t="n"/>
      <c r="G141" s="13" t="n"/>
      <c r="H141" s="13" t="n"/>
      <c r="I141" s="11" t="n"/>
    </row>
    <row r="142">
      <c r="A142" s="11" t="n">
        <v>138</v>
      </c>
      <c r="B142" s="11" t="inlineStr">
        <is>
          <t>Loteamentos contratados a executar / em licenciamento</t>
        </is>
      </c>
      <c r="C142" s="11" t="inlineStr">
        <is>
          <t>25</t>
        </is>
      </c>
      <c r="D142" s="11" t="inlineStr">
        <is>
          <t>Loteamento Gregoletto, localizado na cidade de Caxias do Sul – RS, num total de aproximadamente ...... lotes, ao valor de R$ 100.000,00, cada lote.
Área total de 100.000,00m².</t>
        </is>
      </c>
      <c r="E142" s="12" t="n">
        <v>50000</v>
      </c>
      <c r="F142" s="13" t="n"/>
      <c r="G142" s="13" t="n"/>
      <c r="H142" s="13" t="n"/>
      <c r="I142" s="11" t="n"/>
    </row>
  </sheetData>
  <autoFilter ref="A4:I1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9" customWidth="1" min="1" max="1"/>
    <col width="100" customWidth="1" min="2" max="2"/>
    <col width="22" customWidth="1" min="3" max="3"/>
    <col width="18" customWidth="1" min="4" max="4"/>
    <col width="40" customWidth="1" min="5" max="5"/>
  </cols>
  <sheetData>
    <row r="1">
      <c r="A1" s="1" t="inlineStr">
        <is>
          <t>Bens da Siviero Empreendimentos relacionados nos inventários de outras empresas</t>
        </is>
      </c>
    </row>
    <row r="2">
      <c r="A2" s="2" t="inlineStr">
        <is>
          <t>Fonte: 18. 1. SIVIERO EMPREENDIMENTOS IMOBILIÁRIOS LTDA. = I N V E N T Á R I O = E M P R E S A   D A   S I V I E R O   -   Dezembro de 2018.docx (data-base 31.12.2018). Valores em azul transcritos do documento; totais em preto são fórmulas.</t>
        </is>
      </c>
    </row>
    <row r="4">
      <c r="A4" s="10" t="inlineStr">
        <is>
          <t>Item no doc.</t>
        </is>
      </c>
      <c r="B4" s="10" t="inlineStr">
        <is>
          <t>Descrição</t>
        </is>
      </c>
      <c r="C4" s="10" t="inlineStr">
        <is>
          <t>Relacionado no inventário da empresa</t>
        </is>
      </c>
      <c r="D4" s="10" t="inlineStr">
        <is>
          <t>Valor (R$)</t>
        </is>
      </c>
      <c r="E4" s="10" t="inlineStr">
        <is>
          <t>Observação</t>
        </is>
      </c>
    </row>
    <row r="5">
      <c r="A5" s="11" t="inlineStr">
        <is>
          <t>06</t>
        </is>
      </c>
      <c r="B5" s="11" t="inlineStr">
        <is>
          <t>Um terreno – lote urbano, localizado na Rodovia BR 470, ao lado da Abastecedora de Combustíveis Siviero Ltda., devidamente registrado no Ofício de Registro de Imóveis da Comarca de Veranópolis, sob Matrícula nº 3.751, com área de 7.200,00m², onde está instalada a ANTENA de TRANSMISSÃO da RÁDIO, ao valor de mercado considerado sua localização e referência comercial = R$ 992,78, ao metro quadrado.</t>
        </is>
      </c>
      <c r="C5" s="11" t="inlineStr">
        <is>
          <t>RÁDIO</t>
        </is>
      </c>
      <c r="D5" s="12" t="n">
        <v>7148016</v>
      </c>
      <c r="E5" s="11" t="n"/>
    </row>
    <row r="6">
      <c r="A6" s="11" t="inlineStr">
        <is>
          <t>06</t>
        </is>
      </c>
      <c r="B6" s="11" t="inlineStr">
        <is>
          <t>Um terreno urbano, com a área de 4.986,00m², localizado na Rodovia BR 470, Km 175,4, no Bairro São Pelegrino, devidamente registrado no Ofício de Registro de Imóveis da Comarca de Veranópolis, sob Matrícula nº 3.754, localizado na lateral da Abastecedora de Combustíveis Siviero Ltda., onde estava instalada a SERRARIA, considerado o valor de R$ 992,78, ao metro quadrado, conforme sua localização e referência comercial.</t>
        </is>
      </c>
      <c r="C6" s="11" t="inlineStr">
        <is>
          <t>OFICINA</t>
        </is>
      </c>
      <c r="D6" s="12" t="n">
        <v>4950000</v>
      </c>
      <c r="E6" s="11" t="n"/>
    </row>
    <row r="7">
      <c r="A7" s="11" t="inlineStr">
        <is>
          <t>07</t>
        </is>
      </c>
      <c r="B7" s="11" t="inlineStr">
        <is>
          <t>Um terreno urbano, com a área de 1.942,03m², localizado na Rodovia BR 470, Km 175,4, no Bairro Valverde, devidamente registrado no Ofício de Registro de Imóveis da Comarca de Veranópolis, sob a Matrícula nº 17.409, localizado ao lado da empresa Oleoplan S/A, considerado o valor de R$ 2.000,00, ao metro quadrado, conforme sua localização e referência comercial = R$ 3.884.060,00.
Um terreno urbano, com a área de 2.850,00m², localizado na Rodovia BR 470, Km 175,4, no Bairro Valverde, devidamente registrado no Ofício de Registro de Imóveis da Comarca de Veranópolis, sob a Matrícula nº 6.136, localizado ao lado da empresa Oleoplan S/A, considerado o valor de R$ 2.000,00, ao metro quadrado, conforme sua localização e referência comercial = R$ 5.700.000,00.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t>
        </is>
      </c>
      <c r="C7" s="11" t="inlineStr">
        <is>
          <t>OFICINA</t>
        </is>
      </c>
      <c r="D7" s="12" t="n">
        <v>13631378.6</v>
      </c>
      <c r="E7" s="11" t="n"/>
    </row>
    <row r="8">
      <c r="A8" s="11" t="inlineStr">
        <is>
          <t>02</t>
        </is>
      </c>
      <c r="B8" s="11" t="inlineStr">
        <is>
          <t>Uma área de terras rurais, denominada de PARTE DO LOTE RURAL Nº 24 e 24/E, com área total de 10,2 hectares, localizada na Linha Júlio de Castilhos, no Município de Cotiporã – RS, adquirida do Senhor CELITO PIEROZAN, área esta registrada sob Matrículas nº.: 2.424 e 2.425.
Matrículas nº 2.424 e 2.425 = 10,2 hectares X R$ 40.000,00
Cadastrada no CCIR – Receita Federal sob nº 2.481.949-2
Vendido em 2018, a área total para o Senhor ANGELI, pelo valor de R$ 510.000,00 (Quinhentos e dez mil reais), de forma, À VISTA.</t>
        </is>
      </c>
      <c r="C8" s="11" t="inlineStr">
        <is>
          <t>AGROPECUÁRIA</t>
        </is>
      </c>
      <c r="D8" s="12" t="n">
        <v>408000</v>
      </c>
      <c r="E8" s="11" t="n"/>
    </row>
    <row r="9">
      <c r="A9" s="11" t="inlineStr">
        <is>
          <t>03</t>
        </is>
      </c>
      <c r="B9" s="11" t="inlineStr">
        <is>
          <t>Uma área de terras rurais, denominada de PARTE DO LOTE RURAL Nº 12, com área total de 13,0 hectares + 7,5 hectares, localizada na Linha Júlio de Castilhos, no Município de Veranópolis – RS, adquirida da FAMÍLIA SANGALI, área esta registrada sob Matrícula nº.: 3.062.
Matrícula nº 3.062 = 20,5 hectares X 11.000,00
Cadastrada no CCIR – Receita Federal sob nº 2.481.950-6</t>
        </is>
      </c>
      <c r="C9" s="11" t="inlineStr">
        <is>
          <t>AGROPECUÁRIA</t>
        </is>
      </c>
      <c r="D9" s="12" t="n">
        <v>225500</v>
      </c>
      <c r="E9" s="11" t="n"/>
    </row>
    <row r="10">
      <c r="A10" s="11" t="inlineStr">
        <is>
          <t>04</t>
        </is>
      </c>
      <c r="B10" s="11" t="inlineStr">
        <is>
          <t>Uma área de terras rurais, denominada de PARTE DO LOTE RURAL Nº 89, com área total de 27,8 hectares, localizada na Linha Barão do Triunfo, no Município de Fagundes Varela – RS, adquirida do Senhor SÉRGIO BALDISSERA, área esta registrada sob Matrícula nº.: 8.486.
Matrícula nº 8.486 = 27,8 hectares X R$ 9.000,00
Cadastrada no CCIR – Receita Federal sob nº 2.481.951-4</t>
        </is>
      </c>
      <c r="C10" s="11" t="inlineStr">
        <is>
          <t>AGROPECUÁRIA</t>
        </is>
      </c>
      <c r="D10" s="12" t="n">
        <v>250200</v>
      </c>
      <c r="E10" s="11" t="n"/>
    </row>
    <row r="11">
      <c r="A11" s="11" t="inlineStr">
        <is>
          <t>05</t>
        </is>
      </c>
      <c r="B11" s="11" t="inlineStr">
        <is>
          <t>Uma área de terras rurais, denominada de LOTE Nº 33, com área total de 15,1 hectares, localizada no Município de Cotiporã – RS, na Linha Júlio de Castilhos, adquirida do Senhor ARMELINDO CALZA, área esta registrada sob Matrícula nº.: 1.218. Matrícula nº 1.218 = 15,1 hectares X R$ 5.000,00</t>
        </is>
      </c>
      <c r="C11" s="11" t="inlineStr">
        <is>
          <t>AGROPECUÁRIA</t>
        </is>
      </c>
      <c r="D11" s="12" t="n">
        <v>75500</v>
      </c>
      <c r="E11" s="11" t="n"/>
    </row>
    <row r="12">
      <c r="A12" s="11" t="inlineStr">
        <is>
          <t>06</t>
        </is>
      </c>
      <c r="B12" s="11" t="inlineStr">
        <is>
          <t>Uma área de terras rurais, denominada de PARTE DO LOTE RURAL Nº 52, com área total de 15,1 hectares, localizada na Linha Júlio de Castilhos, no Município de Cotiporã – RS, adquirida da Senhora GLORIA E GERALDO BASSANI, área esta registrada sob Matrícula nº.: 7.391 - Matrícula nº 7.391 = 15,1 hectares X R$ 15.000,00
Cadastrada no CCIR – Receita Federal sob nº 2.481.952-2</t>
        </is>
      </c>
      <c r="C12" s="11" t="inlineStr">
        <is>
          <t>AGROPECUÁRIA</t>
        </is>
      </c>
      <c r="D12" s="12" t="n">
        <v>226500</v>
      </c>
      <c r="E12" s="11" t="n"/>
    </row>
    <row r="13">
      <c r="A13" s="11" t="inlineStr">
        <is>
          <t>04</t>
        </is>
      </c>
      <c r="B13" s="11" t="inlineStr">
        <is>
          <t>Um terreno rural, com a área de 9,4 hectares, localizado na Rua Luiz Siviero, no Bairro Femaçã, devidamente registrado no Ofício de Registro de Imóveis da Comarca de Veranópolis, sob Matrículas nº 1.941 e 7.104, conhecido como SEDE CAMPESTRE, composta por pavilhão, piscinas, casa, campos de futebol, lagos e alicerces para construção de cabanas.
Cadastrada no CCIR – Receita Federal sob nº 2.481.947-6.
Valor da área de terras = 9,4ha X R$ 300.000,00 ao hectare = R$ 2.820.000,00.
Valor do Pavilhão Construído – obra civil = 01 andar = 891,00m² de área construída: 891,00m² x R$ 746,00 = R$ 664.686,00 (considerado o valor ao metro quadrado da construção – CUB/AGOSTO DE 2017 e o valor da área conforme sua localização comercial).
Valor da casa de alvenaria localizada nos fundos da Sede Campestre = ...............m² de área construída: R$ 150.000,00.
Valor da obra feita e infraestrutura = 30,00% (Trinta por cento) da obra feita: R$ 244.405,80 (considerado o valor agregado à coisa feita, como tal se encontra).</t>
        </is>
      </c>
      <c r="C13" s="11" t="inlineStr">
        <is>
          <t>HOTEL</t>
        </is>
      </c>
      <c r="D13" s="12" t="n">
        <v>3879091.8</v>
      </c>
      <c r="E13" s="11" t="n"/>
    </row>
  </sheetData>
  <autoFilter ref="A4:E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9" customWidth="1" min="1" max="1"/>
    <col width="90" customWidth="1" min="2" max="2"/>
    <col width="16" customWidth="1" min="3" max="3"/>
    <col width="30" customWidth="1" min="4" max="4"/>
    <col width="18" customWidth="1" min="5" max="5"/>
    <col width="45" customWidth="1" min="6" max="6"/>
  </cols>
  <sheetData>
    <row r="1">
      <c r="A1" s="1" t="inlineStr">
        <is>
          <t>Processos judiciais e administrativos</t>
        </is>
      </c>
    </row>
    <row r="2">
      <c r="A2" s="2" t="inlineStr">
        <is>
          <t>Fonte: 18. 1. SIVIERO EMPREENDIMENTOS IMOBILIÁRIOS LTDA. = I N V E N T Á R I O = E M P R E S A   D A   S I V I E R O   -   Dezembro de 2018.docx (data-base 31.12.2018). Valores em azul transcritos do documento; totais em preto são fórmulas.</t>
        </is>
      </c>
    </row>
    <row r="4">
      <c r="A4" s="10" t="inlineStr">
        <is>
          <t>Item no doc.</t>
        </is>
      </c>
      <c r="B4" s="10" t="inlineStr">
        <is>
          <t>Descrição</t>
        </is>
      </c>
      <c r="C4" s="10" t="inlineStr">
        <is>
          <t>Comarca</t>
        </is>
      </c>
      <c r="D4" s="10" t="inlineStr">
        <is>
          <t>Nº do processo</t>
        </is>
      </c>
      <c r="E4" s="10" t="inlineStr">
        <is>
          <t>Valor da causa (R$)</t>
        </is>
      </c>
      <c r="F4" s="10" t="inlineStr">
        <is>
          <t>Observação</t>
        </is>
      </c>
    </row>
    <row r="5">
      <c r="A5" s="11" t="inlineStr">
        <is>
          <t>01</t>
        </is>
      </c>
      <c r="B5" s="11" t="inlineStr">
        <is>
          <t>Processo Judicial dos Sócios da empresa Mecânica Serafina Ltda. X Domingos Gregianin – Divisão de Bens - A empresa Siviero Empreendimentos Imobiliários Ltda. está envolvida faz-se a Dação em Pagamento e a execução das obras do Loteamento.
Valor da causa: R$ 377.605,00
+ 20,00% de Honorários Advocatícios
+ 10,00% de Custas de Fórum</t>
        </is>
      </c>
      <c r="C5" s="11" t="inlineStr">
        <is>
          <t>Guaporé</t>
        </is>
      </c>
      <c r="D5" s="11" t="inlineStr">
        <is>
          <t>053/1.10.0002419-0</t>
        </is>
      </c>
      <c r="E5" s="12" t="n">
        <v>377605</v>
      </c>
      <c r="F5" s="11" t="n"/>
    </row>
    <row r="6">
      <c r="A6" s="11" t="inlineStr">
        <is>
          <t>02</t>
        </is>
      </c>
      <c r="B6" s="11" t="inlineStr">
        <is>
          <t>Processo Judicial do Município de Nova Prata contra a empresa Siviero Empreendimentos Imobiliários Ltda. para cobrança do IPTU do Loteamento Carnevalli – lotes. 
Valor da causa: R$ 52.818,30+correção de 05 anos = +/- R$ 200.000,00
+ 20,00% de Honorários Advocatícios
+ 10,00% de Custas de Fórum</t>
        </is>
      </c>
      <c r="C6" s="11" t="inlineStr">
        <is>
          <t>Nova Prata</t>
        </is>
      </c>
      <c r="D6" s="11" t="inlineStr">
        <is>
          <t>058/1.11.0002580-7</t>
        </is>
      </c>
      <c r="E6" s="12" t="n">
        <v>200000</v>
      </c>
      <c r="F6" s="11" t="inlineStr">
        <is>
          <t>Valor da causa R$ 52.818,30 + correção de 5 anos; usado o valor estimado de R$ 200.000,00.</t>
        </is>
      </c>
    </row>
    <row r="7">
      <c r="A7" s="11" t="inlineStr">
        <is>
          <t>03</t>
        </is>
      </c>
      <c r="B7" s="11" t="inlineStr">
        <is>
          <t>Processo Judicial do Senhor Angelo Devanir Coitinho Lopes e Luciane Santos de Barros contra a empresa Siviero Empreendimentos Imobiliários Ltda., visto a demora da entrega da Escritura do lote no Loteamento Colina do Basalto. Existe a Família Bolzan envolvida, faz-se o terreno ser do Bolzan, conforme Termo de Divisão. 
Valor da causa: R$ 40.000,00
+ 20,00% de Honorários Advocatícios
+ 10,00% de Custas de Fórum</t>
        </is>
      </c>
      <c r="C7" s="11" t="inlineStr">
        <is>
          <t>Nova Prata</t>
        </is>
      </c>
      <c r="D7" s="11" t="inlineStr">
        <is>
          <t>058/1.12.0000489-5</t>
        </is>
      </c>
      <c r="E7" s="12" t="n">
        <v>40000</v>
      </c>
      <c r="F7" s="11" t="n"/>
    </row>
    <row r="8">
      <c r="A8" s="11" t="inlineStr">
        <is>
          <t>04</t>
        </is>
      </c>
      <c r="B8" s="11" t="inlineStr">
        <is>
          <t>Processo Judicial do Município de Nova Prata contra a empresa Siviero Empreendimentos Imobiliários Ltda. para cobrança do IPTU do Loteamento Carnevalli – área total. Ação de Execução Fiscal. 
Valor da causa: R$ 1.264,97
+ 20,00% de Honorários Advocatícios
+ 10,00% de Custas de Fórum</t>
        </is>
      </c>
      <c r="C8" s="11" t="inlineStr">
        <is>
          <t>Nova Prata</t>
        </is>
      </c>
      <c r="D8" s="11" t="inlineStr">
        <is>
          <t>058/1.13.0002950-4</t>
        </is>
      </c>
      <c r="E8" s="12" t="n">
        <v>1264.97</v>
      </c>
      <c r="F8" s="11" t="n"/>
    </row>
    <row r="9">
      <c r="A9" s="11" t="inlineStr">
        <is>
          <t>05</t>
        </is>
      </c>
      <c r="B9" s="11" t="inlineStr">
        <is>
          <t>Processo Judicial da Senhora Neuza Maria Astofoli contra a empresa Siviero Empreendimentos Imobiliários Ltda. com relação à concordância de uma divisa no Loteamento Nossa Senhora da Saúde. A empresa concordou com a confrontação apresentada, não apresentando contestação.
Valor da causa: R$ 1.404,50
+ 20,00% de Honorários Advocatícios
+ 10,00% de Custas de Fórum</t>
        </is>
      </c>
      <c r="C9" s="11" t="inlineStr">
        <is>
          <t>Guaporé</t>
        </is>
      </c>
      <c r="D9" s="11" t="inlineStr">
        <is>
          <t>053/1.14.0003260-2</t>
        </is>
      </c>
      <c r="E9" s="12" t="n">
        <v>1404.5</v>
      </c>
      <c r="F9" s="11" t="n"/>
    </row>
    <row r="10">
      <c r="A10" s="11" t="inlineStr">
        <is>
          <t>06</t>
        </is>
      </c>
      <c r="B10" s="11" t="inlineStr">
        <is>
          <t>Processo Judicial da Senhora Josiane Marafiga Fragosso e Aguiler Viana de Rosa contra a empresa Siviero Empreendimentos Imobiliários Ltda. com relação ao acidente do Senhor Válter Siviero, em Bom Jesus, em Janeiro de 2015. A empresa está arrolada, visto o carro estar em nome da empresa Siviero.
Valor da causa: R$ 8.380,00
+ 20,00% de Honorários Advocatícios
+ 10,00% de Custas de Fórum</t>
        </is>
      </c>
      <c r="C10" s="11" t="inlineStr">
        <is>
          <t>Vacaria</t>
        </is>
      </c>
      <c r="D10" s="11" t="inlineStr">
        <is>
          <t>083/1.16.0000373-4</t>
        </is>
      </c>
      <c r="E10" s="12" t="n">
        <v>8380</v>
      </c>
      <c r="F10" s="11" t="n"/>
    </row>
    <row r="11">
      <c r="A11" s="11" t="inlineStr">
        <is>
          <t>07</t>
        </is>
      </c>
      <c r="B11" s="11" t="inlineStr">
        <is>
          <t>Processo Judicial do Senhor Reinaldo Degregori e Adriane Luisa Tisott Degregori contra a empresa Siviero Empreendimentos Imobiliários Ltda. – vizinhos do Loteamento Altos das Graças I – Caxias do Sul,
Valor da causa: R$ 31.271,00
+ 20,00% de Honorários Advocatícios
+ 10,00% de Custas de Fórum</t>
        </is>
      </c>
      <c r="C11" s="11" t="inlineStr">
        <is>
          <t>Farroupilha</t>
        </is>
      </c>
      <c r="D11" s="11" t="inlineStr">
        <is>
          <t>010/1.16.0022816-0</t>
        </is>
      </c>
      <c r="E11" s="12" t="n">
        <v>31271</v>
      </c>
      <c r="F11" s="11" t="n"/>
    </row>
    <row r="12">
      <c r="A12" s="11" t="inlineStr">
        <is>
          <t>08</t>
        </is>
      </c>
      <c r="B12" s="11" t="inlineStr">
        <is>
          <t>Processo Judicial do Ministério Público contra a empresa Siviero – Ação Civil Pública – Ivanor Carlos Dalzóchio e Siviero Empreendimentos Imobiliários Ltda. – Fonte da Água.
Valor da causa: R$ 935,50
+ 20,00% de Honorários Advocatícios
+ 10,00% de Custas de Fórum</t>
        </is>
      </c>
      <c r="C12" s="11" t="inlineStr">
        <is>
          <t>Farroupilha</t>
        </is>
      </c>
      <c r="D12" s="11" t="inlineStr">
        <is>
          <t>048/1.08.0001924-5</t>
        </is>
      </c>
      <c r="E12" s="12" t="n">
        <v>935.5</v>
      </c>
      <c r="F12" s="11" t="n"/>
    </row>
    <row r="13">
      <c r="A13" s="11" t="inlineStr">
        <is>
          <t>09</t>
        </is>
      </c>
      <c r="B13" s="11" t="inlineStr">
        <is>
          <t>Processo Judicial do Senhor Severino Silvestrin e Cluadina Thereza Silvestrin contra a empresa Siviero Empreendimentos Imobiliários Ltda., referente à divisão de um lote no Loteamento Primavera, mas que na época foi acertado pela legalização de 02 quadras por Processo de Usucapião.
Valor da causa: R$ 210.000,00
+ 20,00% de Honorários Advocatícios
+ 10,00% de Custas de Fórum
Promovido acordo em 2018, com 01 lote + parte em espécie.
Total do acordo: R$ 177.000,00
01 lote no Loteamento Altos da Julieta: Lote 09 – Quadra 1729
R$ 79.000,00 – lote.
R$ 98.000,00 – em 08 parcelas.</t>
        </is>
      </c>
      <c r="C13" s="11" t="inlineStr">
        <is>
          <t>Farroupilha</t>
        </is>
      </c>
      <c r="D13" s="11" t="inlineStr">
        <is>
          <t>048/1.15.0002471-3</t>
        </is>
      </c>
      <c r="E13" s="12" t="n">
        <v>210000</v>
      </c>
      <c r="F13" s="11" t="n"/>
    </row>
    <row r="14">
      <c r="A14" s="11" t="inlineStr">
        <is>
          <t>10</t>
        </is>
      </c>
      <c r="B14" s="11" t="inlineStr">
        <is>
          <t>Processo Judicial do Ministério Público contra a empresa Siviero Empreendimentos Imobiliários Ltda. – Ação Civil Pública – Área de APP – lotes no Loteamento Lago Negro = 07 lotes em área de APP, que deverão ser preservados (Prejuízo de aproximadamente R$ 1.750.000,00) – Deverão ser permutados pelo mesmo número de lotes no Loteamento.
Valor da causa: R$ 8.635,00
+ 20,00% de Honorários Advocatícios
+ 10,00% de Custas de Fórum</t>
        </is>
      </c>
      <c r="C14" s="11" t="inlineStr">
        <is>
          <t>Gramado</t>
        </is>
      </c>
      <c r="D14" s="11" t="inlineStr">
        <is>
          <t>101/1.16.0002642-2</t>
        </is>
      </c>
      <c r="E14" s="12" t="n">
        <v>8635</v>
      </c>
      <c r="F14" s="11" t="n"/>
    </row>
    <row r="15">
      <c r="A15" s="11" t="inlineStr">
        <is>
          <t>11</t>
        </is>
      </c>
      <c r="B15" s="11" t="inlineStr">
        <is>
          <t>Processo Judicial do Senhor Edoardo Soave e Janete Basso Soave contra a empresa Siviero Empreendimentos Imobiliários Ltda., tendo em vista a demora da entrega das Matrículas do Loteamento Jardim Itália – Farroupilha. Rede da água da CORSAN.
Valor da causa: R$ 66.000,00
+ 20,00% de Honorários Advocatícios
+ 10,00% de Custas de Fórum</t>
        </is>
      </c>
      <c r="C15" s="11" t="inlineStr">
        <is>
          <t>Farroupilha</t>
        </is>
      </c>
      <c r="D15" s="11" t="inlineStr">
        <is>
          <t>048/1.16.0002799-4</t>
        </is>
      </c>
      <c r="E15" s="12" t="n">
        <v>66000</v>
      </c>
      <c r="F15" s="11" t="n"/>
    </row>
    <row r="16">
      <c r="A16" s="11" t="inlineStr">
        <is>
          <t>12</t>
        </is>
      </c>
      <c r="B16" s="11" t="inlineStr">
        <is>
          <t>Processo Judicial do Senhor Guilherme Darcy Scholz e Santa Aristina Nair Scholz contra a empresa Siviero Empreendimentos Imobiliários Ltda. Processo de Usucapião de um lote em Carlos Barbosa.
Valor da causa: R$ 8.652,50
+ 20,00% de Honorários Advocatícios
+ 10,00% de Custas de Fórum</t>
        </is>
      </c>
      <c r="C16" s="11" t="inlineStr">
        <is>
          <t>Carlos Barbosa</t>
        </is>
      </c>
      <c r="D16" s="11" t="inlineStr">
        <is>
          <t>144/1.17.0000438-3</t>
        </is>
      </c>
      <c r="E16" s="12" t="n">
        <v>8652.5</v>
      </c>
      <c r="F16" s="11" t="n"/>
    </row>
    <row r="17">
      <c r="A17" s="11" t="inlineStr">
        <is>
          <t>13</t>
        </is>
      </c>
      <c r="B17" s="11" t="inlineStr">
        <is>
          <t>Processo Judicial da Família Farina contra a empresa Siviero Empreendimentos Imobiliários Ltda., tendo em vista a demora da entrega das Matrículas do Loteamento Industrial Vicentino. O atraso é de aproximadamente 30 dias.
Valor da causa: R$ 1.013.580,55 = TOTAL, sendo: R$ 600.000,00 – Indenização + R$ 400.000,00 – Honorários advocatícios (mas haverá redução nos honorários em aproximadamente 1/4 = 12 lotes.
+ 20,00% de Honorários Advocatícios
+ 10,00% de Custas de Fórum</t>
        </is>
      </c>
      <c r="C17" s="11" t="inlineStr">
        <is>
          <t>Farroupilha</t>
        </is>
      </c>
      <c r="D17" s="11" t="inlineStr">
        <is>
          <t>005/1.10.0002938-3</t>
        </is>
      </c>
      <c r="E17" s="12" t="n">
        <v>1013580.55</v>
      </c>
      <c r="F17" s="11" t="n"/>
    </row>
    <row r="18">
      <c r="A18" s="11" t="inlineStr">
        <is>
          <t>14</t>
        </is>
      </c>
      <c r="B18" s="11" t="inlineStr">
        <is>
          <t>Processo Judicial do Senhor Rogério Rodrigues da Rosa contra a empresa Siviero Empreendimentos Imobiliários Ltda. Processo de Indenização pela rescisão de um contrato em Carlos Barbosa.
Valor da causa: R$ 332.150,34
+ 20,00% de Honorários Advocatícios
+ 10,00% de Custas de Fórum
PROCESSO JÁ SENTENCIADO E DADO DECISÃO EM FAVOR DA EMPRESA SIVIERO EMPREENDIMENTOS IMOBILIÁRIOS LTDA.</t>
        </is>
      </c>
      <c r="C18" s="11" t="inlineStr">
        <is>
          <t>Carlos Barbosa</t>
        </is>
      </c>
      <c r="D18" s="11" t="inlineStr">
        <is>
          <t>144/1.17.0000451-0</t>
        </is>
      </c>
      <c r="E18" s="12" t="n">
        <v>332150.34</v>
      </c>
      <c r="F18" s="11" t="n"/>
    </row>
    <row r="19">
      <c r="A19" s="11" t="inlineStr">
        <is>
          <t>15</t>
        </is>
      </c>
      <c r="B19" s="11" t="inlineStr">
        <is>
          <t>Processo Judicial referente ao surgimento de nascentes em 02 (dois) lotes localizados no Loteamento Lago Negro e os compradores dos mesmos pleiteiam a indenização dos lotes, por ser considerada áreas de APP. Adriana Wasen é a autora da Ação Judicial.
Valor da causa: R$ 285.000,00
+ 20,00% de Honorários Advocatícios
+ 10,00% de Custas de Fórum
Promovido acordo em 2018, com a troca de 01 (um) lote dentro do mesmo Loteamento, de forma pura e simples.</t>
        </is>
      </c>
      <c r="C19" s="11" t="inlineStr">
        <is>
          <t>Gramado</t>
        </is>
      </c>
      <c r="D19" s="11" t="inlineStr">
        <is>
          <t>101/1.15.0003484-9</t>
        </is>
      </c>
      <c r="E19" s="12" t="n">
        <v>285000</v>
      </c>
      <c r="F19" s="11" t="n"/>
    </row>
    <row r="20">
      <c r="A20" s="11" t="inlineStr">
        <is>
          <t>16</t>
        </is>
      </c>
      <c r="B20" s="11" t="inlineStr">
        <is>
          <t>Processo Judicial do Ministério Público contra a empresa Siviero – Ação Civil Pública – Danos ambientais na área de terras da Família Acordi, de Farroupilha.
Valor da causa: R$ 1.499.492,79
+ 20,00% de Honorários Advocatícios
+ 10,00% de Custas de Fórum</t>
        </is>
      </c>
      <c r="C20" s="11" t="inlineStr">
        <is>
          <t>Farroupilha</t>
        </is>
      </c>
      <c r="D20" s="11" t="inlineStr">
        <is>
          <t>Inquérito Civil 00.771.00015/2018</t>
        </is>
      </c>
      <c r="E20" s="12" t="n">
        <v>1499492.79</v>
      </c>
      <c r="F20" s="11" t="n"/>
    </row>
    <row r="21">
      <c r="A21" s="11" t="inlineStr">
        <is>
          <t>17</t>
        </is>
      </c>
      <c r="B21" s="11" t="inlineStr">
        <is>
          <t>Processo Administrativo da Prefeitura Municipal de Farroupilha – SEMMA, contra a empresa Siviero – Danos ambientais na área de terras da Família Acordi, de Farroupilha.
Valor da causa: R$ 1.069.049,00
+ 20,00% de Honorários Advocatícios
+ 10,00% de Custas de Fórum</t>
        </is>
      </c>
      <c r="C21" s="11" t="inlineStr">
        <is>
          <t>Farroupilha</t>
        </is>
      </c>
      <c r="D21" s="11" t="inlineStr">
        <is>
          <t>Processo Administrativo nº 1198/2018 Auto de Infração nº 003/2018</t>
        </is>
      </c>
      <c r="E21" s="12" t="n">
        <v>1069049</v>
      </c>
      <c r="F21" s="11" t="n"/>
    </row>
    <row r="22">
      <c r="A22" s="11" t="inlineStr">
        <is>
          <t>18</t>
        </is>
      </c>
      <c r="B22" s="11" t="inlineStr">
        <is>
          <t>Processo Judicial do Senhor Jose Luis Acorsi contra a empresa Siviero Empreendimentos Imobiliários Ltda. Processo de Usucapião de um lote em Nova Prata.
Valor da causa: R$ 8.795,00
+ 20,00% de Honorários Advocatícios
+ 10,00% de Custas de Fórum</t>
        </is>
      </c>
      <c r="C22" s="11" t="inlineStr">
        <is>
          <t>Nova Prata</t>
        </is>
      </c>
      <c r="D22" s="11" t="inlineStr">
        <is>
          <t>058/1.18.0000138-2</t>
        </is>
      </c>
      <c r="E22" s="12" t="n">
        <v>8795</v>
      </c>
      <c r="F22" s="11" t="n"/>
    </row>
    <row r="23">
      <c r="A23" s="11" t="inlineStr">
        <is>
          <t>19</t>
        </is>
      </c>
      <c r="B23" s="11" t="inlineStr">
        <is>
          <t>Processo Judicial do Senhor Valdemar Egidio Nalin contra a empresa Siviero Empreendimentos Imobiliários Ltda. Processo de Usucapião de um lote em Nova Prata.
Valor da causa: R$ 25.000,00
+ 20,00% de Honorários Advocatícios
+ 10,00% de Custas de Fórum</t>
        </is>
      </c>
      <c r="C23" s="11" t="inlineStr">
        <is>
          <t>Nova Prata</t>
        </is>
      </c>
      <c r="D23" s="11" t="inlineStr">
        <is>
          <t>058/1.18.0000911-1</t>
        </is>
      </c>
      <c r="E23" s="12" t="n">
        <v>25000</v>
      </c>
      <c r="F23" s="11" t="n"/>
    </row>
    <row r="24">
      <c r="A24" s="11" t="inlineStr"/>
      <c r="B24" s="14" t="inlineStr">
        <is>
          <t>Soma dos valores da causa (calculada)</t>
        </is>
      </c>
      <c r="C24" s="11" t="inlineStr"/>
      <c r="D24" s="11" t="inlineStr"/>
      <c r="E24" s="13">
        <f>SUM(E5:E23)</f>
        <v/>
      </c>
      <c r="F24" s="11" t="n"/>
    </row>
    <row r="25">
      <c r="A25" s="11" t="inlineStr"/>
      <c r="B25" s="14" t="inlineStr">
        <is>
          <t>Valor total das ações declarado no documento</t>
        </is>
      </c>
      <c r="C25" s="11" t="inlineStr"/>
      <c r="D25" s="11" t="inlineStr"/>
      <c r="E25" s="12" t="n">
        <v>6278430.81</v>
      </c>
      <c r="F25" s="11" t="n"/>
    </row>
    <row r="26">
      <c r="A26" s="11" t="inlineStr"/>
      <c r="B26" s="14" t="inlineStr">
        <is>
          <t>Dif. (calculada - documento)</t>
        </is>
      </c>
      <c r="C26" s="11" t="inlineStr"/>
      <c r="D26" s="11" t="inlineStr"/>
      <c r="E26" s="13">
        <f>E24-E25</f>
        <v/>
      </c>
      <c r="F26" s="11" t="inlineStr">
        <is>
          <t>O documento não detalha como chegou a este total.</t>
        </is>
      </c>
    </row>
    <row r="27">
      <c r="A27" s="11" t="inlineStr"/>
      <c r="B27" s="14" t="inlineStr">
        <is>
          <t>+ 20% honorários + 10% custas (no documento)</t>
        </is>
      </c>
      <c r="C27" s="11" t="inlineStr"/>
      <c r="D27" s="11" t="inlineStr"/>
      <c r="E27" s="12" t="n">
        <v>1883529.24</v>
      </c>
      <c r="F27" s="11" t="n"/>
    </row>
    <row r="28">
      <c r="A28" s="11" t="inlineStr"/>
      <c r="B28" s="14" t="inlineStr">
        <is>
          <t>Total no documento (usado no Resumo)</t>
        </is>
      </c>
      <c r="C28" s="11" t="inlineStr"/>
      <c r="D28" s="11" t="inlineStr"/>
      <c r="E28" s="12" t="n">
        <v>8161960.05</v>
      </c>
      <c r="F28" s="11" t="n"/>
    </row>
  </sheetData>
  <autoFilter ref="A4:F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9" customWidth="1" min="1" max="1"/>
    <col width="90" customWidth="1" min="2" max="2"/>
    <col width="18" customWidth="1" min="3" max="3"/>
    <col width="14" customWidth="1" min="4" max="4"/>
    <col width="18" customWidth="1" min="5" max="5"/>
    <col width="40" customWidth="1" min="6" max="6"/>
  </cols>
  <sheetData>
    <row r="1">
      <c r="A1" s="1" t="inlineStr">
        <is>
          <t>Credores e compromissos (posição em janeiro de 2019)</t>
        </is>
      </c>
    </row>
    <row r="2">
      <c r="A2" s="2" t="inlineStr">
        <is>
          <t>Fonte: 18. 1. SIVIERO EMPREENDIMENTOS IMOBILIÁRIOS LTDA. = I N V E N T Á R I O = E M P R E S A   D A   S I V I E R O   -   Dezembro de 2018.docx (data-base 31.12.2018). Valores em azul transcritos do documento; totais em preto são fórmulas.</t>
        </is>
      </c>
    </row>
    <row r="4">
      <c r="A4" s="10" t="inlineStr">
        <is>
          <t>Item no doc.</t>
        </is>
      </c>
      <c r="B4" s="10" t="inlineStr">
        <is>
          <t>Descrição</t>
        </is>
      </c>
      <c r="C4" s="10" t="inlineStr">
        <is>
          <t>Valor no doc. (R$)</t>
        </is>
      </c>
      <c r="D4" s="10" t="inlineStr">
        <is>
          <t>Situação</t>
        </is>
      </c>
      <c r="E4" s="10" t="inlineStr">
        <is>
          <t>Saldo em aberto (R$)</t>
        </is>
      </c>
      <c r="F4" s="10" t="inlineStr">
        <is>
          <t>Texto original do valor</t>
        </is>
      </c>
    </row>
    <row r="5">
      <c r="A5" s="11" t="inlineStr">
        <is>
          <t>01</t>
        </is>
      </c>
      <c r="B5" s="11" t="inlineStr">
        <is>
          <t>Aquisição da Escavadeira Hidráulica e equipamentos em DEZEMBRO de 2014, pelo valor total de R$ 576.640,07 (Valor da máquina e equipamentos = R$ 510.000,00), com início do pagamento em setembro de 2015 e término em fevereiro de 2020 = 54 parcelas.</t>
        </is>
      </c>
      <c r="C5" s="12" t="n">
        <v>120000</v>
      </c>
      <c r="D5" s="11" t="inlineStr">
        <is>
          <t>Em aberto</t>
        </is>
      </c>
      <c r="E5" s="12" t="n">
        <v>120000</v>
      </c>
      <c r="F5" s="11" t="inlineStr">
        <is>
          <t>12 parcelas de +/_ R$ 10.000,00 = R$ 120.000,00</t>
        </is>
      </c>
    </row>
    <row r="6">
      <c r="A6" s="11" t="inlineStr">
        <is>
          <t>02</t>
        </is>
      </c>
      <c r="B6" s="11" t="inlineStr">
        <is>
          <t>Aquisição de UM VEÍCULO CAMINHÃO CAÇAMBA, marca-modelo VW/31 280 CRM 6X4, combustível DIESEL, ano 2013, modelo 2013, cor BRANCA, placa IUV 8309, cujo valor total da compra e venda é de R$ 230.000,00, de cujo valor já foi pago R$ 100.000,00, restando ainda R$ 130.995,39, que serão pagos em 34 parcelas correspondentes as de nº 025 a 058, conforme planilha de financiamento – FINAME – apresentada pela empresa VENDEDORA - DALFOVO, com vencimento da primeira parcela no dia 15 de janeiro de 2016 e a última no dia 15 de outubro de 2018.</t>
        </is>
      </c>
      <c r="C6" s="13" t="n"/>
      <c r="D6" s="11" t="inlineStr">
        <is>
          <t>Pago</t>
        </is>
      </c>
      <c r="E6" s="12" t="n">
        <v>0</v>
      </c>
      <c r="F6" s="11" t="inlineStr">
        <is>
          <t>R$ PAGO</t>
        </is>
      </c>
    </row>
    <row r="7">
      <c r="A7" s="11" t="inlineStr">
        <is>
          <t>03</t>
        </is>
      </c>
      <c r="B7" s="11" t="inlineStr">
        <is>
          <t>Adélia Frizon Siviero – Valor emprestado para a empresa Siviero a juros de 1,50%, ao mês.</t>
        </is>
      </c>
      <c r="C7" s="12" t="n">
        <v>90000</v>
      </c>
      <c r="D7" s="11" t="inlineStr">
        <is>
          <t>Pago</t>
        </is>
      </c>
      <c r="E7" s="12" t="n">
        <v>0</v>
      </c>
      <c r="F7" s="11" t="inlineStr">
        <is>
          <t>R$ 90.000,00 - PAGO</t>
        </is>
      </c>
    </row>
    <row r="8">
      <c r="A8" s="11" t="inlineStr">
        <is>
          <t>04</t>
        </is>
      </c>
      <c r="B8" s="11" t="inlineStr">
        <is>
          <t>Adélia Frizon Siviero – Valor emprestado para a empresa Siviero a juros de 1,50%, ao mês.</t>
        </is>
      </c>
      <c r="C8" s="12" t="n">
        <v>50000</v>
      </c>
      <c r="D8" s="11" t="inlineStr">
        <is>
          <t>Pago parcial</t>
        </is>
      </c>
      <c r="E8" s="12" t="n">
        <v>20000</v>
      </c>
      <c r="F8" s="11" t="inlineStr">
        <is>
          <t>R$ 50.000,00 - PAGO FALTA: R$ 20.000,00</t>
        </is>
      </c>
    </row>
    <row r="9">
      <c r="A9" s="11" t="inlineStr">
        <is>
          <t>05</t>
        </is>
      </c>
      <c r="B9" s="11" t="inlineStr">
        <is>
          <t>André Luiz Siviero – Valor emprestado para a empresa Siviero a juros de 1,30%, ao mês.</t>
        </is>
      </c>
      <c r="C9" s="12" t="n">
        <v>100000</v>
      </c>
      <c r="D9" s="11" t="inlineStr">
        <is>
          <t>Em aberto</t>
        </is>
      </c>
      <c r="E9" s="12" t="n">
        <v>100000</v>
      </c>
      <c r="F9" s="11" t="inlineStr">
        <is>
          <t>R$ 100.000,00</t>
        </is>
      </c>
    </row>
    <row r="10">
      <c r="A10" s="11" t="inlineStr">
        <is>
          <t>06</t>
        </is>
      </c>
      <c r="B10" s="11" t="inlineStr">
        <is>
          <t>Aldir José Marini – Valor emprestado para a empresa Siviero a juros de 1,25%, ao mês.</t>
        </is>
      </c>
      <c r="C10" s="12" t="n">
        <v>140000</v>
      </c>
      <c r="D10" s="11" t="inlineStr">
        <is>
          <t>Em aberto</t>
        </is>
      </c>
      <c r="E10" s="12" t="n">
        <v>140000</v>
      </c>
      <c r="F10" s="11" t="inlineStr">
        <is>
          <t>R$ 140.000,00</t>
        </is>
      </c>
    </row>
    <row r="11">
      <c r="A11" s="11" t="inlineStr">
        <is>
          <t>07</t>
        </is>
      </c>
      <c r="B11" s="11" t="inlineStr">
        <is>
          <t>Celito Antônio Pierozan – Valor emprestado para a empresa Siviero a juros de 1,50%, ao mês.</t>
        </is>
      </c>
      <c r="C11" s="12" t="n">
        <v>150000</v>
      </c>
      <c r="D11" s="11" t="inlineStr">
        <is>
          <t>Em aberto</t>
        </is>
      </c>
      <c r="E11" s="12" t="n">
        <v>150000</v>
      </c>
      <c r="F11" s="11" t="inlineStr">
        <is>
          <t>R$ 150.000,00</t>
        </is>
      </c>
    </row>
    <row r="12">
      <c r="A12" s="11" t="inlineStr">
        <is>
          <t>08</t>
        </is>
      </c>
      <c r="B12" s="11" t="inlineStr">
        <is>
          <t>Irineu Siviero – Valor emprestado para a empresa Siviero a juros de 1,30%, ao mês.</t>
        </is>
      </c>
      <c r="C12" s="12" t="n">
        <v>50000</v>
      </c>
      <c r="D12" s="11" t="inlineStr">
        <is>
          <t>Em aberto</t>
        </is>
      </c>
      <c r="E12" s="12" t="n">
        <v>50000</v>
      </c>
      <c r="F12" s="11" t="inlineStr">
        <is>
          <t>R$ 50.000,00</t>
        </is>
      </c>
    </row>
    <row r="13">
      <c r="A13" s="11" t="inlineStr">
        <is>
          <t>09</t>
        </is>
      </c>
      <c r="B13" s="11" t="inlineStr">
        <is>
          <t>Irineu Siviero – Valor emprestado para a empresa Siviero a juros de 1,30%, ao mês.</t>
        </is>
      </c>
      <c r="C13" s="12" t="n">
        <v>50000</v>
      </c>
      <c r="D13" s="11" t="inlineStr">
        <is>
          <t>Em aberto</t>
        </is>
      </c>
      <c r="E13" s="12" t="n">
        <v>50000</v>
      </c>
      <c r="F13" s="11" t="inlineStr">
        <is>
          <t>R$ 50.000,00</t>
        </is>
      </c>
    </row>
    <row r="14">
      <c r="A14" s="11" t="inlineStr">
        <is>
          <t>10</t>
        </is>
      </c>
      <c r="B14" s="11" t="inlineStr">
        <is>
          <t>Irineu Siviero – Valor emprestado para a empresa Siviero a juros de 1.30%, ao mês.
NÃO SÃO PAGOS OS JUROS E SOMADOS CUMULATIVAMENTE.</t>
        </is>
      </c>
      <c r="C14" s="12" t="n">
        <v>800000</v>
      </c>
      <c r="D14" s="11" t="inlineStr">
        <is>
          <t>Em aberto</t>
        </is>
      </c>
      <c r="E14" s="12" t="n">
        <v>800000</v>
      </c>
      <c r="F14" s="11" t="inlineStr">
        <is>
          <t>R$ 800.000,00</t>
        </is>
      </c>
    </row>
    <row r="15">
      <c r="A15" s="11" t="inlineStr">
        <is>
          <t>11</t>
        </is>
      </c>
      <c r="B15" s="11" t="inlineStr">
        <is>
          <t>Luis Carlos Mercali – Valor emprestado para a empresa Siviero a juros de 1,30%, ao mês.</t>
        </is>
      </c>
      <c r="C15" s="12" t="n">
        <v>160000</v>
      </c>
      <c r="D15" s="11" t="inlineStr">
        <is>
          <t>Em aberto</t>
        </is>
      </c>
      <c r="E15" s="12" t="n">
        <v>160000</v>
      </c>
      <c r="F15" s="11" t="inlineStr">
        <is>
          <t>R$ 160.000,00</t>
        </is>
      </c>
    </row>
    <row r="16">
      <c r="A16" s="11" t="inlineStr">
        <is>
          <t>12</t>
        </is>
      </c>
      <c r="B16" s="11" t="inlineStr">
        <is>
          <t>Olivio Criveletto – Valor emprestado para a empresa Siviero a juros de 1,50%, ao mês.</t>
        </is>
      </c>
      <c r="C16" s="12" t="n">
        <v>34000</v>
      </c>
      <c r="D16" s="11" t="inlineStr">
        <is>
          <t>Em aberto</t>
        </is>
      </c>
      <c r="E16" s="12" t="n">
        <v>34000</v>
      </c>
      <c r="F16" s="11" t="inlineStr">
        <is>
          <t>R$ 34.000,00</t>
        </is>
      </c>
    </row>
    <row r="17">
      <c r="A17" s="11" t="inlineStr">
        <is>
          <t>13</t>
        </is>
      </c>
      <c r="B17" s="11" t="inlineStr">
        <is>
          <t>Pedro Siviero – Valor emprestado para a empresa Siviero a juros de 1,30%, ao mês.</t>
        </is>
      </c>
      <c r="C17" s="12" t="n">
        <v>50000</v>
      </c>
      <c r="D17" s="11" t="inlineStr">
        <is>
          <t>Em aberto</t>
        </is>
      </c>
      <c r="E17" s="12" t="n">
        <v>50000</v>
      </c>
      <c r="F17" s="11" t="inlineStr">
        <is>
          <t>R$ 50.000,00</t>
        </is>
      </c>
    </row>
    <row r="18">
      <c r="A18" s="11" t="inlineStr">
        <is>
          <t>14</t>
        </is>
      </c>
      <c r="B18" s="11" t="inlineStr">
        <is>
          <t>Pedro Siviero – Valor emprestado para a empresa Siviero a juros de 1,30%, ao mês.</t>
        </is>
      </c>
      <c r="C18" s="12" t="n">
        <v>80000</v>
      </c>
      <c r="D18" s="11" t="inlineStr">
        <is>
          <t>Em aberto</t>
        </is>
      </c>
      <c r="E18" s="12" t="n">
        <v>80000</v>
      </c>
      <c r="F18" s="11" t="inlineStr">
        <is>
          <t>R$ 80.000,00</t>
        </is>
      </c>
    </row>
    <row r="19">
      <c r="A19" s="11" t="inlineStr">
        <is>
          <t>15</t>
        </is>
      </c>
      <c r="B19" s="11" t="inlineStr">
        <is>
          <t>Pedro Siviero – Valor emprestado para a empresa Siviero a juros de 1,30%, ao mês.</t>
        </is>
      </c>
      <c r="C19" s="12" t="n">
        <v>70000</v>
      </c>
      <c r="D19" s="11" t="inlineStr">
        <is>
          <t>Em aberto</t>
        </is>
      </c>
      <c r="E19" s="12" t="n">
        <v>70000</v>
      </c>
      <c r="F19" s="11" t="inlineStr">
        <is>
          <t>R$ 70.000,00</t>
        </is>
      </c>
    </row>
    <row r="20">
      <c r="A20" s="11" t="inlineStr">
        <is>
          <t>16</t>
        </is>
      </c>
      <c r="B20" s="11" t="inlineStr">
        <is>
          <t>Raul Siviero – Valor emprestado para a empresa Siviero a juros de 1,30%, ao mês.</t>
        </is>
      </c>
      <c r="C20" s="12" t="n">
        <v>50000</v>
      </c>
      <c r="D20" s="11" t="inlineStr">
        <is>
          <t>Em aberto</t>
        </is>
      </c>
      <c r="E20" s="12" t="n">
        <v>50000</v>
      </c>
      <c r="F20" s="11" t="inlineStr">
        <is>
          <t>R$ 50.000,00</t>
        </is>
      </c>
    </row>
    <row r="21">
      <c r="A21" s="11" t="inlineStr">
        <is>
          <t>17</t>
        </is>
      </c>
      <c r="B21" s="11" t="inlineStr">
        <is>
          <t>Raul Siviero – Valor emprestado para a empresa Siviero a juros de 1,30%, ao mês.</t>
        </is>
      </c>
      <c r="C21" s="12" t="n">
        <v>30000</v>
      </c>
      <c r="D21" s="11" t="inlineStr">
        <is>
          <t>Em aberto</t>
        </is>
      </c>
      <c r="E21" s="12" t="n">
        <v>30000</v>
      </c>
      <c r="F21" s="11" t="inlineStr">
        <is>
          <t>R$ 30.000,00</t>
        </is>
      </c>
    </row>
    <row r="22">
      <c r="A22" s="11" t="inlineStr">
        <is>
          <t>18</t>
        </is>
      </c>
      <c r="B22" s="11" t="inlineStr">
        <is>
          <t>Raul Siviero – Valor emprestado para a empresa Siviero a juros de 1,30%, ao mês.</t>
        </is>
      </c>
      <c r="C22" s="12" t="n">
        <v>20000</v>
      </c>
      <c r="D22" s="11" t="inlineStr">
        <is>
          <t>Em aberto</t>
        </is>
      </c>
      <c r="E22" s="12" t="n">
        <v>20000</v>
      </c>
      <c r="F22" s="11" t="inlineStr">
        <is>
          <t>R$ 20.000,00</t>
        </is>
      </c>
    </row>
    <row r="23">
      <c r="A23" s="11" t="inlineStr">
        <is>
          <t>19</t>
        </is>
      </c>
      <c r="B23" s="11" t="inlineStr">
        <is>
          <t>Valter Siviero – Valor emprestado para a empresa Siviero a juros de 2,00%, ao mês.</t>
        </is>
      </c>
      <c r="C23" s="12" t="n">
        <v>50000</v>
      </c>
      <c r="D23" s="11" t="inlineStr">
        <is>
          <t>Pago</t>
        </is>
      </c>
      <c r="E23" s="12" t="n">
        <v>0</v>
      </c>
      <c r="F23" s="11" t="inlineStr">
        <is>
          <t>R$ 50.000,00 PAGO COM LOTE</t>
        </is>
      </c>
    </row>
    <row r="24">
      <c r="A24" s="11" t="inlineStr">
        <is>
          <t>20</t>
        </is>
      </c>
      <c r="B24" s="11" t="inlineStr">
        <is>
          <t>Prefeitura Municipal de Antônio Prado, para a pavimentação asfáltica da Avenida do Loteamento Sol Nascente, no valor total de R$ 440.000,00, que serão pagos em 16 parcelas fixas de R$ 27.500,00, com início no mês de setembro de 2015 e término no mês de dezembro de 2016.</t>
        </is>
      </c>
      <c r="C24" s="12" t="n">
        <v>330000</v>
      </c>
      <c r="D24" s="11" t="inlineStr">
        <is>
          <t>Pago</t>
        </is>
      </c>
      <c r="E24" s="12" t="n">
        <v>0</v>
      </c>
      <c r="F24" s="11" t="inlineStr">
        <is>
          <t>R$ 330.000,00 - PAGO</t>
        </is>
      </c>
    </row>
    <row r="25">
      <c r="A25" s="11" t="inlineStr">
        <is>
          <t>21</t>
        </is>
      </c>
      <c r="B25" s="11" t="inlineStr">
        <is>
          <t>Aquisição do Compressor em JANEIRO de 2012, pelo valor total de R$ 179.000,00, com início do pagamento das parcelas em fevereiro de 2013 e término em janeiro de 2017 = 48 parcelas.</t>
        </is>
      </c>
      <c r="C25" s="12" t="n">
        <v>52000</v>
      </c>
      <c r="D25" s="11" t="inlineStr">
        <is>
          <t>Pago</t>
        </is>
      </c>
      <c r="E25" s="12" t="n">
        <v>0</v>
      </c>
      <c r="F25" s="11" t="inlineStr">
        <is>
          <t>13 parcelas de +/_ R$ 4.000,00 = R$ 52.000,00 - PAGO</t>
        </is>
      </c>
    </row>
    <row r="26">
      <c r="A26" s="11" t="inlineStr">
        <is>
          <t>22</t>
        </is>
      </c>
      <c r="B26" s="11" t="inlineStr">
        <is>
          <t>Aquisição de 6,0 hectares de terras do Senhor Antônio Ansolin, conforme CONTRATO DE COMPRA E VENDA, com permuta do pagamento das parcelas de um caminhão, no valor total de R$ 525.000,00.</t>
        </is>
      </c>
      <c r="C26" s="12" t="n">
        <v>114000</v>
      </c>
      <c r="D26" s="11" t="inlineStr">
        <is>
          <t>Pago</t>
        </is>
      </c>
      <c r="E26" s="12" t="n">
        <v>0</v>
      </c>
      <c r="F26" s="11" t="inlineStr">
        <is>
          <t>13 parcelas de +/_ R$ 8.800,00 = R$ 114.000,00 - PAGO</t>
        </is>
      </c>
    </row>
    <row r="27">
      <c r="A27" s="11" t="inlineStr">
        <is>
          <t>23</t>
        </is>
      </c>
      <c r="B27" s="11" t="inlineStr">
        <is>
          <t>Banco do Estado do Rio Grande do Sul, Agência de Veranópolis – conta empresarial – SEI – com limite de crédito de R$ 500.000,00.</t>
        </is>
      </c>
      <c r="C27" s="12" t="n">
        <v>500000</v>
      </c>
      <c r="D27" s="11" t="inlineStr">
        <is>
          <t>Em aberto</t>
        </is>
      </c>
      <c r="E27" s="12" t="n">
        <v>500000</v>
      </c>
      <c r="F27" s="11" t="inlineStr">
        <is>
          <t>R$ 500.000,00</t>
        </is>
      </c>
    </row>
    <row r="28">
      <c r="A28" s="11" t="inlineStr">
        <is>
          <t>24</t>
        </is>
      </c>
      <c r="B28" s="11" t="inlineStr">
        <is>
          <t>Banco SICREDI, Agência der Veranópolis – conta empresarial com limite de crédito rotativo de R$ 10.000.000,00.</t>
        </is>
      </c>
      <c r="C28" s="12" t="n">
        <v>5400000</v>
      </c>
      <c r="D28" s="11" t="inlineStr">
        <is>
          <t>Em aberto</t>
        </is>
      </c>
      <c r="E28" s="12" t="n">
        <v>5400000</v>
      </c>
      <c r="F28" s="11" t="inlineStr">
        <is>
          <t>R$ 5.400.000,00</t>
        </is>
      </c>
    </row>
    <row r="29">
      <c r="A29" s="11" t="inlineStr">
        <is>
          <t>25</t>
        </is>
      </c>
      <c r="B29" s="11" t="inlineStr">
        <is>
          <t>Tatiana Siviero = R$ 8.000,00 – Valor emprestado para a empresa Siviero a juros de 1,30%, ao mês.</t>
        </is>
      </c>
      <c r="C29" s="12" t="n">
        <v>8000</v>
      </c>
      <c r="D29" s="11" t="inlineStr">
        <is>
          <t>Em aberto</t>
        </is>
      </c>
      <c r="E29" s="12" t="n">
        <v>8000</v>
      </c>
      <c r="F29" s="11" t="inlineStr">
        <is>
          <t>R$ 8.000,00</t>
        </is>
      </c>
    </row>
    <row r="30">
      <c r="A30" s="11" t="inlineStr">
        <is>
          <t>26</t>
        </is>
      </c>
      <c r="B30" s="11" t="inlineStr">
        <is>
          <t>Pagamento de compromissos mensais: títulos, luz, água, telefone, mão-de-obra - salários, obrigações sociais e trabalhistas, pró-labores, juros, impostos, empresas contratadas prestadoras de serviços de mão-de-obra, profissionais liberais, assessoria jurídica, combustíveis, corretores, aluguéis, despesas administrativas, honorários contábeis, ITBIs, serviços notariais e de registros imobiliários, etc., somam um valor de aproximadamente R$ 700.000,00, levando-se em conta que pelo período de 06 meses, a este valor é agregado aproximadamente R$ 100.000,00 somente de IPTU.
A estimativa deste compromisso financeiro, em virtude dos serviços contratados e para a execução dos Loteamentos em andamento e também contratados e que devem ser executados, face aos compromissos contratuais com os proprietários das áreas de terras é contínuo pelo período de aproximadamente MAIS 60 meses.</t>
        </is>
      </c>
      <c r="C30" s="12" t="n">
        <v>750000</v>
      </c>
      <c r="D30" s="11" t="inlineStr">
        <is>
          <t>Em aberto</t>
        </is>
      </c>
      <c r="E30" s="12" t="n">
        <v>750000</v>
      </c>
      <c r="F30" s="11" t="inlineStr">
        <is>
          <t>R$ 750.000,00</t>
        </is>
      </c>
    </row>
    <row r="31">
      <c r="A31" s="11" t="inlineStr">
        <is>
          <t>27</t>
        </is>
      </c>
      <c r="B31" s="11" t="inlineStr">
        <is>
          <t>Pedro Elias Siviero = R$ 22.000,00 - Valor emprestado para a empresa Siviero a juros de 1,30%, ao mês - CUMULATIVO.</t>
        </is>
      </c>
      <c r="C31" s="12" t="n">
        <v>39900</v>
      </c>
      <c r="D31" s="11" t="inlineStr">
        <is>
          <t>Em aberto</t>
        </is>
      </c>
      <c r="E31" s="12" t="n">
        <v>39900</v>
      </c>
      <c r="F31" s="11" t="inlineStr">
        <is>
          <t>R$ 39.900,00</t>
        </is>
      </c>
    </row>
    <row r="32">
      <c r="A32" s="11" t="inlineStr">
        <is>
          <t>28</t>
        </is>
      </c>
      <c r="B32" s="11" t="inlineStr">
        <is>
          <t>Irineu Siviero – Valor emprestado para a empresa Siviero a juros de 1,30%, ao mês – diferença do lote no Loteamento Baú.
NÃO ESTÁ SENDO PAGO OS JUROS.</t>
        </is>
      </c>
      <c r="C32" s="12" t="n">
        <v>49000</v>
      </c>
      <c r="D32" s="11" t="inlineStr">
        <is>
          <t>Em aberto</t>
        </is>
      </c>
      <c r="E32" s="12" t="n">
        <v>49000</v>
      </c>
      <c r="F32" s="11" t="inlineStr">
        <is>
          <t>R$ 49.000,00</t>
        </is>
      </c>
    </row>
    <row r="33">
      <c r="A33" s="11" t="inlineStr">
        <is>
          <t>29</t>
        </is>
      </c>
      <c r="B33" s="11" t="inlineStr">
        <is>
          <t>Adélia Frizon Siviero – Valor emprestado para a empresa Siviero a juros de 1,30%, ao mês – diferença do lote no Loteamento Baú.
NÃO ESTÁ SENDO PAGO OS JUROS.</t>
        </is>
      </c>
      <c r="C33" s="12" t="n">
        <v>49000</v>
      </c>
      <c r="D33" s="11" t="inlineStr">
        <is>
          <t>Em aberto</t>
        </is>
      </c>
      <c r="E33" s="12" t="n">
        <v>49000</v>
      </c>
      <c r="F33" s="11" t="inlineStr">
        <is>
          <t>R$ 49.000,00</t>
        </is>
      </c>
    </row>
    <row r="34">
      <c r="A34" s="11" t="inlineStr">
        <is>
          <t>30</t>
        </is>
      </c>
      <c r="B34" s="11" t="inlineStr">
        <is>
          <t>Banco do Estado do Rio Grande do Sul, Agência de Veranópolis – conta empresarial – TIS – com limite de crédito de R$ 450.000,00.</t>
        </is>
      </c>
      <c r="C34" s="12" t="n">
        <v>400000</v>
      </c>
      <c r="D34" s="11" t="inlineStr">
        <is>
          <t>Em aberto</t>
        </is>
      </c>
      <c r="E34" s="12" t="n">
        <v>400000</v>
      </c>
      <c r="F34" s="11" t="inlineStr">
        <is>
          <t>R$ 400.000,00</t>
        </is>
      </c>
    </row>
    <row r="35">
      <c r="A35" s="11" t="inlineStr">
        <is>
          <t>31</t>
        </is>
      </c>
      <c r="B35" s="11" t="inlineStr">
        <is>
          <t>Caixa Econômica Federal, Agência de Veranópolis – Empréstimo conta empresarial – SEI – com limite de crédito de R$ 300.000,00.</t>
        </is>
      </c>
      <c r="C35" s="12" t="n">
        <v>300000</v>
      </c>
      <c r="D35" s="11" t="inlineStr">
        <is>
          <t>Em aberto</t>
        </is>
      </c>
      <c r="E35" s="12" t="n">
        <v>300000</v>
      </c>
      <c r="F35" s="11" t="inlineStr">
        <is>
          <t>R$ 300.000,00</t>
        </is>
      </c>
    </row>
    <row r="36">
      <c r="A36" s="11" t="inlineStr">
        <is>
          <t>32</t>
        </is>
      </c>
      <c r="B36" s="11" t="inlineStr">
        <is>
          <t>Caixa Econômica Federal, Agência de Veranópolis – Empréstimo conta empresarial – HOTEL – com limite de crédito de R$ 700.000,00.</t>
        </is>
      </c>
      <c r="C36" s="12" t="n">
        <v>700000</v>
      </c>
      <c r="D36" s="11" t="inlineStr">
        <is>
          <t>Em aberto</t>
        </is>
      </c>
      <c r="E36" s="12" t="n">
        <v>700000</v>
      </c>
      <c r="F36" s="11" t="inlineStr">
        <is>
          <t>R$ 700.000,00</t>
        </is>
      </c>
    </row>
    <row r="37">
      <c r="A37" s="11" t="inlineStr"/>
      <c r="B37" s="14" t="inlineStr">
        <is>
          <t>Soma do saldo em aberto</t>
        </is>
      </c>
      <c r="C37" s="11" t="inlineStr"/>
      <c r="D37" s="11" t="inlineStr"/>
      <c r="E37" s="13">
        <f>SUM(E5:E36)</f>
        <v/>
      </c>
      <c r="F37" s="11" t="n"/>
    </row>
    <row r="38">
      <c r="A38" s="11" t="inlineStr"/>
      <c r="B38" s="14" t="inlineStr">
        <is>
          <t>Total no documento</t>
        </is>
      </c>
      <c r="C38" s="11" t="inlineStr"/>
      <c r="D38" s="11" t="inlineStr"/>
      <c r="E38" s="12" t="n">
        <v>10120000</v>
      </c>
      <c r="F38" s="11" t="n"/>
    </row>
    <row r="39">
      <c r="A39" s="11" t="inlineStr"/>
      <c r="B39" s="14" t="inlineStr">
        <is>
          <t>Dif. (soma - documento)</t>
        </is>
      </c>
      <c r="C39" s="11" t="inlineStr"/>
      <c r="D39" s="11" t="inlineStr"/>
      <c r="E39" s="13">
        <f>E37-E38</f>
        <v/>
      </c>
      <c r="F39" s="11" t="n"/>
    </row>
  </sheetData>
  <autoFilter ref="A4:F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
  <sheetViews>
    <sheetView workbookViewId="0">
      <pane ySplit="4" topLeftCell="A5" activePane="bottomLeft" state="frozen"/>
      <selection pane="bottomLeft" activeCell="A1" sqref="A1"/>
    </sheetView>
  </sheetViews>
  <sheetFormatPr baseColWidth="8" defaultRowHeight="15"/>
  <cols>
    <col width="9" customWidth="1" min="1" max="1"/>
    <col width="90" customWidth="1" min="2" max="2"/>
    <col width="16" customWidth="1" min="3" max="3"/>
    <col width="40" customWidth="1" min="4" max="4"/>
  </cols>
  <sheetData>
    <row r="1">
      <c r="A1" s="1" t="inlineStr">
        <is>
          <t>Aluguéis recebidos</t>
        </is>
      </c>
    </row>
    <row r="2">
      <c r="A2" s="2" t="inlineStr">
        <is>
          <t>Fonte: 18. 1. SIVIERO EMPREENDIMENTOS IMOBILIÁRIOS LTDA. = I N V E N T Á R I O = E M P R E S A   D A   S I V I E R O   -   Dezembro de 2018.docx (data-base 31.12.2018). Valores em azul transcritos do documento; totais em preto são fórmulas.</t>
        </is>
      </c>
    </row>
    <row r="4">
      <c r="A4" s="10" t="inlineStr">
        <is>
          <t>Item no doc.</t>
        </is>
      </c>
      <c r="B4" s="10" t="inlineStr">
        <is>
          <t>Descrição</t>
        </is>
      </c>
      <c r="C4" s="10" t="inlineStr">
        <is>
          <t>Valor (R$)</t>
        </is>
      </c>
      <c r="D4" s="10" t="inlineStr">
        <is>
          <t>Observação</t>
        </is>
      </c>
    </row>
    <row r="5">
      <c r="A5" s="11" t="inlineStr">
        <is>
          <t>01</t>
        </is>
      </c>
      <c r="B5" s="11" t="inlineStr">
        <is>
          <t>Pavilhões alugados para a empresa Oleoplan S/A, localizados na Rodovia BR 470, Km 175,4 – Bairro Valverde.</t>
        </is>
      </c>
      <c r="C5" s="12" t="n">
        <v>17000</v>
      </c>
      <c r="D5" s="11" t="n"/>
    </row>
    <row r="6">
      <c r="A6" s="11" t="inlineStr">
        <is>
          <t>02</t>
        </is>
      </c>
      <c r="B6" s="11" t="inlineStr">
        <is>
          <t>Abastecedora de Combustíveis Siviero Ltda., locada para a empresa Abastecedora de Combustíveis Certo Ltda.</t>
        </is>
      </c>
      <c r="C6" s="12" t="n">
        <v>8000</v>
      </c>
      <c r="D6" s="11" t="n"/>
    </row>
    <row r="7">
      <c r="A7" s="11" t="inlineStr">
        <is>
          <t>03</t>
        </is>
      </c>
      <c r="B7" s="11" t="inlineStr">
        <is>
          <t>Lancharia e Restaurante anexo a Abastecedora de Combustíveis Siviero Ltda., locados para o Senhor Cristiano Rodrigo Lucchetta.</t>
        </is>
      </c>
      <c r="C7" s="12" t="n">
        <v>4100</v>
      </c>
      <c r="D7" s="11" t="n"/>
    </row>
    <row r="8">
      <c r="A8" s="11" t="inlineStr">
        <is>
          <t>04</t>
        </is>
      </c>
      <c r="B8" s="11" t="inlineStr">
        <is>
          <t>Rampa de Lavagem de caminhões e carros leves, anexa a Abastecedora de Combustíveis Siviero Ltda.</t>
        </is>
      </c>
      <c r="C8" s="12" t="n">
        <v>1500</v>
      </c>
      <c r="D8" s="11" t="n"/>
    </row>
    <row r="9">
      <c r="A9" s="11" t="inlineStr">
        <is>
          <t>05</t>
        </is>
      </c>
      <c r="B9" s="11" t="inlineStr">
        <is>
          <t>Borracharia, anexa a Abastecedora de Combustíveis Siviero Ltda.</t>
        </is>
      </c>
      <c r="C9" s="12" t="n">
        <v>800</v>
      </c>
      <c r="D9" s="11" t="n"/>
    </row>
    <row r="10">
      <c r="A10" s="11" t="inlineStr">
        <is>
          <t>06</t>
        </is>
      </c>
      <c r="B10" s="11" t="inlineStr">
        <is>
          <t>Sala do Escritório velho, localizado na Avenida Osvaldo Aranha, Bairro Palugana, locado para o Senhor ZARDO.
Investimento no valor de R$ 36.000,00 = 36 MESES DE ALUGUEL.</t>
        </is>
      </c>
      <c r="C10" s="12" t="n">
        <v>1000</v>
      </c>
      <c r="D10" s="11" t="n"/>
    </row>
    <row r="11">
      <c r="A11" s="11" t="inlineStr">
        <is>
          <t>07</t>
        </is>
      </c>
      <c r="B11" s="11" t="inlineStr">
        <is>
          <t>Lote localizado na Avenida Osvaldo Aranha, esquina com a Rua Eduardo Duarte, locado para o Sr. Paulo Ricardo Palludo – Baterias.</t>
        </is>
      </c>
      <c r="C11" s="12" t="n">
        <v>300</v>
      </c>
      <c r="D11" s="11" t="n"/>
    </row>
    <row r="12">
      <c r="A12" s="11" t="inlineStr">
        <is>
          <t>08</t>
        </is>
      </c>
      <c r="B12" s="11" t="inlineStr">
        <is>
          <t>Apartamento 401 – Edifício Luiz Siviero, localizado na Avenida Pinheiro Machado, nº 710, locado para o Senhor Marcos Antônio Bergamin.</t>
        </is>
      </c>
      <c r="C12" s="12" t="n">
        <v>650</v>
      </c>
      <c r="D12" s="11" t="n"/>
    </row>
    <row r="13">
      <c r="A13" s="11" t="inlineStr">
        <is>
          <t>09</t>
        </is>
      </c>
      <c r="B13" s="11" t="inlineStr">
        <is>
          <t>Administração do contrato locatício do Senhor Mário Cesca, da propriedade que possui locada para o Senhor Osmar Variza.</t>
        </is>
      </c>
      <c r="C13" s="12" t="n">
        <v>330</v>
      </c>
      <c r="D13" s="11" t="n"/>
    </row>
    <row r="14">
      <c r="A14" s="11" t="inlineStr">
        <is>
          <t>10</t>
        </is>
      </c>
      <c r="B14" s="11" t="inlineStr">
        <is>
          <t>Casa localizada em Vila Azul, na área de terras adquirida da Família Fogali, locada para o Senhor Hilário Gabrielli e Pimentel.</t>
        </is>
      </c>
      <c r="C14" s="12" t="n">
        <v>300</v>
      </c>
      <c r="D14" s="11" t="n"/>
    </row>
    <row r="15">
      <c r="A15" s="11" t="inlineStr">
        <is>
          <t>11</t>
        </is>
      </c>
      <c r="B15" s="11" t="inlineStr">
        <is>
          <t>Espaço dado em locação para a empresa Estofados Encanto Ltda., para a colocação de uma PLACA PUBLICITÁRIA, que paga a importância de um salário mínimo anual.</t>
        </is>
      </c>
      <c r="C15" s="12" t="n">
        <v>954</v>
      </c>
      <c r="D15" s="11" t="inlineStr">
        <is>
          <t>Valor anual</t>
        </is>
      </c>
    </row>
    <row r="16">
      <c r="A16" s="11" t="inlineStr">
        <is>
          <t>12</t>
        </is>
      </c>
      <c r="B16" s="11" t="inlineStr">
        <is>
          <t>Espaço dado em locação para o Restaurante Giratório, para a colocação de uma PLACA PUBLICITÁRIA, que paga a importância de um salário mínimo anual.</t>
        </is>
      </c>
      <c r="C16" s="12" t="n">
        <v>954</v>
      </c>
      <c r="D16" s="11" t="inlineStr">
        <is>
          <t>Valor anual</t>
        </is>
      </c>
    </row>
    <row r="17">
      <c r="A17" s="11" t="inlineStr">
        <is>
          <t>13</t>
        </is>
      </c>
      <c r="B17" s="11" t="inlineStr">
        <is>
          <t>Espaço dado em locação para a empresa Pretto Veículos, para a colocação de uma PLACA PUBLICITÁRIA, que paga a importância de um salário mínimo anual.</t>
        </is>
      </c>
      <c r="C17" s="12" t="n">
        <v>954</v>
      </c>
      <c r="D17" s="11" t="inlineStr">
        <is>
          <t>Valor anual</t>
        </is>
      </c>
    </row>
    <row r="18">
      <c r="A18" s="11" t="inlineStr">
        <is>
          <t>14</t>
        </is>
      </c>
      <c r="B18" s="11" t="inlineStr">
        <is>
          <t>Área de terras rurais, adquiridas do Senhor Moacir Zanin, localizadas próximo da Abastecedora de Combustíveis Siviero Ltda., arrendadas para o Senhor Volmir Marinello, que paga uma importância anual.</t>
        </is>
      </c>
      <c r="C18" s="12" t="n">
        <v>1900</v>
      </c>
      <c r="D18" s="11" t="inlineStr">
        <is>
          <t>Valor anual</t>
        </is>
      </c>
    </row>
    <row r="19">
      <c r="A19" s="11" t="inlineStr">
        <is>
          <t>15</t>
        </is>
      </c>
      <c r="B19" s="11" t="inlineStr">
        <is>
          <t>Apartamento localizado no Edifício ESPERENÇA - GELATTI, localizado no Bairro Valverde, adquirido do Sottili, locado para um Funcionário do Sr. Paulo Maranho – Senhor Edvaldo da Silva.</t>
        </is>
      </c>
      <c r="C19" s="12" t="n">
        <v>300</v>
      </c>
      <c r="D19" s="11" t="n"/>
    </row>
    <row r="20">
      <c r="A20" s="11" t="inlineStr">
        <is>
          <t>16</t>
        </is>
      </c>
      <c r="B20" s="11" t="inlineStr">
        <is>
          <t>CASA, localizada na Avenida Dr. José Montaury, Bairro São Pelegrino, locado para o Senhor Rodrigo Rodrigues.</t>
        </is>
      </c>
      <c r="C20" s="12" t="n">
        <v>650</v>
      </c>
      <c r="D20" s="11" t="n"/>
    </row>
    <row r="21">
      <c r="A21" s="11" t="inlineStr"/>
      <c r="B21" s="14" t="inlineStr">
        <is>
          <t>Soma</t>
        </is>
      </c>
      <c r="C21" s="13">
        <f>SUM(C5:C20)</f>
        <v/>
      </c>
      <c r="D21" s="11" t="n"/>
    </row>
    <row r="22">
      <c r="A22" s="11" t="inlineStr"/>
      <c r="B22" s="14" t="inlineStr">
        <is>
          <t>Total no documento (aprox., por mês)</t>
        </is>
      </c>
      <c r="C22" s="12" t="n">
        <v>36000</v>
      </c>
      <c r="D22" s="11" t="inlineStr">
        <is>
          <t>+/- R$ 36.000,00 por mês</t>
        </is>
      </c>
    </row>
  </sheetData>
  <autoFilter ref="A4:D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8"/>
  <sheetViews>
    <sheetView workbookViewId="0">
      <pane ySplit="4" topLeftCell="A5" activePane="bottomLeft" state="frozen"/>
      <selection pane="bottomLeft" activeCell="A1" sqref="A1"/>
    </sheetView>
  </sheetViews>
  <sheetFormatPr baseColWidth="8" defaultRowHeight="15"/>
  <cols>
    <col width="40" customWidth="1" min="1" max="1"/>
    <col width="9" customWidth="1" min="2" max="2"/>
    <col width="70" customWidth="1" min="3" max="3"/>
    <col width="12" customWidth="1" min="4" max="4"/>
    <col width="14" customWidth="1" min="5" max="5"/>
  </cols>
  <sheetData>
    <row r="1">
      <c r="A1" s="1" t="inlineStr">
        <is>
          <t>Quantidade de lotes por loteamento</t>
        </is>
      </c>
    </row>
    <row r="2">
      <c r="A2" s="2" t="inlineStr">
        <is>
          <t>Fonte: 18. 1. SIVIERO EMPREENDIMENTOS IMOBILIÁRIOS LTDA. = I N V E N T Á R I O = E M P R E S A   D A   S I V I E R O   -   Dezembro de 2018.docx (data-base 31.12.2018). Valores em azul transcritos do documento; totais em preto são fórmulas.</t>
        </is>
      </c>
    </row>
    <row r="4">
      <c r="A4" s="10" t="inlineStr">
        <is>
          <t>Grupo</t>
        </is>
      </c>
      <c r="B4" s="10" t="inlineStr">
        <is>
          <t>Item no doc.</t>
        </is>
      </c>
      <c r="C4" s="10" t="inlineStr">
        <is>
          <t>Loteamento</t>
        </is>
      </c>
      <c r="D4" s="10" t="inlineStr">
        <is>
          <t>Qtde. lotes</t>
        </is>
      </c>
      <c r="E4" s="3" t="inlineStr">
        <is>
          <t>No documento</t>
        </is>
      </c>
    </row>
    <row r="5">
      <c r="A5" s="11" t="inlineStr">
        <is>
          <t>Executados e registrados</t>
        </is>
      </c>
      <c r="B5" s="11" t="inlineStr">
        <is>
          <t>01</t>
        </is>
      </c>
      <c r="C5" s="11" t="inlineStr">
        <is>
          <t>Loteamento Sol Nascente I - Antônio Prado – RS</t>
        </is>
      </c>
      <c r="D5" s="15" t="n">
        <v>14</v>
      </c>
    </row>
    <row r="6">
      <c r="A6" s="11" t="inlineStr">
        <is>
          <t>Executados e registrados</t>
        </is>
      </c>
      <c r="B6" s="11" t="inlineStr">
        <is>
          <t>02</t>
        </is>
      </c>
      <c r="C6" s="11" t="inlineStr">
        <is>
          <t>Loteamento Fracionamento Simioni - Veranópolis – RS</t>
        </is>
      </c>
      <c r="D6" s="15" t="n">
        <v>4</v>
      </c>
    </row>
    <row r="7">
      <c r="A7" s="11" t="inlineStr">
        <is>
          <t>Executados e registrados</t>
        </is>
      </c>
      <c r="B7" s="11" t="inlineStr">
        <is>
          <t>03</t>
        </is>
      </c>
      <c r="C7" s="11" t="inlineStr">
        <is>
          <t>Loteamento Colina do Basalto - Nova Prata – RS</t>
        </is>
      </c>
      <c r="D7" s="15" t="n">
        <v>14</v>
      </c>
    </row>
    <row r="8">
      <c r="A8" s="11" t="inlineStr">
        <is>
          <t>Executados e registrados</t>
        </is>
      </c>
      <c r="B8" s="11" t="inlineStr">
        <is>
          <t>04</t>
        </is>
      </c>
      <c r="C8" s="11" t="inlineStr">
        <is>
          <t>Loteamento Aditivo Medianeira - Veranópolis – RS</t>
        </is>
      </c>
      <c r="D8" s="15" t="n">
        <v>20</v>
      </c>
    </row>
    <row r="9">
      <c r="A9" s="11" t="inlineStr">
        <is>
          <t>Executados e registrados</t>
        </is>
      </c>
      <c r="B9" s="11" t="inlineStr">
        <is>
          <t>05</t>
        </is>
      </c>
      <c r="C9" s="11" t="inlineStr">
        <is>
          <t>Loteamento Alto das Graças I - Caxias do Sul – RS = 102/2</t>
        </is>
      </c>
      <c r="D9" s="15" t="n">
        <v>51</v>
      </c>
    </row>
    <row r="10">
      <c r="A10" s="11" t="inlineStr">
        <is>
          <t>Executados e registrados</t>
        </is>
      </c>
      <c r="B10" s="11" t="inlineStr">
        <is>
          <t>06</t>
        </is>
      </c>
      <c r="C10" s="11" t="inlineStr">
        <is>
          <t>Loteamento Cichelero - Carlos Barbosa – RS</t>
        </is>
      </c>
      <c r="D10" s="15" t="n">
        <v>10</v>
      </c>
    </row>
    <row r="11">
      <c r="A11" s="11" t="inlineStr">
        <is>
          <t>Executados e registrados</t>
        </is>
      </c>
      <c r="B11" s="11" t="inlineStr">
        <is>
          <t>07</t>
        </is>
      </c>
      <c r="C11" s="11" t="inlineStr">
        <is>
          <t>Loteamento Firminio Dalzóchio - Farroupilha – RS</t>
        </is>
      </c>
      <c r="D11" s="15" t="n">
        <v>15</v>
      </c>
    </row>
    <row r="12">
      <c r="A12" s="11" t="inlineStr">
        <is>
          <t>Executados e registrados</t>
        </is>
      </c>
      <c r="B12" s="11" t="inlineStr">
        <is>
          <t>08</t>
        </is>
      </c>
      <c r="C12" s="11" t="inlineStr">
        <is>
          <t>Loteamento Industrial Pedra Lisa - Veranópolis – RS</t>
        </is>
      </c>
      <c r="D12" s="15" t="n">
        <v>39</v>
      </c>
    </row>
    <row r="13">
      <c r="A13" s="11" t="inlineStr">
        <is>
          <t>Executados e registrados</t>
        </is>
      </c>
      <c r="B13" s="11" t="inlineStr">
        <is>
          <t>09</t>
        </is>
      </c>
      <c r="C13" s="11" t="inlineStr">
        <is>
          <t>Loteamento Industrial Vicentino - Farroupilha – RS</t>
        </is>
      </c>
      <c r="D13" s="15" t="n">
        <v>12</v>
      </c>
    </row>
    <row r="14">
      <c r="A14" s="11" t="inlineStr">
        <is>
          <t>Executados e registrados</t>
        </is>
      </c>
      <c r="B14" s="11" t="inlineStr">
        <is>
          <t>10</t>
        </is>
      </c>
      <c r="C14" s="11" t="inlineStr">
        <is>
          <t>Loteamento Monte Vêneto - Carlos Barbosa – RS</t>
        </is>
      </c>
      <c r="D14" s="15" t="n">
        <v>1</v>
      </c>
    </row>
    <row r="15">
      <c r="A15" s="11" t="inlineStr">
        <is>
          <t>Executados e registrados</t>
        </is>
      </c>
      <c r="B15" s="11" t="inlineStr">
        <is>
          <t>11</t>
        </is>
      </c>
      <c r="C15" s="11" t="inlineStr">
        <is>
          <t>Loteamento Nossa Senhora da Saúde - Guaporé – RS</t>
        </is>
      </c>
      <c r="D15" s="15" t="n">
        <v>3</v>
      </c>
    </row>
    <row r="16">
      <c r="A16" s="11" t="inlineStr">
        <is>
          <t>Executados e registrados</t>
        </is>
      </c>
      <c r="B16" s="11" t="inlineStr">
        <is>
          <t>12</t>
        </is>
      </c>
      <c r="C16" s="11" t="inlineStr">
        <is>
          <t>Loteamento Perini - Farroupilha – RS</t>
        </is>
      </c>
      <c r="D16" s="15" t="n">
        <v>10</v>
      </c>
    </row>
    <row r="17">
      <c r="A17" s="11" t="inlineStr">
        <is>
          <t>Executados e registrados</t>
        </is>
      </c>
      <c r="B17" s="11" t="inlineStr">
        <is>
          <t>13</t>
        </is>
      </c>
      <c r="C17" s="11" t="inlineStr">
        <is>
          <t>Loteamento Princesa dos Vales - Carlos Barbosa – RS</t>
        </is>
      </c>
      <c r="D17" s="15" t="n">
        <v>1</v>
      </c>
    </row>
    <row r="18">
      <c r="A18" s="11" t="inlineStr">
        <is>
          <t>Executados e registrados</t>
        </is>
      </c>
      <c r="B18" s="11" t="inlineStr">
        <is>
          <t>14</t>
        </is>
      </c>
      <c r="C18" s="11" t="inlineStr">
        <is>
          <t>Loteamento Morada da Colina - Veranópolis – RS</t>
        </is>
      </c>
      <c r="D18" s="15" t="n">
        <v>0</v>
      </c>
    </row>
    <row r="19">
      <c r="A19" s="11" t="inlineStr">
        <is>
          <t>Executados e registrados</t>
        </is>
      </c>
      <c r="B19" s="11" t="inlineStr">
        <is>
          <t>15</t>
        </is>
      </c>
      <c r="C19" s="11" t="inlineStr">
        <is>
          <t>Loteamento Araçá - Nova Araçá – RS</t>
        </is>
      </c>
      <c r="D19" s="15" t="n">
        <v>1</v>
      </c>
    </row>
    <row r="20">
      <c r="A20" s="11" t="inlineStr">
        <is>
          <t>Executados e registrados</t>
        </is>
      </c>
      <c r="B20" s="11" t="inlineStr">
        <is>
          <t>16</t>
        </is>
      </c>
      <c r="C20" s="11" t="inlineStr">
        <is>
          <t>Loteamento Baú - Carlos Barbosa – RS</t>
        </is>
      </c>
      <c r="D20" s="15" t="n">
        <v>2</v>
      </c>
    </row>
    <row r="21">
      <c r="A21" s="11" t="inlineStr">
        <is>
          <t>Executados e registrados</t>
        </is>
      </c>
      <c r="B21" s="11" t="inlineStr">
        <is>
          <t>17</t>
        </is>
      </c>
      <c r="C21" s="11" t="inlineStr">
        <is>
          <t>Loteamento Bella Visione - Carlos Barbosa – RS</t>
        </is>
      </c>
      <c r="D21" s="15" t="n">
        <v>0</v>
      </c>
    </row>
    <row r="22">
      <c r="A22" s="11" t="inlineStr">
        <is>
          <t>Executados e registrados</t>
        </is>
      </c>
      <c r="B22" s="11" t="inlineStr">
        <is>
          <t>18</t>
        </is>
      </c>
      <c r="C22" s="11" t="inlineStr">
        <is>
          <t>Loteamento Dalla Costa - Nova Bassano – RS</t>
        </is>
      </c>
      <c r="D22" s="15" t="n">
        <v>5</v>
      </c>
    </row>
    <row r="23">
      <c r="A23" s="11" t="inlineStr">
        <is>
          <t>Executados e registrados</t>
        </is>
      </c>
      <c r="B23" s="11" t="inlineStr">
        <is>
          <t>19</t>
        </is>
      </c>
      <c r="C23" s="11" t="inlineStr">
        <is>
          <t>Loteamento Delta - Nilumar - Caxias do Sul – RS</t>
        </is>
      </c>
      <c r="D23" s="15" t="n">
        <v>3</v>
      </c>
    </row>
    <row r="24">
      <c r="A24" s="11" t="inlineStr">
        <is>
          <t>Executados e registrados</t>
        </is>
      </c>
      <c r="B24" s="11" t="inlineStr">
        <is>
          <t>20</t>
        </is>
      </c>
      <c r="C24" s="11" t="inlineStr">
        <is>
          <t>Loteamento Femaçã - Veranópolis – RS</t>
        </is>
      </c>
      <c r="D24" s="15" t="n">
        <v>5</v>
      </c>
    </row>
    <row r="25">
      <c r="A25" s="11" t="inlineStr">
        <is>
          <t>Executados e registrados</t>
        </is>
      </c>
      <c r="B25" s="11" t="inlineStr">
        <is>
          <t>21</t>
        </is>
      </c>
      <c r="C25" s="11" t="inlineStr">
        <is>
          <t>Loteamento Irmãos Boff - Veranópolis – RS</t>
        </is>
      </c>
      <c r="D25" s="15" t="n">
        <v>1</v>
      </c>
    </row>
    <row r="26">
      <c r="A26" s="11" t="inlineStr">
        <is>
          <t>Executados e registrados</t>
        </is>
      </c>
      <c r="B26" s="11" t="inlineStr">
        <is>
          <t>22</t>
        </is>
      </c>
      <c r="C26" s="11" t="inlineStr">
        <is>
          <t>Loteamento Jardim Itália - Farroupilha – RS</t>
        </is>
      </c>
      <c r="D26" s="15" t="n">
        <v>40</v>
      </c>
    </row>
    <row r="27">
      <c r="A27" s="11" t="inlineStr">
        <is>
          <t>Executados e registrados</t>
        </is>
      </c>
      <c r="B27" s="11" t="inlineStr">
        <is>
          <t>23</t>
        </is>
      </c>
      <c r="C27" s="11" t="inlineStr">
        <is>
          <t>Loteamento Lago Negro - Gramado – RS</t>
        </is>
      </c>
      <c r="D27" s="15" t="n">
        <v>35</v>
      </c>
    </row>
    <row r="28">
      <c r="A28" s="11" t="inlineStr">
        <is>
          <t>Executados e registrados</t>
        </is>
      </c>
      <c r="B28" s="11" t="inlineStr">
        <is>
          <t>24</t>
        </is>
      </c>
      <c r="C28" s="11" t="inlineStr">
        <is>
          <t>Loteamento Prata - Nova Prata – RS</t>
        </is>
      </c>
      <c r="D28" s="15" t="n">
        <v>2</v>
      </c>
    </row>
    <row r="29">
      <c r="A29" s="11" t="inlineStr">
        <is>
          <t>Executados e registrados</t>
        </is>
      </c>
      <c r="B29" s="11" t="inlineStr">
        <is>
          <t>25</t>
        </is>
      </c>
      <c r="C29" s="11" t="inlineStr">
        <is>
          <t>Loteamento Primavera - Farroupilha – RS</t>
        </is>
      </c>
      <c r="D29" s="15" t="n">
        <v>4</v>
      </c>
    </row>
    <row r="30">
      <c r="A30" s="11" t="inlineStr">
        <is>
          <t>Executados e registrados</t>
        </is>
      </c>
      <c r="B30" s="11" t="inlineStr">
        <is>
          <t>26</t>
        </is>
      </c>
      <c r="C30" s="11" t="inlineStr">
        <is>
          <t>Loteamento San Marino - Farroupilha – RS</t>
        </is>
      </c>
      <c r="D30" s="15" t="n">
        <v>33</v>
      </c>
    </row>
    <row r="31">
      <c r="A31" s="11" t="inlineStr">
        <is>
          <t>Executados e registrados</t>
        </is>
      </c>
      <c r="B31" s="11" t="inlineStr">
        <is>
          <t>27</t>
        </is>
      </c>
      <c r="C31" s="11" t="inlineStr">
        <is>
          <t>Loteamento São Roque - Carlos Barbosa – RS</t>
        </is>
      </c>
      <c r="D31" s="15" t="n">
        <v>0</v>
      </c>
    </row>
    <row r="32">
      <c r="A32" s="11" t="inlineStr">
        <is>
          <t>Executados e registrados</t>
        </is>
      </c>
      <c r="B32" s="11" t="inlineStr">
        <is>
          <t>28</t>
        </is>
      </c>
      <c r="C32" s="11" t="inlineStr">
        <is>
          <t>Loteamento Vila Vicenza - Farroupilha – RS</t>
        </is>
      </c>
      <c r="D32" s="15" t="n">
        <v>2</v>
      </c>
    </row>
    <row r="33">
      <c r="A33" s="11" t="inlineStr">
        <is>
          <t>Executados e registrados</t>
        </is>
      </c>
      <c r="B33" s="11" t="inlineStr">
        <is>
          <t>29</t>
        </is>
      </c>
      <c r="C33" s="11" t="inlineStr">
        <is>
          <t>Loteamento Sol Nascente II - Antônio Prado – RS</t>
        </is>
      </c>
      <c r="D33" s="15" t="n">
        <v>2</v>
      </c>
    </row>
    <row r="34">
      <c r="A34" s="11" t="inlineStr">
        <is>
          <t>Executados e registrados</t>
        </is>
      </c>
      <c r="B34" s="11" t="inlineStr">
        <is>
          <t>30</t>
        </is>
      </c>
      <c r="C34" s="11" t="inlineStr">
        <is>
          <t>Loteamento Solar Norte - Veranópolis – RS</t>
        </is>
      </c>
      <c r="D34" s="15" t="n">
        <v>10</v>
      </c>
    </row>
    <row r="35">
      <c r="A35" s="11" t="inlineStr">
        <is>
          <t>Executados e registrados</t>
        </is>
      </c>
      <c r="B35" s="11" t="inlineStr">
        <is>
          <t>31</t>
        </is>
      </c>
      <c r="C35" s="11" t="inlineStr">
        <is>
          <t>Loteamento Viero - Farroupilha – RS</t>
        </is>
      </c>
      <c r="D35" s="15" t="n">
        <v>8</v>
      </c>
    </row>
    <row r="36">
      <c r="A36" s="11" t="inlineStr">
        <is>
          <t>Executados e registrados</t>
        </is>
      </c>
      <c r="B36" s="11" t="inlineStr">
        <is>
          <t>32</t>
        </is>
      </c>
      <c r="C36" s="11" t="inlineStr">
        <is>
          <t>Loteamento Barbiero – Nova Prata – RS</t>
        </is>
      </c>
      <c r="D36" s="15" t="n">
        <v>20</v>
      </c>
    </row>
    <row r="37">
      <c r="A37" s="11" t="inlineStr">
        <is>
          <t>Executados e registrados</t>
        </is>
      </c>
      <c r="B37" s="11" t="inlineStr">
        <is>
          <t>33</t>
        </is>
      </c>
      <c r="C37" s="11" t="inlineStr">
        <is>
          <t>Loteamento Carnevalli – Nova Prata – RS</t>
        </is>
      </c>
      <c r="D37" s="15" t="n">
        <v>17</v>
      </c>
    </row>
    <row r="38">
      <c r="A38" s="11" t="inlineStr">
        <is>
          <t>Executados e registrados</t>
        </is>
      </c>
      <c r="B38" s="11" t="inlineStr">
        <is>
          <t>34</t>
        </is>
      </c>
      <c r="C38" s="11" t="inlineStr">
        <is>
          <t>Loteamento Colina do Retiro I – Veranópolis – RS</t>
        </is>
      </c>
      <c r="D38" s="15" t="n">
        <v>23</v>
      </c>
    </row>
    <row r="39">
      <c r="A39" s="11" t="inlineStr">
        <is>
          <t>Executados e registrados</t>
        </is>
      </c>
      <c r="B39" s="11" t="inlineStr">
        <is>
          <t>35</t>
        </is>
      </c>
      <c r="C39" s="11" t="inlineStr">
        <is>
          <t>Loteamento Altos da Julieta I e II – Farroupilha – RS</t>
        </is>
      </c>
      <c r="D39" s="15" t="n">
        <v>40</v>
      </c>
    </row>
    <row r="40">
      <c r="A40" s="11" t="inlineStr">
        <is>
          <t>Executados e não registrados</t>
        </is>
      </c>
      <c r="B40" s="11" t="inlineStr">
        <is>
          <t>01</t>
        </is>
      </c>
      <c r="C40" s="11" t="inlineStr">
        <is>
          <t>Loteamento Baldasso - Carlos Barbosa – RS</t>
        </is>
      </c>
      <c r="D40" s="15" t="n">
        <v>15</v>
      </c>
    </row>
    <row r="41">
      <c r="A41" s="11" t="inlineStr">
        <is>
          <t>Executados e não registrados</t>
        </is>
      </c>
      <c r="B41" s="11" t="inlineStr">
        <is>
          <t>02</t>
        </is>
      </c>
      <c r="C41" s="11" t="inlineStr">
        <is>
          <t>Loteamento Monte Vêneto I - Cotiporã – RS</t>
        </is>
      </c>
      <c r="D41" s="15" t="n">
        <v>39</v>
      </c>
    </row>
    <row r="42">
      <c r="A42" s="11" t="inlineStr">
        <is>
          <t>Executados e não registrados</t>
        </is>
      </c>
      <c r="B42" s="11" t="inlineStr">
        <is>
          <t>03</t>
        </is>
      </c>
      <c r="C42" s="11" t="inlineStr">
        <is>
          <t>Loteamento Monte Vêneto II - Cotiporã – RS</t>
        </is>
      </c>
      <c r="D42" s="15" t="n">
        <v>41</v>
      </c>
    </row>
    <row r="43">
      <c r="A43" s="11" t="inlineStr">
        <is>
          <t>Executados e não registrados</t>
        </is>
      </c>
      <c r="B43" s="11" t="inlineStr">
        <is>
          <t>04</t>
        </is>
      </c>
      <c r="C43" s="11" t="inlineStr">
        <is>
          <t>Loteamento Salvador - Veranópolis – RS</t>
        </is>
      </c>
      <c r="D43" s="15" t="n">
        <v>45</v>
      </c>
    </row>
    <row r="44">
      <c r="A44" s="11" t="inlineStr">
        <is>
          <t>Executados e não registrados</t>
        </is>
      </c>
      <c r="B44" s="11" t="inlineStr">
        <is>
          <t>05</t>
        </is>
      </c>
      <c r="C44" s="11" t="inlineStr">
        <is>
          <t>Loteamento Colina do Retiro II - Frainer - Veranópolis – RS</t>
        </is>
      </c>
      <c r="D44" s="15" t="n">
        <v>105</v>
      </c>
    </row>
    <row r="46">
      <c r="A46" s="14" t="inlineStr">
        <is>
          <t>Total executados e registrados</t>
        </is>
      </c>
      <c r="B46" s="11" t="inlineStr"/>
      <c r="C46" s="11" t="inlineStr">
        <is>
          <t>Soma / no documento</t>
        </is>
      </c>
      <c r="D46" s="11">
        <f>SUMIF(A5:A44,"Executados e registrados",D5:D44)</f>
        <v/>
      </c>
      <c r="E46" s="16" t="n">
        <v>447</v>
      </c>
    </row>
    <row r="47">
      <c r="A47" s="14" t="inlineStr">
        <is>
          <t>Total executados e não registrados</t>
        </is>
      </c>
      <c r="B47" s="11" t="inlineStr"/>
      <c r="C47" s="11" t="inlineStr">
        <is>
          <t>Soma / no documento</t>
        </is>
      </c>
      <c r="D47" s="11">
        <f>SUMIF(A5:A44,"Executados e não registrados",D5:D44)</f>
        <v/>
      </c>
      <c r="E47" s="16" t="n">
        <v>245</v>
      </c>
    </row>
    <row r="48">
      <c r="A48" s="14" t="inlineStr">
        <is>
          <t>Total geral de lotes urbanizados</t>
        </is>
      </c>
      <c r="B48" s="11" t="inlineStr"/>
      <c r="C48" s="11" t="inlineStr">
        <is>
          <t>Soma / no documento</t>
        </is>
      </c>
      <c r="D48" s="11">
        <f>SUM(D5:D44)</f>
        <v/>
      </c>
      <c r="E48" s="16" t="n">
        <v>692</v>
      </c>
    </row>
  </sheetData>
  <autoFilter ref="A4:D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9" customWidth="1" min="1" max="1"/>
    <col width="100" customWidth="1" min="2" max="2"/>
    <col width="18" customWidth="1" min="3" max="3"/>
  </cols>
  <sheetData>
    <row r="1">
      <c r="A1" s="1" t="inlineStr">
        <is>
          <t>Planilha de investimentos / despesas</t>
        </is>
      </c>
    </row>
    <row r="2">
      <c r="A2" s="2" t="inlineStr">
        <is>
          <t>Fonte: 18. 1. SIVIERO EMPREENDIMENTOS IMOBILIÁRIOS LTDA. = I N V E N T Á R I O = E M P R E S A   D A   S I V I E R O   -   Dezembro de 2018.docx (data-base 31.12.2018). Valores em azul transcritos do documento; totais em preto são fórmulas.</t>
        </is>
      </c>
    </row>
    <row r="4">
      <c r="A4" s="10" t="inlineStr">
        <is>
          <t>Item no doc.</t>
        </is>
      </c>
      <c r="B4" s="10" t="inlineStr">
        <is>
          <t>Descrição</t>
        </is>
      </c>
      <c r="C4" s="10" t="inlineStr">
        <is>
          <t>Valor (R$)</t>
        </is>
      </c>
    </row>
    <row r="5">
      <c r="A5" s="11" t="inlineStr">
        <is>
          <t>01</t>
        </is>
      </c>
      <c r="B5" s="11" t="inlineStr">
        <is>
          <t>Pago dívidas da Siviero Transportes Ltda., de 2011 a 2015.
Desde 2011 a empresa NÃO divide mais nenhuma despesa administrativa e de impostos.</t>
        </is>
      </c>
      <c r="C5" s="12" t="n">
        <v>762000</v>
      </c>
    </row>
    <row r="6">
      <c r="A6" s="11" t="inlineStr">
        <is>
          <t>02</t>
        </is>
      </c>
      <c r="B6" s="11" t="inlineStr">
        <is>
          <t>Pago combustíveis da Siviero Transportes Ltda., em troca de aluguéis no Posto até 2011.</t>
        </is>
      </c>
      <c r="C6" s="12" t="n">
        <v>180000</v>
      </c>
    </row>
    <row r="7">
      <c r="A7" s="11" t="inlineStr">
        <is>
          <t>03</t>
        </is>
      </c>
      <c r="B7" s="11" t="inlineStr">
        <is>
          <t>Pago as bombas do Posto e obras de infraestrutura – banheiros + conveniências.</t>
        </is>
      </c>
      <c r="C7" s="12" t="n">
        <v>200000</v>
      </c>
    </row>
    <row r="8">
      <c r="A8" s="11" t="inlineStr">
        <is>
          <t>04</t>
        </is>
      </c>
      <c r="B8" s="11" t="inlineStr">
        <is>
          <t>Compra de 6,0 há de terras – Família Ansolin – Caminhão Antônio Ansolin.</t>
        </is>
      </c>
      <c r="C8" s="12" t="n">
        <v>525000</v>
      </c>
    </row>
    <row r="9">
      <c r="A9" s="11" t="inlineStr">
        <is>
          <t>05</t>
        </is>
      </c>
      <c r="B9" s="11" t="inlineStr">
        <is>
          <t>Compra de lotes no Loteamento Industrial Pedra Lisa.</t>
        </is>
      </c>
      <c r="C9" s="12" t="n">
        <v>625000</v>
      </c>
    </row>
    <row r="10">
      <c r="A10" s="11" t="inlineStr">
        <is>
          <t>06</t>
        </is>
      </c>
      <c r="B10" s="11" t="inlineStr">
        <is>
          <t>Pago dívida do Senhor Leonildo Anzolin, em troca de 01 lote – Nota Promissória.</t>
        </is>
      </c>
      <c r="C10" s="12" t="n">
        <v>90000</v>
      </c>
    </row>
    <row r="11">
      <c r="A11" s="11" t="inlineStr">
        <is>
          <t>07</t>
        </is>
      </c>
      <c r="B11" s="11" t="inlineStr">
        <is>
          <t>Compra de lotes da Família Fioreze.</t>
        </is>
      </c>
      <c r="C11" s="12" t="n">
        <v>148000</v>
      </c>
    </row>
    <row r="12">
      <c r="A12" s="11" t="inlineStr">
        <is>
          <t>08</t>
        </is>
      </c>
      <c r="B12" s="11" t="inlineStr">
        <is>
          <t>Pago despesas do Senhor Arlindo Piccoli – dívidas bancárias e de terceiros em troca de lotes.</t>
        </is>
      </c>
      <c r="C12" s="12" t="n">
        <v>300000</v>
      </c>
    </row>
    <row r="13">
      <c r="A13" s="11" t="inlineStr">
        <is>
          <t>09</t>
        </is>
      </c>
      <c r="B13" s="11" t="inlineStr">
        <is>
          <t>Aquisição da área de terras da Família Fogali, em Vila Azul.</t>
        </is>
      </c>
      <c r="C13" s="12" t="n">
        <v>205000</v>
      </c>
    </row>
    <row r="14">
      <c r="A14" s="11" t="inlineStr">
        <is>
          <t>10</t>
        </is>
      </c>
      <c r="B14" s="11" t="inlineStr">
        <is>
          <t>Compra de lotes no Loteamento Caminhos do Sol – Dorval Boff.</t>
        </is>
      </c>
      <c r="C14" s="12" t="n">
        <v>165000</v>
      </c>
    </row>
    <row r="15">
      <c r="A15" s="11" t="inlineStr">
        <is>
          <t>11</t>
        </is>
      </c>
      <c r="B15" s="11" t="inlineStr">
        <is>
          <t>Pago uma dívida trabalhista do Senhor Dorval Boff, em troca de lotes no Loteamento Caminhos do Sol.</t>
        </is>
      </c>
      <c r="C15" s="12" t="n">
        <v>220000</v>
      </c>
    </row>
    <row r="16">
      <c r="A16" s="11" t="inlineStr">
        <is>
          <t>12</t>
        </is>
      </c>
      <c r="B16" s="11" t="inlineStr">
        <is>
          <t>Compra de lotes no Loteamento Caminhos do Sol – Ludovico Boff e mais pagamento de dívidas de impostos.</t>
        </is>
      </c>
      <c r="C16" s="12" t="n">
        <v>1473000</v>
      </c>
    </row>
    <row r="17">
      <c r="A17" s="11" t="inlineStr">
        <is>
          <t>13</t>
        </is>
      </c>
      <c r="B17" s="11" t="inlineStr">
        <is>
          <t>Pago pavimentação asfáltica Loteamento San Marino, em Farroupilha.</t>
        </is>
      </c>
      <c r="C17" s="12" t="n">
        <v>572000</v>
      </c>
    </row>
    <row r="18">
      <c r="A18" s="11" t="inlineStr">
        <is>
          <t>14</t>
        </is>
      </c>
      <c r="B18" s="11" t="inlineStr">
        <is>
          <t>Pago pavimentação asfáltica Loteamento Altos da Julieta, em Farroupilha.</t>
        </is>
      </c>
      <c r="C18" s="12" t="n">
        <v>900000</v>
      </c>
    </row>
    <row r="19">
      <c r="A19" s="11" t="inlineStr">
        <is>
          <t>15</t>
        </is>
      </c>
      <c r="B19" s="11" t="inlineStr">
        <is>
          <t>Pago pavimentação Loteamento Altos das Graças, em Caxias do Sul.</t>
        </is>
      </c>
      <c r="C19" s="12" t="n">
        <v>533000</v>
      </c>
    </row>
    <row r="20">
      <c r="A20" s="11" t="inlineStr">
        <is>
          <t>16</t>
        </is>
      </c>
      <c r="B20" s="11" t="inlineStr">
        <is>
          <t>Pago pavimentação asfáltica Loteamento Sol Nascente, em Antônio Prado (Dalfovo e Prefeitura).</t>
        </is>
      </c>
      <c r="C20" s="12" t="n">
        <v>700000</v>
      </c>
    </row>
    <row r="21">
      <c r="A21" s="11" t="inlineStr">
        <is>
          <t>17</t>
        </is>
      </c>
      <c r="B21" s="11" t="inlineStr">
        <is>
          <t>Pago pavimentação asfáltica Loteamento Jardim Itália, em Farroupilha – R$ 1.265.000,00.</t>
        </is>
      </c>
      <c r="C21" s="12" t="n">
        <v>700000</v>
      </c>
    </row>
    <row r="22">
      <c r="A22" s="11" t="inlineStr">
        <is>
          <t>18</t>
        </is>
      </c>
      <c r="B22" s="11" t="inlineStr">
        <is>
          <t>Pago uma área de terras rurais, ADQUIRIDA em 2014, DA FAMÍLIA CECCONELLO, localizada no Município de Caxias do Sul – RS, composto por 2,0 (Dois) hectares, dentro de um todo maior, que compõem o Loteamento = 130.446,00m².</t>
        </is>
      </c>
      <c r="C22" s="12" t="n">
        <v>600000</v>
      </c>
    </row>
    <row r="23">
      <c r="A23" s="11" t="inlineStr">
        <is>
          <t>19</t>
        </is>
      </c>
      <c r="B23" s="11" t="inlineStr">
        <is>
          <t>Déficit das Receitas X Despesas. – 01.01.2016 a 30.04.2017
Receitas – R$ 8.487.000,00 : Despesas – R$ 9.965.000,00</t>
        </is>
      </c>
      <c r="C23" s="12" t="n">
        <v>1478000</v>
      </c>
    </row>
    <row r="24">
      <c r="A24" s="11" t="inlineStr"/>
      <c r="B24" s="14" t="inlineStr">
        <is>
          <t>Soma</t>
        </is>
      </c>
      <c r="C24" s="13">
        <f>SUM(C5:C23)</f>
        <v/>
      </c>
    </row>
    <row r="25">
      <c r="A25" s="11" t="inlineStr"/>
      <c r="B25" s="14" t="inlineStr">
        <is>
          <t>Total no documento</t>
        </is>
      </c>
      <c r="C25" s="12" t="n">
        <v>10376000</v>
      </c>
    </row>
    <row r="26">
      <c r="A26" s="11" t="inlineStr"/>
      <c r="B26" s="14" t="inlineStr">
        <is>
          <t>Dif.</t>
        </is>
      </c>
      <c r="C26" s="13">
        <f>C24-C25</f>
        <v/>
      </c>
    </row>
  </sheetData>
  <autoFilter ref="A4:C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
    </sheetView>
  </sheetViews>
  <sheetFormatPr baseColWidth="8" defaultRowHeight="15"/>
  <cols>
    <col width="55" customWidth="1" min="1" max="1"/>
    <col width="28" customWidth="1" min="2" max="2"/>
    <col width="18" customWidth="1" min="3" max="3"/>
    <col width="16" customWidth="1" min="4" max="4"/>
    <col width="10" customWidth="1" min="5" max="5"/>
  </cols>
  <sheetData>
    <row r="1">
      <c r="A1" s="1" t="inlineStr">
        <is>
          <t>Quadros societários</t>
        </is>
      </c>
    </row>
    <row r="2">
      <c r="A2" s="2" t="inlineStr">
        <is>
          <t>Fonte: 18. 1. SIVIERO EMPREENDIMENTOS IMOBILIÁRIOS LTDA. = I N V E N T Á R I O = E M P R E S A   D A   S I V I E R O   -   Dezembro de 2018.docx (data-base 31.12.2018). Valores em azul transcritos do documento; totais em preto são fórmulas.</t>
        </is>
      </c>
    </row>
    <row r="4">
      <c r="A4" s="10" t="inlineStr">
        <is>
          <t>Quadro</t>
        </is>
      </c>
      <c r="B4" s="10" t="inlineStr">
        <is>
          <t>Sócio</t>
        </is>
      </c>
      <c r="C4" s="10" t="inlineStr">
        <is>
          <t>CPF/MF</t>
        </is>
      </c>
      <c r="D4" s="10" t="inlineStr">
        <is>
          <t>Valor cotas (R$)</t>
        </is>
      </c>
      <c r="E4" s="10" t="inlineStr">
        <is>
          <t>% cotas</t>
        </is>
      </c>
    </row>
    <row r="5">
      <c r="A5" s="11" t="inlineStr">
        <is>
          <t>Quadro societário real, de fato e de direito</t>
        </is>
      </c>
      <c r="B5" s="11" t="inlineStr">
        <is>
          <t>IRINEU SIVIERO</t>
        </is>
      </c>
      <c r="C5" s="11" t="inlineStr">
        <is>
          <t>005.682.870-53</t>
        </is>
      </c>
      <c r="D5" s="12" t="n">
        <v>1818</v>
      </c>
      <c r="E5" s="17" t="n">
        <v>0.1818</v>
      </c>
    </row>
    <row r="6">
      <c r="A6" s="11" t="inlineStr">
        <is>
          <t>Quadro societário real, de fato e de direito</t>
        </is>
      </c>
      <c r="B6" s="11" t="inlineStr">
        <is>
          <t>RAUL SIVIERO</t>
        </is>
      </c>
      <c r="C6" s="11" t="inlineStr">
        <is>
          <t>026.666.930-15</t>
        </is>
      </c>
      <c r="D6" s="12" t="n">
        <v>1818</v>
      </c>
      <c r="E6" s="17" t="n">
        <v>0.1818</v>
      </c>
    </row>
    <row r="7">
      <c r="A7" s="11" t="inlineStr">
        <is>
          <t>Quadro societário real, de fato e de direito</t>
        </is>
      </c>
      <c r="B7" s="11" t="inlineStr">
        <is>
          <t>VALTER SIVIERO</t>
        </is>
      </c>
      <c r="C7" s="11" t="inlineStr">
        <is>
          <t>202.511.810-49</t>
        </is>
      </c>
      <c r="D7" s="12" t="n">
        <v>1818</v>
      </c>
      <c r="E7" s="17" t="n">
        <v>0.1818</v>
      </c>
    </row>
    <row r="8">
      <c r="A8" s="11" t="inlineStr">
        <is>
          <t>Quadro societário real, de fato e de direito</t>
        </is>
      </c>
      <c r="B8" s="11" t="inlineStr">
        <is>
          <t>ELCIO SIVIERO</t>
        </is>
      </c>
      <c r="C8" s="11" t="inlineStr">
        <is>
          <t>114.987.900-97</t>
        </is>
      </c>
      <c r="D8" s="12" t="n">
        <v>1818</v>
      </c>
      <c r="E8" s="17" t="n">
        <v>0.1818</v>
      </c>
    </row>
    <row r="9">
      <c r="A9" s="11" t="inlineStr">
        <is>
          <t>Quadro societário real, de fato e de direito</t>
        </is>
      </c>
      <c r="B9" s="11" t="inlineStr">
        <is>
          <t>ADÉLIA FRIZON SIVIERO</t>
        </is>
      </c>
      <c r="C9" s="11" t="inlineStr">
        <is>
          <t>647.482.600-25</t>
        </is>
      </c>
      <c r="D9" s="12" t="n">
        <v>1818</v>
      </c>
      <c r="E9" s="17" t="n">
        <v>0.1818</v>
      </c>
    </row>
    <row r="10">
      <c r="A10" s="11" t="inlineStr">
        <is>
          <t>Quadro societário real, de fato e de direito</t>
        </is>
      </c>
      <c r="B10" s="11" t="inlineStr">
        <is>
          <t>PEDRO SIVIERO</t>
        </is>
      </c>
      <c r="C10" s="11" t="inlineStr">
        <is>
          <t>227.128.100-82</t>
        </is>
      </c>
      <c r="D10" s="12" t="n">
        <v>710</v>
      </c>
      <c r="E10" s="17" t="n">
        <v>0.07099999999999999</v>
      </c>
    </row>
    <row r="11">
      <c r="A11" s="11" t="inlineStr">
        <is>
          <t>Quadro societário real, de fato e de direito</t>
        </is>
      </c>
      <c r="B11" s="11" t="inlineStr">
        <is>
          <t>ROVILIO SIVIERO</t>
        </is>
      </c>
      <c r="C11" s="11" t="inlineStr">
        <is>
          <t>225.676.150-91</t>
        </is>
      </c>
      <c r="D11" s="12" t="n">
        <v>200</v>
      </c>
      <c r="E11" s="17" t="n">
        <v>0.02</v>
      </c>
    </row>
    <row r="12">
      <c r="A12" s="11" t="inlineStr">
        <is>
          <t>Novo quadro societário a contar de 01.12.2003 (NÃO REAL)</t>
        </is>
      </c>
      <c r="B12" s="11" t="inlineStr">
        <is>
          <t>PEDRO SIVIERO</t>
        </is>
      </c>
      <c r="C12" s="11" t="inlineStr">
        <is>
          <t>227.128.100-82</t>
        </is>
      </c>
      <c r="D12" s="12" t="n">
        <v>99000</v>
      </c>
      <c r="E12" s="17" t="n">
        <v>0.99</v>
      </c>
    </row>
    <row r="13">
      <c r="A13" s="11" t="inlineStr">
        <is>
          <t>Novo quadro societário a contar de 01.12.2003 (NÃO REAL)</t>
        </is>
      </c>
      <c r="B13" s="11" t="inlineStr">
        <is>
          <t>ELGIDES SIVIERO BINDA</t>
        </is>
      </c>
      <c r="C13" s="11" t="inlineStr">
        <is>
          <t>134.449.800-00</t>
        </is>
      </c>
      <c r="D13" s="12" t="n">
        <v>1000</v>
      </c>
      <c r="E13" s="17" t="n">
        <v>0.01</v>
      </c>
    </row>
    <row r="14">
      <c r="A14" s="11" t="inlineStr">
        <is>
          <t>Valor real de cada sócio conforme a cota de capital (sem valores R$ no documento)</t>
        </is>
      </c>
      <c r="B14" s="11" t="inlineStr">
        <is>
          <t>IRINEU SIVIERO</t>
        </is>
      </c>
      <c r="C14" s="11" t="inlineStr">
        <is>
          <t>005.682.870-53</t>
        </is>
      </c>
      <c r="D14" s="13" t="n"/>
      <c r="E14" s="17" t="n">
        <v>0.16333</v>
      </c>
    </row>
    <row r="15">
      <c r="A15" s="11" t="inlineStr">
        <is>
          <t>Valor real de cada sócio conforme a cota de capital (sem valores R$ no documento)</t>
        </is>
      </c>
      <c r="B15" s="11" t="inlineStr">
        <is>
          <t>RAUL SIVIERO</t>
        </is>
      </c>
      <c r="C15" s="11" t="inlineStr">
        <is>
          <t>026.666.930-15</t>
        </is>
      </c>
      <c r="D15" s="13" t="n"/>
      <c r="E15" s="17" t="n">
        <v>0.16333</v>
      </c>
    </row>
    <row r="16">
      <c r="A16" s="11" t="inlineStr">
        <is>
          <t>Valor real de cada sócio conforme a cota de capital (sem valores R$ no documento)</t>
        </is>
      </c>
      <c r="B16" s="11" t="inlineStr">
        <is>
          <t>VALTER SIVIERO</t>
        </is>
      </c>
      <c r="C16" s="11" t="inlineStr">
        <is>
          <t>202.511.810-49</t>
        </is>
      </c>
      <c r="D16" s="13" t="n"/>
      <c r="E16" s="17" t="n">
        <v>0.16333</v>
      </c>
    </row>
    <row r="17">
      <c r="A17" s="11" t="inlineStr">
        <is>
          <t>Valor real de cada sócio conforme a cota de capital (sem valores R$ no documento)</t>
        </is>
      </c>
      <c r="B17" s="11" t="inlineStr">
        <is>
          <t>ELCIO SIVIERO</t>
        </is>
      </c>
      <c r="C17" s="11" t="inlineStr">
        <is>
          <t>114.987.900-97</t>
        </is>
      </c>
      <c r="D17" s="13" t="n"/>
      <c r="E17" s="17" t="n">
        <v>0.16333</v>
      </c>
    </row>
    <row r="18">
      <c r="A18" s="11" t="inlineStr">
        <is>
          <t>Valor real de cada sócio conforme a cota de capital (sem valores R$ no documento)</t>
        </is>
      </c>
      <c r="B18" s="11" t="inlineStr">
        <is>
          <t>ADÉLIA FRIZON SIVIERO</t>
        </is>
      </c>
      <c r="C18" s="11" t="inlineStr">
        <is>
          <t>647.482.600-25</t>
        </is>
      </c>
      <c r="D18" s="13" t="n"/>
      <c r="E18" s="17" t="n">
        <v>0.16333</v>
      </c>
    </row>
    <row r="19">
      <c r="A19" s="11" t="inlineStr">
        <is>
          <t>Valor real de cada sócio conforme a cota de capital (sem valores R$ no documento)</t>
        </is>
      </c>
      <c r="B19" s="11" t="inlineStr">
        <is>
          <t>PEDRO SIVIERO</t>
        </is>
      </c>
      <c r="C19" s="11" t="inlineStr">
        <is>
          <t>227.128.100-82</t>
        </is>
      </c>
      <c r="D19" s="13" t="n"/>
      <c r="E19" s="17" t="n">
        <v>0.16333</v>
      </c>
    </row>
    <row r="20">
      <c r="A20" s="11" t="inlineStr">
        <is>
          <t>Valor real de cada sócio conforme a cota de capital (sem valores R$ no documento)</t>
        </is>
      </c>
      <c r="B20" s="11" t="inlineStr">
        <is>
          <t>ROVILIO SIVIERO</t>
        </is>
      </c>
      <c r="C20" s="11" t="inlineStr">
        <is>
          <t>225.676.150-91</t>
        </is>
      </c>
      <c r="D20" s="13" t="n"/>
      <c r="E20" s="17" t="n">
        <v>0.02</v>
      </c>
    </row>
  </sheetData>
  <autoFilter ref="A4:E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2026-10-26T20:09:11Z</dcterms:created>
  <dcterms:modified xmlns:dcterms="http://purl.org/dc/terms/" xmlns:xsi="http://www.w3.org/2001/XMLSchema-instance" xsi:type="dcterms:W3CDTF">2026-10-26T20:09:12Z</dcterms:modified>
</cp:coreProperties>
</file>