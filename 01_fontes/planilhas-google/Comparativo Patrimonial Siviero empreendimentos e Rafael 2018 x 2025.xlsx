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5"/>
    <sheet state="visible" name="Rafael × Inventário" sheetId="2" r:id="rId6"/>
    <sheet state="visible" name="Resumo" sheetId="3" r:id="rId7"/>
    <sheet state="visible" name="questionamentos" sheetId="4" r:id="rId8"/>
    <sheet state="visible" name="Relatórios Mensais" sheetId="5" r:id="rId9"/>
    <sheet state="visible" name="1.Abastecedora" sheetId="6" r:id="rId10"/>
    <sheet state="visible" name="2.São Crispin" sheetId="7" r:id="rId11"/>
    <sheet state="visible" name="4.Ceval" sheetId="8" r:id="rId12"/>
    <sheet state="visible" name="5.Hotel Princesa" sheetId="9" r:id="rId13"/>
    <sheet state="visible" name="6.Hotel Araçá" sheetId="10" r:id="rId14"/>
    <sheet state="visible" name="7.Rádio" sheetId="11" r:id="rId15"/>
    <sheet state="visible" name="8.Transportadora" sheetId="12" r:id="rId16"/>
    <sheet state="visible" name="10.Transportes" sheetId="13" r:id="rId17"/>
    <sheet state="visible" name="11.Empreendimentos" sheetId="14" r:id="rId18"/>
    <sheet state="visible" name="Valor médio dos lotes" sheetId="15" r:id="rId19"/>
    <sheet state="visible" name="Lotes que saíram 2018-2025" sheetId="16" r:id="rId20"/>
    <sheet state="visible" name="Acertos e Acordos" sheetId="17" r:id="rId21"/>
    <sheet state="visible" name="Extras" sheetId="18" r:id="rId22"/>
  </sheets>
  <definedNames>
    <definedName hidden="1" localSheetId="5" name="_xlnm._FilterDatabase">'1.Abastecedora'!$A$1:$J$23</definedName>
    <definedName hidden="1" localSheetId="6" name="_xlnm._FilterDatabase">'2.São Crispin'!$A$1:$J$20</definedName>
    <definedName hidden="1" localSheetId="7" name="_xlnm._FilterDatabase">'4.Ceval'!$A$1:$J$23</definedName>
    <definedName hidden="1" localSheetId="8" name="_xlnm._FilterDatabase">'5.Hotel Princesa'!$A$1:$K$67</definedName>
    <definedName hidden="1" localSheetId="9" name="_xlnm._FilterDatabase">'6.Hotel Araçá'!$A$1:$K$51</definedName>
    <definedName hidden="1" localSheetId="10" name="_xlnm._FilterDatabase">'7.Rádio'!$A$1:$K$59</definedName>
    <definedName hidden="1" localSheetId="11" name="_xlnm._FilterDatabase">'8.Transportadora'!$A$1:$J$34</definedName>
    <definedName hidden="1" localSheetId="12" name="_xlnm._FilterDatabase">'10.Transportes'!$A$1:$J$29</definedName>
    <definedName hidden="1" localSheetId="13" name="_xlnm._FilterDatabase">'11.Empreendimentos'!$A$1:$K$759</definedName>
    <definedName hidden="1" localSheetId="14" name="_xlnm._FilterDatabase">'Valor médio dos lotes'!$A$4:$L$35</definedName>
    <definedName hidden="1" localSheetId="15" name="_xlnm._FilterDatabase">'Lotes que saíram 2018-2025'!$A$60:$I$469</definedName>
    <definedName hidden="1" localSheetId="16" name="_xlnm._FilterDatabase">'Acertos e Acordos'!$A$1:$J$59</definedName>
    <definedName hidden="1" localSheetId="17" name="_xlnm._FilterDatabase">Extras!$A$1:$J$47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tc={4d56bd02-92d5-47a1-9dc5-78f9ca4fd8e1}</author>
    <author>tc={74b63f75-903d-471b-9bac-e7ce238b1934}</author>
    <author>tc={beb2a02c-51a0-40f4-8f12-e2a33358be14}</author>
    <author>tc={dabdc746-6347-419a-97ed-9c67a238efce}</author>
    <author>tc={dc078dba-63bd-4bf1-9624-61bb451ac379}</author>
    <author>tc={f190a087-cc9a-4483-a107-e1ce74a8de6d}</author>
    <author>tc={fb8d1111-9313-47fd-99a1-eb30f1252544}</author>
  </authors>
  <commentList>
    <comment authorId="0" ref="F228">
      <text>
        <t xml:space="preserve">Lote escolhido por Valter (em azul no PDF).</t>
      </text>
    </comment>
    <comment authorId="0" ref="F451">
      <text>
        <t xml:space="preserve">Estudo 2 do Rafael, LOTES LOTEAMENTOS EXECUTADOS E REGISTRADOS, pp. 100-105. Patrimônio considerado pelo Valter R$ 148.000,00; 1/6 R$ 24.666,67. Nenhum lote escolhido; o 1/6 fica como crédito residual da Valter. Os 2 lotes em possível APP (R$ 335.000) aparecem como escolhidos, com diferença em favor da Valter de R$ 335.000.</t>
      </text>
    </comment>
    <comment authorId="0" ref="F674">
      <text>
        <t xml:space="preserve">Estudo 2 do Rafael, ÁREAS CONTRATADAS LOTEAMENTO DR LETTI E SOL NASCENTE III, pp. 4-7: sem patrimônio estimado (lotes e quotas aparecem como ???), multa R$ 1.650.000; 1/6 Valter R$ 275.000.</t>
      </text>
    </comment>
    <comment authorId="0" ref="F385">
      <text>
        <t xml:space="preserve">Estudo 2 do Rafael, LOTES LOTEAMENTOS EXECUTADOS E REGISTRADOS, pp. 66-69. Patrimônio considerado pelo Valter R$ 822.000,00; 1/6 R$ 137.000,00. Nenhum lote escolhido; o 1/6 fica como crédito residual da Valter.</t>
      </text>
    </comment>
    <comment authorId="0" ref="F575">
      <text>
        <t xml:space="preserve">Estudo 2 do Rafael, LOTES LOTEAMENTOS EXECUTADOS E REGISTRADOS, pp. 132-134. Patrimônio considerado pelo Valter R$ 533.000,00; 1/6 R$ 88.833,33. Nenhum lote escolhido; o 1/6 fica como crédito residual da Valter.</t>
      </text>
    </comment>
    <comment authorId="0" ref="F670">
      <text>
        <t xml:space="preserve">Estudo 2 do Rafael, ÁREAS CONTRATADAS LOTEAMENTO DAS FAMILIAS PEDROTTI, ANDREIS, LORANDI, pp. 4-7: 24 lotes x R$ 141.000 = R$ 3.384.000, menos multa R$ 2.280.646 e despesas R$ 308.000. 1/6 Valter R$ 564.000; 1/6 dos encargos R$ 431.441; crédito R$ 132.559.</t>
      </text>
    </comment>
    <comment authorId="0" ref="F92">
      <text>
        <t xml:space="preserve">Os 31 loteamentos têm correspondente no Estudo 2 do Rafael (PDF LOTES LOTEAMENTOS EXECUTADOS E REGISTRADOS e, para Colina do Retiro II, Firminio Dalzóchio e Alto das Graças I, também os documentos citados nas notas dessas linhas). A linha 637 (loteamentos só na relação de 2018) não consta no estudo.</t>
      </text>
    </comment>
    <comment authorId="0" ref="F220">
      <text>
        <t xml:space="preserve">Lote escolhido por Valter (em azul no PDF).</t>
      </text>
    </comment>
    <comment authorId="0" ref="F154">
      <text>
        <t xml:space="preserve">Estudo 2 do Rafael, LOTES LOTEAMENTOS EXECUTADOS E REGISTRADOS, pp. 29-32. Patrimônio considerado pelo Valter R$ 2.585.000,00; 1/6 R$ 430.833,33. Lotes escolhidos: 3, R$ 478.000,00.</t>
      </text>
    </comment>
    <comment authorId="0" ref="F633">
      <text>
        <t xml:space="preserve">Estudo 2 do Rafael, LOTES LOTEAMENTOS EXECUTADOS E REGISTRADOS, pp. 146-150. Patrimônio considerado pelo Valter R$ 500.000,00; 1/6 R$ 83.333,33 (PDF: R$ 83.833,33). Nenhum lote escolhido; o 1/6 fica como crédito residual da Valter.</t>
      </text>
    </comment>
    <comment authorId="0" ref="F55">
      <text>
        <t xml:space="preserve">Grupo R$ 130.000, Valter R$ 150.000.</t>
      </text>
    </comment>
    <comment authorId="0" ref="F439">
      <text>
        <t xml:space="preserve">Estudo 2 do Rafael, LOTEAMENTO BONETTO, p. 4: lista do Loteamento Firminio Dalzóchio dentro do documento do Bonetto, sem explicação da relação entre os dois.</t>
      </text>
    </comment>
    <comment authorId="0" ref="F406">
      <text>
        <t xml:space="preserve">Grupo R$ 805.000,00, Valter R$ 1.100.000,00.</t>
      </text>
    </comment>
    <comment authorId="0" ref="F212">
      <text>
        <t xml:space="preserve">Lote escolhido por Valter (em azul no PDF).</t>
      </text>
    </comment>
    <comment authorId="0" ref="F80">
      <text>
        <t xml:space="preserve">A soma das áreas a) a e) da composição excede em 6.700 m² a área declarada.</t>
      </text>
    </comment>
    <comment authorId="0" ref="F720">
      <text>
        <t xml:space="preserve">Estudo 2 do Rafael, LOTEAMENTO COLINA DO RETIRO II, pp. 1-3: obras finais R$ 3.800.000; 1/6 Valter R$ 633.333,33, descontado do crédito no Colina do Retiro II.</t>
      </text>
    </comment>
    <comment authorId="0" ref="F47">
      <text>
        <t xml:space="preserve">Estudo 2 do Rafael, LOTES URBANOS EM VERANÓPOLIS RS, p. 10 (balanço executado por Valter). Quadro-resumo p. 11: total R$ 3.510.000; 1/6 Valter R$ 585.000; bens escolhidos itens 03, 05, 06 e 08 = R$ 2.570.000; diferença a complementar R$ 1.985.000.</t>
      </text>
    </comment>
    <comment authorId="0" ref="F270">
      <text>
        <t xml:space="preserve">Lote escolhido por Valter (em azul no PDF).</t>
      </text>
    </comment>
    <comment authorId="0" ref="F229">
      <text>
        <t xml:space="preserve">Lote escolhido por Valter (em azul no PDF).</t>
      </text>
    </comment>
    <comment authorId="0" ref="F419">
      <text>
        <t xml:space="preserve">Estudo 2 do Rafael, LOTES LOTEAMENTOS EXECUTADOS E REGISTRADOS, pp. 84-87. Patrimônio considerado pelo Valter R$ 4.560.000,00; 1/6 R$ 760.000,00. Nenhum lote escolhido; o 1/6 fica como crédito residual da Valter.</t>
      </text>
    </comment>
    <comment authorId="0" ref="F675">
      <text>
        <t xml:space="preserve">Estudo 2 do Rafael, ÁREAS CONTRATADAS LOTEAMENTO DR LETTI E SOL NASCENTE III, pp. 4-7: multa R$ 1.058.000; 1/6 Valter R$ 176.333,33. O município aparece como Antônio Prado (p. 1) e Farroupilha (pp. 2-3).</t>
      </text>
    </comment>
    <comment authorId="0" ref="F2">
      <text>
        <t xml:space="preserve">Valores do Estudo 2 do Rafael (balanço executado por Valter Participações), a 100% da empresa, tirados das planilhas em Material Rafael/Estudo 2/versão-excel. Célula vazia: item sem estudo correspondente (veículos, máquinas, áreas urbanas e 11.1.3.A). Nas áreas contratadas o valor é líquido: participação do Grupo avaliada pelo Valter menos multa e despesas.</t>
      </text>
    </comment>
    <comment authorId="0" ref="F671">
      <text>
        <t xml:space="preserve">Estudo 2 do Rafael, ÁREAS CONTRATADAS LOTEAMENTO DA FAMÍLIA CECCONELLO, pp. 4-6: 65 lotes x R$ 141.000 = R$ 9.165.000, menos multa R$ 1.300.000. 1/6 Valter R$ 1.527.500; 1/6 da multa R$ 216.666,67; crédito R$ 1.310.833,33. A p. 1 estima 130 lotes e as pp. 2-5 usam 180.</t>
      </text>
    </comment>
    <comment authorId="0" ref="F221">
      <text>
        <t xml:space="preserve">Lote escolhido por Valter (em azul no PDF).</t>
      </text>
    </comment>
    <comment authorId="0" ref="F316">
      <text>
        <t xml:space="preserve">Estudo 2 do Rafael, LOTES LOTEAMENTOS EXECUTADOS E REGISTRADOS, pp. 47-51. Patrimônio considerado pelo Valter R$ 10.985.000,00; 1/6 R$ 1.830.833,33. Lotes escolhidos: 8, R$ 2.295.000,00.</t>
      </text>
    </comment>
    <comment authorId="0" ref="F667">
      <text>
        <t xml:space="preserve">Estudo 2 do Rafael, ÁREAS CONTRATADAS LOTEAMENTO CAMINHOS DO SOL, pp. 4 e 6: 61 lotes do Grupo x R$ 141.000 = R$ 8.601.000. No inventário o valor é o placeholder R$ 00.000.000,00. 1/6 Valter (crédito) R$ 1.433.500.</t>
      </text>
    </comment>
    <comment authorId="0" ref="F217">
      <text>
        <t xml:space="preserve">Lote escolhido por Valter (em azul no PDF).</t>
      </text>
    </comment>
    <comment authorId="0" ref="F407">
      <text>
        <t xml:space="preserve">Grupo R$ 879.000,00, Valter R$ 1.100.000,00.</t>
      </text>
    </comment>
    <comment authorId="0" ref="F85">
      <text>
        <t xml:space="preserve">Grupo R$ 20.000, Valter R$ 380.000.</t>
      </text>
    </comment>
    <comment authorId="0" ref="F213">
      <text>
        <t xml:space="preserve">Lote escolhido por Valter (em azul no PDF).</t>
      </text>
    </comment>
    <comment authorId="0" ref="F469">
      <text>
        <t xml:space="preserve">Estudo 2 do Rafael, LOTES LOTEAMENTOS EXECUTADOS E REGISTRADOS, pp. 116-120. Patrimônio considerado pelo Valter R$ 5.823.000,00; 1/6 R$ 970.500,00. Lotes escolhidos: 10, R$ 2.150.000,00.</t>
      </text>
    </comment>
    <comment authorId="0" ref="F403">
      <text>
        <t xml:space="preserve">Estudo 2 do Rafael, LOTES LOTEAMENTOS EXECUTADOS E REGISTRADOS, pp. 78-83. Patrimônio considerado pelo Valter R$ 5.500.000,00; 1/6 R$ 916.666,67. Lotes escolhidos: 1, R$ 1.100.000,00. O Valter reavalia os lotes 001 a 005 da quadra 01 para R$ 1.100.000 cada (total R$ 5.500.000 contra R$ 4.021.000) e escolhe o lote 001. O quadro da Valter usa R$ 1.100.000 como 1/6 de referência, e o texto cita diferença em seu favor de R$ 7.700.000, valor que não decorre dos números. O lote 14 da quadra 5 (linha 410) não consta no estudo.</t>
      </text>
    </comment>
    <comment authorId="0" ref="F209">
      <text>
        <t xml:space="preserve">Lote escolhido por Valter (em azul no PDF).</t>
      </text>
    </comment>
    <comment authorId="0" ref="F721">
      <text>
        <t xml:space="preserve">Estudo 2 do Rafael, DEMAIS COMPROMISSOS A PAGAR, pp. 1-3: só o total dos itens 1 a 24, R$ 16.127.652 (1/6 = R$ 2.687.942). Abrange 11.2.4 e 11.2.5 desta aba, por isso a diferença compara com E721 + E738.</t>
      </text>
    </comment>
    <comment authorId="0" ref="F271">
      <text>
        <t xml:space="preserve">Lote escolhido por Valter (em azul no PDF).</t>
      </text>
    </comment>
    <comment authorId="0" ref="F77">
      <text>
        <t xml:space="preserve">Grupo R$ 220.000, Valter R$ 375.000. O VTN citado é de outro município (Júlio de Castilhos).</t>
      </text>
    </comment>
    <comment authorId="0" ref="F461">
      <text>
        <t xml:space="preserve">Estudo 2 do Rafael, LOTES LOTEAMENTOS EXECUTADOS E REGISTRADOS, pp. 110-115. Patrimônio considerado pelo Valter R$ 5.420.000,00; 1/6 R$ 903.333,33. Lotes escolhidos: 1, R$ 1.355.000,00. O lote 13 da quadra 1303 (possível APP, R$ 1.125.000) aparece como escolhido, com diferença em favor da Valter de R$ 1.125.000.</t>
      </text>
    </comment>
    <comment authorId="0" ref="F267">
      <text>
        <t xml:space="preserve">Lote escolhido por Valter (em azul no PDF).</t>
      </text>
    </comment>
    <comment authorId="0" ref="F362">
      <text>
        <t xml:space="preserve">Estudo 2 do Rafael, LOTES LOTEAMENTOS EXECUTADOS E REGISTRADOS, pp. 59-62. Patrimônio considerado pelo Valter R$ 2.180.000,00; 1/6 R$ 363.333,33. Lotes escolhidos: 5, R$ 778.000,00.</t>
      </text>
    </comment>
    <comment authorId="0" ref="F73">
      <text>
        <t xml:space="preserve">Estudo 2 do Rafael, ÁREAS RURAIS EM VERANÓPOLIS, COTIPORÃ, FAGUNDES VARELA E CAXIAS DO SUL, p. 22 (balanço executado por Valter). Total R$ 10.918.666; 1/6 Valter R$ 1.819.776,66; bem escolhido: item 02 (R$ 1.500.000); crédito R$ 319.776,66. O quadro fala em 2 imóveis escolhidos, mas lista só o item 02.</t>
      </text>
    </comment>
    <comment authorId="0" ref="F457">
      <text>
        <t xml:space="preserve">Estudo 2 do Rafael, LOTES LOTEAMENTOS EXECUTADOS E REGISTRADOS, pp. 106-109. Patrimônio considerado pelo Valter R$ 157.000,00; 1/6 R$ 26.166,67 (PDF: R$ 26.166,57). Nenhum lote escolhido; o 1/6 fica como crédito residual da Valter. O quadro da Valter considera patrimônio de R$ 148.000 (valor do Primavera) em vez de R$ 157.000.</t>
      </text>
    </comment>
    <comment authorId="0" ref="F354">
      <text>
        <t xml:space="preserve">Estudo 2 do Rafael, LOTES LOTEAMENTOS EXECUTADOS E REGISTRADOS, pp. 55-58. Patrimônio considerado pelo Valter R$ 1.419.000,00; 1/6 R$ 236.500,00. Lotes escolhidos: 1, R$ 272.000,00.</t>
      </text>
    </comment>
    <comment authorId="0" ref="F449">
      <text>
        <t xml:space="preserve">No PDF, R$ 131.000 aparece na coluna Quadra e o valor diz ÁREA DE POSSÍVEL APP; fica fora do total de R$ 1.790.000.</t>
      </text>
    </comment>
    <comment authorId="0" ref="F672">
      <text>
        <t xml:space="preserve">Estudo 2 do Rafael, LOTEAMENTO BONETTO, p. 6: 30,5 lotes x R$ 102.000 = R$ 3.111.000, menos multa R$ 782.000. 1/6 Valter R$ 518.500; 1/6 da multa R$ 130.333,33; crédito R$ 388.167.</t>
      </text>
    </comment>
    <comment authorId="0" ref="F127">
      <text>
        <t xml:space="preserve">Estudo 2 do Rafael, LOTES LOTEAMENTOS EXECUTADOS E REGISTRADOS, pp. 21-24. Patrimônio considerado pelo Valter R$ 1.171.000,00; 1/6 R$ 195.166,67. Nenhum lote escolhido; o 1/6 fica como crédito residual da Valter.</t>
      </text>
    </comment>
    <comment authorId="0" ref="F94">
      <text>
        <t xml:space="preserve">Estudo 2 do Rafael, LOTES LOTEAMENTOS EXECUTADOS E REGISTRADOS, pp. 1-7. Patrimônio considerado pelo Valter R$ 4.031.000,00; 1/6 R$ 671.833,33 (PDF: R$ 671.833,00). Lotes escolhidos: 2, R$ 743.000,00.</t>
      </text>
    </comment>
    <comment authorId="0" ref="F222">
      <text>
        <t xml:space="preserve">Lote escolhido por Valter (em azul no PDF).</t>
      </text>
    </comment>
    <comment authorId="0" ref="F350">
      <text>
        <t xml:space="preserve">Estudo 2 do Rafael, LOTES LOTEAMENTOS EXECUTADOS E REGISTRADOS, pp. 52-54. Patrimônio considerado pelo Valter R$ 241.000,00; 1/6 R$ 40.166,67. Nenhum lote escolhido; o 1/6 fica como crédito residual da Valter.</t>
      </text>
    </comment>
    <comment authorId="0" ref="F668">
      <text>
        <t xml:space="preserve">Estudo 2 do Rafael, ÁREAS CONTRATADAS LOTEAMENTO VALE DAS COLINAS, pp. 5-7: 10% de 356 lotes (R$ 50.196.000) = R$ 5.019.600, menos multa R$ 3.560.000 e despesas R$ 651.035. 1/6 Valter R$ 836.600; 1/6 dos encargos impresso como 701.839.167,00 e 701.855,84 (correto 701.839,17); crédito informado R$ 134.160,84 (correto 134.760,83).</t>
      </text>
    </comment>
    <comment authorId="0" ref="F379">
      <text>
        <t xml:space="preserve">Estudo 2 do Rafael, LOTES LOTEAMENTOS EXECUTADOS E REGISTRADOS, pp. 63-65. Patrimônio considerado pelo Valter R$ 617.000,00; 1/6 R$ 102.833,33. Lotes escolhidos: 1, R$ 241.000,00.</t>
      </text>
    </comment>
    <comment authorId="0" ref="F218">
      <text>
        <t xml:space="preserve">Lote escolhido por Valter (em azul no PDF).</t>
      </text>
    </comment>
    <comment authorId="0" ref="F408">
      <text>
        <t xml:space="preserve">Grupo R$ 720.000,00, Valter R$ 1.100.000,00.</t>
      </text>
    </comment>
    <comment authorId="0" ref="F664">
      <text>
        <t xml:space="preserve">Soma das seções 11.2.1 a 11.2.5 (a 11.2.4 e a 11.2.5 entram juntas pela linha 721).</t>
      </text>
    </comment>
    <comment authorId="0" ref="F86">
      <text>
        <t xml:space="preserve">Grupo R$ 30.000, Valter R$ 380.000.</t>
      </text>
    </comment>
    <comment authorId="0" ref="F115">
      <text>
        <t xml:space="preserve">Estudo 2 do Rafael, LOTES LOTEAMENTOS EXECUTADOS E REGISTRADOS, pp. 12-15. Patrimônio considerado pelo Valter R$ 629.000,00; 1/6 R$ 104.833,33 (PDF: R$ 104.833,00). Nenhum lote escolhido; o 1/6 fica como crédito residual da Valter.</t>
      </text>
    </comment>
    <comment authorId="0" ref="F499">
      <text>
        <t xml:space="preserve">Estudo 2 do Rafael, LOTES LOTEAMENTOS EXECUTADOS E REGISTRADOS, pp. 121-125. Patrimônio considerado pelo Valter R$ 2.086.000,00; 1/6 R$ 347.666,67. Lotes escolhidos: 4, R$ 627.000,00.</t>
      </text>
    </comment>
    <comment authorId="0" ref="F82">
      <text>
        <t xml:space="preserve">Grupo R$ 250.200, Valter R$ 1.500.000. Matrícula 8.846 na avaliação e 8.486 no balanço.</t>
      </text>
    </comment>
    <comment authorId="0" ref="F210">
      <text>
        <t xml:space="preserve">Lote escolhido por Valter (em azul no PDF).</t>
      </text>
    </comment>
    <comment authorId="0" ref="F111">
      <text>
        <t xml:space="preserve">Estudo 2 do Rafael, LOTES LOTEAMENTOS EXECUTADOS E REGISTRADOS, pp. 8-11. Patrimônio considerado pelo Valter R$ 136.000,00; 1/6 R$ 22.666,67 (PDF: R$ 22.666,00). Nenhum lote escolhido; o 1/6 fica como crédito residual da Valter.</t>
      </text>
    </comment>
    <comment authorId="0" ref="F78">
      <text>
        <t xml:space="preserve">Grupo R$ 520.000, Valter R$ 650.000.</t>
      </text>
    </comment>
    <comment authorId="0" ref="F301">
      <text>
        <t xml:space="preserve">Lote escolhido por Valter (em azul no PDF).</t>
      </text>
    </comment>
    <comment authorId="0" ref="F268">
      <text>
        <t xml:space="preserve">Lote escolhido por Valter (em azul no PDF).</t>
      </text>
    </comment>
    <comment authorId="0" ref="F396">
      <text>
        <t xml:space="preserve">Estudo 2 do Rafael, LOTES LOTEAMENTOS EXECUTADOS E REGISTRADOS, pp. 74-77. Patrimônio considerado pelo Valter R$ 650.000,00; 1/6 R$ 108.333,33. Nenhum lote escolhido; o 1/6 fica como crédito residual da Valter.</t>
      </text>
    </comment>
    <comment authorId="0" ref="F425">
      <text>
        <t xml:space="preserve">Estudo 2 do Rafael, LOTES LOTEAMENTOS EXECUTADOS E REGISTRADOS, pp. 88-93. Patrimônio considerado pelo Valter R$ 2.080.000,00; 1/6 R$ 346.666,67. Lotes escolhidos: 2, R$ 517.000,00. Os lotes em possível APP (12 e 13 da quadra 1650, 4 da quadra 1676) aparecem entre os escolhidos, e o texto cita diferença em favor da Valter de R$ 7.700.000, valor que não decorre dos números (os 3 lotes somam R$ 730.000).</t>
      </text>
    </comment>
    <comment authorId="0" ref="F136">
      <text>
        <t xml:space="preserve">Estudo 2 do Rafael, LOTES LOTEAMENTOS EXECUTADOS E REGISTRADOS, pp. 25-28. Patrimônio considerado pelo Valter R$ 2.647.000,00; 1/6 R$ 441.166,67. Lotes escolhidos: 4, R$ 678.000,00. O quadro da Valter traz R$ 236.833,34 como valor dos bens escolhidos; R$ 236.833,34 é a diferença entre os escolhidos (R$ 678.000) e o 1/6.</t>
      </text>
    </comment>
    <comment authorId="0" ref="F392">
      <text>
        <t xml:space="preserve">Estudo 2 do Rafael, LOTES LOTEAMENTOS EXECUTADOS E REGISTRADOS, pp. 70-73. Patrimônio considerado pelo Valter R$ 142.000,00; 1/6 R$ 23.666,67. Nenhum lote escolhido; o 1/6 fica como crédito residual da Valter.</t>
      </text>
    </comment>
    <comment authorId="0" ref="F582">
      <text>
        <t xml:space="preserve">Estudo 2 do Rafael, ÁREAS CONTRATADAS LOTEAMENTO CAMINHOS DO SOL, p. 5: lista do Loteamento Alto das Graças I (14 lotes, R$ 3.699.000) dentro do documento de Caminhos do Sol.</t>
      </text>
    </comment>
    <comment authorId="0" ref="F677">
      <text>
        <t xml:space="preserve">Estudo 2 do Rafael, LOTES DE TERCEIROS INDENIZAVEIS, pp. 1-2: 26 lotes, R$ 16.240.000. 1/6 Valter R$ 2.706.666,67 (o PDF traz R$ 2.706.333,33 na p. 5).</t>
      </text>
    </comment>
    <comment authorId="0" ref="F673">
      <text>
        <t xml:space="preserve">Estudo 2 do Rafael, ÁREAS CONTRATADAS LOTEAMENTO PASQUAL, pp. 5-6: patrimônio R$ 1.479.000, menos multa R$ 1.500.000. 1/6 Valter R$ 246.500; 1/6 da multa R$ 250.000; a complementar R$ 3.500.</t>
      </text>
    </comment>
    <comment authorId="0" ref="F512">
      <text>
        <t xml:space="preserve">Estudo 2 do Rafael, LOTES LOTEAMENTOS EXECUTADOS E REGISTRADOS, pp. 126-131. Patrimônio considerado pelo Valter R$ 5.336.000,00; 1/6 R$ 889.333,33. Lotes escolhidos: 10, R$ 876.000,00.</t>
      </text>
    </comment>
    <comment authorId="0" ref="F669">
      <text>
        <t xml:space="preserve">Estudo 2 do Rafael, ÁREAS CONTRATADAS LOTEAMENTO VISTA DA COLINA, pp. 5-8: 24 lotes x R$ 141.000 = R$ 3.384.000, menos multa R$ 2.556.900 e despesas R$ 108.000. 1/6 Valter R$ 564.000; 1/6 dos encargos R$ 444.150; crédito R$ 119.850. A multa difere de 20% x R$ 12.100.000 (= R$ 2.420.000).</t>
      </text>
    </comment>
    <comment authorId="0" ref="F219">
      <text>
        <t xml:space="preserve">Lote escolhido por Valter (em azul no PDF).</t>
      </text>
    </comment>
    <comment authorId="0" ref="F409">
      <text>
        <t xml:space="preserve">Grupo R$ 847.000,00, Valter R$ 1.100.000,00.</t>
      </text>
    </comment>
    <comment authorId="0" ref="F120">
      <text>
        <t xml:space="preserve">Estudo 2 do Rafael, LOTES LOTEAMENTOS EXECUTADOS E REGISTRADOS, pp. 16-20. Patrimônio considerado pelo Valter R$ 520.000,00; 1/6 R$ 86.666,67. Nenhum lote escolhido; o 1/6 fica como crédito residual da Valter. O Grupo lista os 4 lotes como ÁREA DE APP (total R$ 0.000.000,00); o Valter atribui R$ 520.000 ao conjunto, sem valor por lote, e registra diferença em seu favor de R$ 520.000 (verificar documentação das APPs).</t>
      </text>
    </comment>
    <comment authorId="0" ref="F599">
      <text>
        <t xml:space="preserve">Estudo 2 do Rafael, LOTES LOTEAMENTOS EXECUTADOS E REGISTRADOS, pp. 140-145. Patrimônio considerado pelo Valter R$ 18.216.000,00; 1/6 R$ 3.036.000,00. Lotes escolhidos: 7, R$ 4.571.000,00.</t>
      </text>
    </comment>
    <comment authorId="0" ref="F310">
      <text>
        <t xml:space="preserve">Lote escolhido por Valter (em azul no PDF).</t>
      </text>
    </comment>
    <comment authorId="0" ref="F405">
      <text>
        <t xml:space="preserve">Grupo R$ 770.000,00, Valter R$ 1.100.000,00.</t>
      </text>
    </comment>
    <comment authorId="0" ref="F83">
      <text>
        <t xml:space="preserve">Grupo R$ 40.000, Valter R$ 250.000.</t>
      </text>
    </comment>
    <comment authorId="0" ref="F211">
      <text>
        <t xml:space="preserve">Lote escolhido por Valter (em azul no PDF).</t>
      </text>
    </comment>
    <comment authorId="0" ref="F50">
      <text>
        <t xml:space="preserve">Grupo R$ 250.000, Valter R$ 450.000. A avaliação cita 326,50 m² (testada 14,50 m), o balanço 362,50 m².</t>
      </text>
    </comment>
    <comment authorId="0" ref="F207">
      <text>
        <t xml:space="preserve">Estudo 2 do Rafael, LOTEAMENTO COLINA DO RETIRO II, pp. 4-6: 102 lotes, R$ 20.181.000 (Valter não reavalia os lotes). 1/6 = R$ 3.363.500 (17 lotes); lotes escolhidos pelo Valter (azul): 20 lotes, R$ 3.881.000; crédito após 1/6 da obra (R$ 633.333,33): R$ 2.730.166,67. Linhas 311-314 não constam no estudo.</t>
      </text>
    </comment>
    <comment authorId="0" ref="F79">
      <text>
        <t xml:space="preserve">Grupo R$ 1.000.000, Valter R$ 1.800.000.</t>
      </text>
    </comment>
    <comment authorId="0" ref="F269">
      <text>
        <t xml:space="preserve">Lote escolhido por Valter (em azul no PDF).</t>
      </text>
    </comment>
    <comment authorId="0" ref="F170">
      <text>
        <t xml:space="preserve">Estudo 2 do Rafael, LOTES LOTEAMENTOS EXECUTADOS E REGISTRADOS, pp. 33-39. Patrimônio considerado pelo Valter R$ 8.374.000,00; 1/6 R$ 1.395.666,67 (PDF: R$ 1.395.666,00). Lotes escolhidos: 5, R$ 1.789.000,00. O texto diz que os escolhidos ficam R$ 47.166,67 acima do 1/6 (número do Colina do Retiro I); pelos valores do quadro a diferença é R$ 393.333,33.</t>
      </text>
    </comment>
    <comment authorId="0" ref="F682">
      <text>
        <t xml:space="preserve">O estudo e o inventário 11 trazem Lote 004, Quadra 1292, R$ 135.000.</t>
      </text>
    </comment>
    <comment authorId="1" xr:uid="{4d56bd02-92d5-47a1-9dc5-78f9ca4fd8e1}" ref="B86">
      <text>
        <t xml:space="preserve">[Threaded comment]
 Your version of Excel allows you to read this threaded comment; however, any edits to it will get removed if the file is opened in a newer version of Excel. Learn more: https://go.microsoft.com/fwlink/?linkid=870924
Comment:
	DESCRIÇÃO ANTIGA:
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
Cadastrada no ITR – Receita Federal sob nº 1.731.666-9
INCRA/CCIR nº 854.093.030.619-7 | valor: R$ 50.000,00
</t>
      </text>
    </comment>
    <comment authorId="2" xr:uid="{74b63f75-903d-471b-9bac-e7ce238b1934}" ref="E1">
      <text>
        <t xml:space="preserve">[Threaded comment]
 Your version of Excel allows you to read this threaded comment; however, any edits to it will get removed if the file is opened in a newer version of Excel. Learn more: https://go.microsoft.com/fwlink/?linkid=870924
Comment:
	Patrimônio liquido da empresa
</t>
      </text>
    </comment>
    <comment authorId="3" xr:uid="{beb2a02c-51a0-40f4-8f12-e2a33358be14}" ref="B81">
      <text>
        <t xml:space="preserve">[Threaded comment]
 Your version of Excel allows you to read this threaded comment; however, any edits to it will get removed if the file is opened in a newer version of Excel. Learn more: https://go.microsoft.com/fwlink/?linkid=870924
Comment:
	DESCRIÇÃO ANTIGA:
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R$ 10.000,00 cada chácara. | valor: R$ 100.000,00
</t>
      </text>
    </comment>
    <comment authorId="4" xr:uid="{dabdc746-6347-419a-97ed-9c67a238efce}" ref="B78">
      <text>
        <t xml:space="preserve">[Threaded comment]
 Your version of Excel allows you to read this threaded comment; however, any edits to it will get removed if the file is opened in a newer version of Excel. Learn more: https://go.microsoft.com/fwlink/?linkid=870924
Comment:
	DESCRIÇÃO ANTIGA:
Uma área de terras rurais, denominada de PARTE DO LOTE RURAL Nº 12, com área total de 13,0 hectares, localizada na Linha Júlio de Castilhos, no Município de Veranópolis – RS, adquirida da FAMÍLIA SANGALI, área registrada sob Matrícula nº.: 3.062.
Matrícula nº 3.062 = 13,0 hectares X 11.000,00
Cadastrada no CCIR – Receita Federal sob nº 2.481.950-6 | valor: R$ 143.000,00
</t>
      </text>
    </comment>
    <comment authorId="5" xr:uid="{dc078dba-63bd-4bf1-9624-61bb451ac379}" ref="B85">
      <text>
        <t xml:space="preserve">[Threaded comment]
 Your version of Excel allows you to read this threaded comment; however, any edits to it will get removed if the file is opened in a newer version of Excel. Learn more: https://go.microsoft.com/fwlink/?linkid=870924
Comment:
	DESCRIÇÃO ANTIGA:
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
Cadastrada no ITR – Receita Federal sob nº 1.893.570-2
INCRA/CCIR nº 854.093.042.013-5 | valor: R$ 45.000,00
</t>
      </text>
    </comment>
    <comment authorId="6" xr:uid="{f190a087-cc9a-4483-a107-e1ce74a8de6d}" ref="B83">
      <text>
        <t xml:space="preserve">[Threaded comment]
 Your version of Excel allows you to read this threaded comment; however, any edits to it will get removed if the file is opened in a newer version of Excel. Learn more: https://go.microsoft.com/fwlink/?linkid=870924
Comment:
	DESCRIÇÃO ANTIGA:
Uma área de terras rurais, denominada de LOTE Nº 33, com área total de 15,1 hectares, localizada no Município de Cotiporã – RS, na Linha Júlio de Castilhos, adquirida do Senhor ARMELINDO CALZA, área esta registrada sob Matrícula nº.: 1.218. Matrícula nº 1.218 = 15,1 hectares X R$ 5.000,00 | valor: R$ 75.500,00
</t>
      </text>
    </comment>
    <comment authorId="7" xr:uid="{fb8d1111-9313-47fd-99a1-eb30f1252544}" ref="B71">
      <text>
        <t xml:space="preserve">[Threaded comment]
 Your version of Excel allows you to read this threaded comment; however, any edits to it will get removed if the file is opened in a newer version of Excel. Learn more: https://go.microsoft.com/fwlink/?linkid=870924
Comment:
	DESCRIÇÃO ANTIGA:
Um terreno urbano, com a área de 1.942,03m², localizado na Rodovia BR 470, Km 175,4, no Bairro Valverde, devidamente registrado no Ofício de Registro de Imóveis da Comarca de Veranópolis, sob a Matrícula nº 17.409, localizado ao lado da empresa Oleoplan S/A, considerado o valor de R$ 2.000,00, ao metro quadrado, conforme sua localização e referência comercial = R$ 3.884.060,00.
Um terreno urbano, com a área de 2.850,00m², localizado na Rodovia BR 470, Km 175,4, no Bairro Valverde, devidamente registrado no Ofício de Registro de Imóveis da Comarca de Veranópolis, sob a Matrícula nº 6.136, localizado ao lado da empresa Oleoplan S/A, considerado o valor de R$ 2.000,00, ao metro quadrado, conforme sua localização e referência comercial = R$ 5.700.000,00.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 | valor: R$ 13.631.378,60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0">
      <text>
        <t xml:space="preserve">Fonte: arquivo 17 (SIVIERO EMPREENDIMENTOS IMOBILIÁRIOS LTDA. - LOTES VENDIDOS DE JANEIRO DE 2018 A OUTUBRO DE 2025 - REV.13.08.2026.xlsx, aba Lotes), arquivo 18 (PLANILHA DE LOTES VENDIDOS E VALORES PAGOS PARA AQUISIÇÃO DE BENS - VÁLTER MATERIAIS DE CONSTRUÇÃO LTDA. E VÁLTER SIVIERO.xlsx) e aba 11.Empreendimentos desta planilha. Arquivos 17 e 18 na pasta Material Siviero/2025/2026-08-13 — [siviero] respostas docs. A coluna Fonte indica a linha ou o item de origem de cada lote.</t>
      </text>
    </comment>
    <comment authorId="0" ref="C37">
      <text>
        <t xml:space="preserve">Fonte: inventário da Siviero Empreendimentos Imobiliários Ltda. em 31.12.2018, item Loteamentos executados e registrados (quantidade de lotes por loteamento). Estes loteamentos aparecem na aba 11.Empreendimentos só no bloco A (constam apenas na relação de 2018), sem a quantidade em célula própria.</t>
      </text>
    </comment>
  </commentList>
</comments>
</file>

<file path=xl/sharedStrings.xml><?xml version="1.0" encoding="utf-8"?>
<sst xmlns="http://schemas.openxmlformats.org/spreadsheetml/2006/main" count="5871" uniqueCount="2583">
  <si>
    <t>Estudo 2 do Rafael comparado ao inventário 11 (Siviero Empreendimentos Imobiliários, 31.12.2024)</t>
  </si>
  <si>
    <t>Valores a 100% da empresa. Inventário 2025 = coluna E da GERAL; Estudo Rafael = coluna F da GERAL (valores do Valter). Resultado para a Valter: crédito (+) ou valor a complementar (−) informado no quadro-resumo de cada PDF.</t>
  </si>
  <si>
    <t>Seção</t>
  </si>
  <si>
    <t>Item</t>
  </si>
  <si>
    <t>Linha na GERAL</t>
  </si>
  <si>
    <t>Inventário 2025 (R$)</t>
  </si>
  <si>
    <t>Estudo Rafael (R$)</t>
  </si>
  <si>
    <t>Diferença (R$)</t>
  </si>
  <si>
    <t>SIVIERO EMPREENDIMENTOS IMOBILIÁRIOS LTDA.</t>
  </si>
  <si>
    <t>Resultado p/ Valter no PDF (R$)</t>
  </si>
  <si>
    <t>Observação</t>
  </si>
  <si>
    <t>11.1.3</t>
  </si>
  <si>
    <t>Lotes urbanos em Veranópolis e Bento Gonçalves</t>
  </si>
  <si>
    <t>Coluna G: R$ 1.985.000 da linha "Diferença nominal a complementar da Valter" do quadro-resumo (p. 11), com sinal negativo por ser valor a complementar. Valter reavalia os itens 02 (+R$ 200.000) e 07 (+R$ 20.000). Escolhe os itens 03, 05, 06 e 08 (R$ 2.570.000) contra 1/6 de R$ 585.000.</t>
  </si>
  <si>
    <t>11.1.5</t>
  </si>
  <si>
    <t>Áreas rurais em Veranópolis, Cotiporã, Fagundes Varela e Caxias do Sul</t>
  </si>
  <si>
    <t>Coluna G: linha "Crédito patrimonial da Valter" do quadro-resumo (p. 25). Valter reavalia 7 dos 12 itens. Escolhe o item 02 (R$ 1.500.000) contra 1/6 de R$ 1.819.776,66.</t>
  </si>
  <si>
    <t>11.1.6</t>
  </si>
  <si>
    <t>Loteamentos executados e registrados (31)</t>
  </si>
  <si>
    <t>valores 2018 -&gt; 2025:</t>
  </si>
  <si>
    <t>Estudo Rafael (Valter)</t>
  </si>
  <si>
    <t>Coluna G vazia: o PDF não traz um resultado único para os 31 loteamentos; o saldo de cada um está na coluna G da tabela de loteamentos (linhas 31 a 61). Valter só altera o Lago Negro (+R$ 1.479.000) e o Fracionamento Simioni (+R$ 520.000).</t>
  </si>
  <si>
    <t>11.2.1</t>
  </si>
  <si>
    <t>Caminhos do Sol</t>
  </si>
  <si>
    <t>Dif. Rafael − Inv. 2025</t>
  </si>
  <si>
    <t>Coluna G: linha "Crédito patrimonial da Valter" do quadro-resumo (p. 6). No inventário o valor é o placeholder R$ 00.000.000,00. Valter: 61 lotes x R$ 141.000.</t>
  </si>
  <si>
    <t>Vale das Colinas</t>
  </si>
  <si>
    <t>Coluna G: linha "Crédito patrimonial da Valter" do quadro-resumo (p. 7). O crédito correto seria R$ 134.760,83 (erro no 1/6 dos encargos).</t>
  </si>
  <si>
    <t>PATRIMÔNIO</t>
  </si>
  <si>
    <t>Vista da Colina</t>
  </si>
  <si>
    <t>Coluna G: linha "Crédito patrimonial da Valter" do quadro-resumo (p. 8). Multa de R$ 2.556.900 difere de 20% do custo (R$ 2.420.000).</t>
  </si>
  <si>
    <t>Famílias Pedrotti, Andreis e Lorandi</t>
  </si>
  <si>
    <t>Coluna G: linha "Crédito patrimonial da Valter" do quadro-resumo (p. 7). Mesmo número de lotes (242) e custo (R$ 12,1 mi) que Vista da Colina.</t>
  </si>
  <si>
    <t>Família Cecconello</t>
  </si>
  <si>
    <t>Coluna G: linha "Valor líquido hipotético" do quadro da p. 5 (R$ 1.310.833,33); o quadro-resumo da p. 6 arredonda para R$ 1.310.834. A p. 1 estima 130 lotes; as pp. 2-5 usam 180.</t>
  </si>
  <si>
    <t>Bonetto</t>
  </si>
  <si>
    <t>Coluna G: linha "Crédito patrimonial da Valter 1/6" do quadro-resumo (p. 6).</t>
  </si>
  <si>
    <t>Pasqual</t>
  </si>
  <si>
    <t>Coluna G: linha "Diferença nominal a complementar da Valter" do quadro-resumo (p. 6), negativa no próprio PDF. O valor vem de arredondamento (2,41 x 2,4167 bens).</t>
  </si>
  <si>
    <t>Industrial Dr. Letti</t>
  </si>
  <si>
    <t>Coluna G: "parcela potencial da Valter" (1/6 da multa) no quadro de consolidação dos riscos (p. 4), com sinal negativo por ser obrigação. O quadro-resumo (p. 7) soma Dr. Letti e Sol Nascente III: R$ 451.333,33 a complementar. Sem estimativa de lotes (aparece como ???).</t>
  </si>
  <si>
    <t>Sol Nascente III</t>
  </si>
  <si>
    <t>Coluna G: "parcela potencial da Valter" (1/6 da multa) no quadro de consolidação dos riscos (p. 4), com sinal negativo por ser obrigação. Município aparece como Antônio Prado e como Farroupilha.</t>
  </si>
  <si>
    <t>11.2.2</t>
  </si>
  <si>
    <t>Lotes de terceiros passíveis de indenização</t>
  </si>
  <si>
    <t>Coluna G vazia: o PDF (p. 5) traz R$ 2.706.333,33 como "crédito patrimonial de referência, 1/6", sem dizer se soma ou subtrai. Mesmos 26 lotes.</t>
  </si>
  <si>
    <t>11.2.3</t>
  </si>
  <si>
    <t>Obras finais no Colina do Retiro II</t>
  </si>
  <si>
    <t>Coluna G vazia: o 1/6 da obra (R$ 633.333,33, PDF do Colina do Retiro II, pp. 3 e 9) já está descontado no crédito de R$ 2.730.166,67 desse loteamento.</t>
  </si>
  <si>
    <t>11.2.4 e 11.2.5</t>
  </si>
  <si>
    <t>Demais compromissos e empréstimos</t>
  </si>
  <si>
    <t>11.1.1</t>
  </si>
  <si>
    <t>Veículos</t>
  </si>
  <si>
    <t>Coluna G: linha "Reflexo proporcional das obrigações" (1/6) do quadro-resumo do PDF DEMAIS COMPROMISSOS (p. 3), com sinal negativo por ser obrigação. O estudo só traz o total dos itens 1 a 24.</t>
  </si>
  <si>
    <t>Total dos itens comparados</t>
  </si>
  <si>
    <t>Itens da GERAL sem estudo correspondente</t>
  </si>
  <si>
    <t>11.1.2</t>
  </si>
  <si>
    <t>Máquinas</t>
  </si>
  <si>
    <t>11.1.3.A</t>
  </si>
  <si>
    <t>Imóveis e móveis (11.1.3.A)</t>
  </si>
  <si>
    <t>11.1.4</t>
  </si>
  <si>
    <t>imóveis que precisam ser avaliados</t>
  </si>
  <si>
    <t>Áreas urbanas em Veranópolis</t>
  </si>
  <si>
    <t>pedir valor de todas vendas no período (+comissão, +impostos e etc)</t>
  </si>
  <si>
    <t>questionar diferença entre a avaliação do patrimônio da cisão do Rovílio e a nossa</t>
  </si>
  <si>
    <t>Total sem estudo</t>
  </si>
  <si>
    <t>pedir processos multas ambientais: listar quais</t>
  </si>
  <si>
    <t>questionar lógica de cobrar multas e processos ainda não pagos (ex.: lot.caxias / lotes farroupilha)</t>
  </si>
  <si>
    <t>casa joel capão da canoa (condomínio Condado de Capão) + lotes comprados de Cândido Boff e etc</t>
  </si>
  <si>
    <r>
      <rPr>
        <rFont val="Calibri"/>
        <color theme="1"/>
        <sz val="10.0"/>
      </rPr>
      <t xml:space="preserve">Um veículo caminhão basculante, marca VW = </t>
    </r>
    <r>
      <rPr>
        <rFont val="Calibri"/>
        <b/>
        <color theme="1"/>
        <sz val="10.0"/>
      </rPr>
      <t>PLACA IUV 8D25</t>
    </r>
    <r>
      <rPr>
        <rFont val="Calibri"/>
        <color theme="1"/>
        <sz val="10.0"/>
      </rPr>
      <t>, cor branca, ano 2013, adquirido da empresa Dalfovo. | valor: R$ 198.000,00</t>
    </r>
  </si>
  <si>
    <t>cópia dos contratos buriti</t>
  </si>
  <si>
    <t>todos urbanísticos e licenças dos loteamentos em execução os contratados</t>
  </si>
  <si>
    <t>achar contrato da compra de 2 lotes no Caminhos do Sol feitos pelo Dante. Acredito que eles diminuiram os lotes vendidos</t>
  </si>
  <si>
    <t>Loteamentos executados: 1/6 da Valter e lotes escolhidos</t>
  </si>
  <si>
    <t>Coluna F: soma dos lotes que a Valter escolheu, listados no PDF LOTES LOTEAMENTOS EXECUTADOS E REGISTRADOS (sem os lotes em possível APP). Coluna G: calculada nesta aba, 1/6 (coluna E) menos escolhidos (coluna F). Positivo: crédito da Valter; negativo: escolhidos acima do 1/6. O resultado confere com a "diferença nominal" citada no PDF de cada loteamento, exceto no Salvador.</t>
  </si>
  <si>
    <t>Dúvida:</t>
  </si>
  <si>
    <t>Loteamento</t>
  </si>
  <si>
    <t>1/6 da Valter (R$)</t>
  </si>
  <si>
    <t>Lotes escolhidos pela Valter (R$)</t>
  </si>
  <si>
    <t>Saldo da Valter (R$)</t>
  </si>
  <si>
    <t>01</t>
  </si>
  <si>
    <t>Loteamento Sol Nascente I</t>
  </si>
  <si>
    <t>Houve uma redução de 751 lotes para</t>
  </si>
  <si>
    <r>
      <rPr>
        <rFont val="Calibri"/>
        <color theme="1"/>
        <sz val="10.0"/>
      </rPr>
      <t xml:space="preserve">Um veículo caminhão basculante, marca VW = PLACA </t>
    </r>
    <r>
      <rPr>
        <rFont val="Calibri"/>
        <b/>
        <color theme="1"/>
        <sz val="10.0"/>
      </rPr>
      <t>IUV 8D09</t>
    </r>
    <r>
      <rPr>
        <rFont val="Calibri"/>
        <color theme="1"/>
        <sz val="10.0"/>
      </rPr>
      <t>, cor branca, ano 2013, adquirido da empresa Dalfovo. | valor: R$ 198.000,00</t>
    </r>
  </si>
  <si>
    <t>VALUATIONS NECESSÁRIAS</t>
  </si>
  <si>
    <r>
      <rPr>
        <rFont val="Calibri"/>
        <color theme="1"/>
        <sz val="10.0"/>
      </rPr>
      <t xml:space="preserve">Um veículo caminhão basculante, marca MERCEDES BENZ, L1620 = </t>
    </r>
    <r>
      <rPr>
        <rFont val="Calibri"/>
        <b/>
        <color theme="1"/>
        <sz val="10.0"/>
      </rPr>
      <t>PLACA ILQ 1739</t>
    </r>
    <r>
      <rPr>
        <rFont val="Calibri"/>
        <color theme="1"/>
        <sz val="10.0"/>
      </rPr>
      <t>, cor cinza, ano 2003. | valor: R$ 98.000,00</t>
    </r>
  </si>
  <si>
    <t>TOTAIS:</t>
  </si>
  <si>
    <r>
      <rPr>
        <rFont val="Calibri"/>
        <color theme="1"/>
        <sz val="10.0"/>
      </rPr>
      <t xml:space="preserve">Um veículo caminhão basculante, marca MERCEDES BENZ, = </t>
    </r>
    <r>
      <rPr>
        <rFont val="Calibri"/>
        <b/>
        <color theme="1"/>
        <sz val="10.0"/>
      </rPr>
      <t>PLACA IBP 3873</t>
    </r>
    <r>
      <rPr>
        <rFont val="Calibri"/>
        <color theme="1"/>
        <sz val="10.0"/>
      </rPr>
      <t>, cor vermelha, ano 1990. | valor: R$ 53.000,00</t>
    </r>
  </si>
  <si>
    <t>A íntegra dos documentos:</t>
  </si>
  <si>
    <t>Nome do Loteamento</t>
  </si>
  <si>
    <t>02</t>
  </si>
  <si>
    <t>01. Abastecedora</t>
  </si>
  <si>
    <t>Loteamento Boito</t>
  </si>
  <si>
    <t>Lotes 2018</t>
  </si>
  <si>
    <t>Lotes 2025</t>
  </si>
  <si>
    <t>Negociados</t>
  </si>
  <si>
    <t>05. Hotel Princesa dos Vales</t>
  </si>
  <si>
    <t>06. Hotel Araçá</t>
  </si>
  <si>
    <t>Loteamento Sol Nascente I - Antônio Prado – RS</t>
  </si>
  <si>
    <t>07. Rádio Comunidade</t>
  </si>
  <si>
    <t>03</t>
  </si>
  <si>
    <t>Condomínio Morada do Ipê I</t>
  </si>
  <si>
    <t>08. Transportadora</t>
  </si>
  <si>
    <r>
      <rPr>
        <rFont val="Calibri"/>
        <color theme="1"/>
        <sz val="10.0"/>
      </rPr>
      <t xml:space="preserve">Um veículo caminhão SCANIA = </t>
    </r>
    <r>
      <rPr>
        <rFont val="Calibri"/>
        <b/>
        <color theme="1"/>
        <sz val="10.0"/>
      </rPr>
      <t>PLACA IIQ 0751</t>
    </r>
    <r>
      <rPr>
        <rFont val="Calibri"/>
        <color theme="1"/>
        <sz val="10.0"/>
      </rPr>
      <t>, cor laranja, ano 1963. | valor: R$ 28.000,00</t>
    </r>
  </si>
  <si>
    <t>Loteamento Boito - Nova Prata – RS</t>
  </si>
  <si>
    <t>Da Siviero Empreendimentos</t>
  </si>
  <si>
    <t>04</t>
  </si>
  <si>
    <t>Loteamento Fracionamento Simioni</t>
  </si>
  <si>
    <t>Empreendimentos não executados</t>
  </si>
  <si>
    <t>Contratos com Buriti</t>
  </si>
  <si>
    <t>Condomínio Morada do Ipê I - Passo Fundo – RS</t>
  </si>
  <si>
    <r>
      <rPr>
        <rFont val="Calibri"/>
        <color theme="1"/>
        <sz val="10.0"/>
      </rPr>
      <t xml:space="preserve">Um semirreboque RANDON = PLACA </t>
    </r>
    <r>
      <rPr>
        <rFont val="Calibri"/>
        <b/>
        <color theme="1"/>
        <sz val="10.0"/>
      </rPr>
      <t>IHP 6632</t>
    </r>
    <r>
      <rPr>
        <rFont val="Calibri"/>
        <color theme="1"/>
        <sz val="10.0"/>
      </rPr>
      <t>, cor amarelo, ano 1990. | valor: R$ 25.000,00</t>
    </r>
  </si>
  <si>
    <t>Imóveis de valor não corrigido (itens 1.3 / 1.4 / 1.5)</t>
  </si>
  <si>
    <t>Grupo: 4 lotes em APP, total R$ 0. Valter: R$ 520.000 para o conjunto e diferença em seu favor de R$ 520.000.</t>
  </si>
  <si>
    <t>05</t>
  </si>
  <si>
    <t>Loteamento Fracionamento Simioni - Veranópolis – RS</t>
  </si>
  <si>
    <t>Loteamento Solar Norte I e II</t>
  </si>
  <si>
    <r>
      <rPr>
        <rFont val="Calibri"/>
        <color theme="1"/>
        <sz val="10.0"/>
      </rPr>
      <t xml:space="preserve">Um veículo Mercedinha, marca MERCEDES BENZ, L608 = </t>
    </r>
    <r>
      <rPr>
        <rFont val="Calibri"/>
        <b/>
        <color theme="1"/>
        <sz val="10.0"/>
      </rPr>
      <t>PLACA BWF 0672</t>
    </r>
    <r>
      <rPr>
        <rFont val="Calibri"/>
        <color theme="1"/>
        <sz val="10.0"/>
      </rPr>
      <t>, cor vermelha, ano 1979. | valor: R$ 20.000,00</t>
    </r>
  </si>
  <si>
    <t>Loteamento Solar Norte - Veranópolis – RS</t>
  </si>
  <si>
    <r>
      <rPr>
        <rFont val="Calibri"/>
        <color theme="1"/>
        <sz val="10.0"/>
      </rPr>
      <t xml:space="preserve">Um veículo caminhão basculante, marca MERCEDES BENZ, L1316 = </t>
    </r>
    <r>
      <rPr>
        <rFont val="Calibri"/>
        <b/>
        <color theme="1"/>
        <sz val="10.0"/>
      </rPr>
      <t>PLACA IHZ 0172</t>
    </r>
    <r>
      <rPr>
        <rFont val="Calibri"/>
        <color theme="1"/>
        <sz val="10.0"/>
      </rPr>
      <t>, cor vermelha, ano 1984. | valor: R$ 50.000,00</t>
    </r>
  </si>
  <si>
    <t>06</t>
  </si>
  <si>
    <t>Loteamento Aditivo Medianeira</t>
  </si>
  <si>
    <t>Loteamento Aditivo Medianeira - Veranópolis – RS</t>
  </si>
  <si>
    <r>
      <rPr>
        <rFont val="Calibri"/>
        <color theme="1"/>
        <sz val="10.0"/>
      </rPr>
      <t xml:space="preserve">Um veículo caminhão basculante, marca MERCDES BENZ = </t>
    </r>
    <r>
      <rPr>
        <rFont val="Calibri"/>
        <b/>
        <color theme="1"/>
        <sz val="10.0"/>
      </rPr>
      <t>PLACA IHW 8294</t>
    </r>
    <r>
      <rPr>
        <rFont val="Calibri"/>
        <color theme="1"/>
        <sz val="10.0"/>
      </rPr>
      <t>, cor grená, ano 1974. | valor: R$ 30.000,00</t>
    </r>
  </si>
  <si>
    <t>O quadro traz R$ 236.833,34 como valor dos escolhidos (é a diferença entre R$ 678.000 e o 1/6).</t>
  </si>
  <si>
    <t>Loteamento Colina do Retiro I – Veranópolis – RS</t>
  </si>
  <si>
    <t>07</t>
  </si>
  <si>
    <t>LOTEAMENTOS EXECUTADOS E REGISTRADOS</t>
  </si>
  <si>
    <t>Loteamento Colina do Retiro I</t>
  </si>
  <si>
    <r>
      <rPr>
        <rFont val="Calibri"/>
        <color theme="1"/>
        <sz val="10.0"/>
      </rPr>
      <t xml:space="preserve">Um veículo caminhão, marca SCÂNIA = </t>
    </r>
    <r>
      <rPr>
        <rFont val="Calibri"/>
        <b/>
        <color theme="1"/>
        <sz val="10.0"/>
      </rPr>
      <t>PLACA IHK 2435</t>
    </r>
    <r>
      <rPr>
        <rFont val="Calibri"/>
        <color theme="1"/>
        <sz val="10.0"/>
      </rPr>
      <t>, cor laranja, ano 1967. | valor: R$ 0.000,00</t>
    </r>
  </si>
  <si>
    <t>Diferença</t>
  </si>
  <si>
    <t>(%)</t>
  </si>
  <si>
    <t xml:space="preserve"> Em 2018 valia R$40mil. Diferença provável depreciação </t>
  </si>
  <si>
    <t>Loteamento Salvador - Veranópolis – RS</t>
  </si>
  <si>
    <t>08</t>
  </si>
  <si>
    <t>Loteamento Salvador – Alberto Salvador – FEMAÇÃ II</t>
  </si>
  <si>
    <r>
      <rPr>
        <rFont val="Calibri"/>
        <color theme="1"/>
        <sz val="10.0"/>
      </rPr>
      <t xml:space="preserve">Uma camionete TOYOTA HILUX, cor preta, ano 2018 = </t>
    </r>
    <r>
      <rPr>
        <rFont val="Calibri"/>
        <b/>
        <color theme="1"/>
        <sz val="10.0"/>
      </rPr>
      <t>PLACA IYJ 8I14</t>
    </r>
    <r>
      <rPr>
        <rFont val="Calibri"/>
        <color theme="1"/>
        <sz val="10.0"/>
      </rPr>
      <t>. | valor: R$ 188.000,00</t>
    </r>
  </si>
  <si>
    <t>Número de lotes apresentados:</t>
  </si>
  <si>
    <t>Loteamento Colina do Retiro II - Frainer - Veranópolis – RS</t>
  </si>
  <si>
    <r>
      <rPr>
        <rFont val="Calibri"/>
        <color theme="1"/>
        <sz val="10.0"/>
      </rPr>
      <t xml:space="preserve">Um veículo caminhão, marca SCÂNIA = </t>
    </r>
    <r>
      <rPr>
        <rFont val="Calibri"/>
        <b/>
        <color theme="1"/>
        <sz val="10.0"/>
      </rPr>
      <t>PLACA IIX 8288</t>
    </r>
    <r>
      <rPr>
        <rFont val="Calibri"/>
        <color theme="1"/>
        <sz val="10.0"/>
      </rPr>
      <t>, cor laranja, ano 1963. | valor: R$ 30.000,00</t>
    </r>
  </si>
  <si>
    <t>Loteamento Industrial Pedra Lisa - Veranópolis – RS</t>
  </si>
  <si>
    <t>O texto diz que os escolhidos ficam R$ 47.166,67 acima do 1/6 (número do Colina do Retiro I); pelos valores do quadro a diferença é R$ 393.333,33.</t>
  </si>
  <si>
    <t xml:space="preserve"> Em 2018 valia R$35mil. Diferença provável depreciação </t>
  </si>
  <si>
    <t>09</t>
  </si>
  <si>
    <t>Loteamento Colina do Retiro II</t>
  </si>
  <si>
    <r>
      <rPr>
        <rFont val="Calibri"/>
        <color theme="1"/>
        <sz val="10.0"/>
      </rPr>
      <t xml:space="preserve">Um carro automóvel FORD, cor vermelha, ano 1929 = </t>
    </r>
    <r>
      <rPr>
        <rFont val="Calibri"/>
        <b/>
        <color theme="1"/>
        <sz val="10.0"/>
      </rPr>
      <t>PLACA IKR 3B22</t>
    </r>
    <r>
      <rPr>
        <rFont val="Calibri"/>
        <color theme="1"/>
        <sz val="10.0"/>
      </rPr>
      <t xml:space="preserve"> – FUBICA. | valor: R$ 40.000,00</t>
    </r>
  </si>
  <si>
    <t>Loteamento Monte Vêneto - Carlos Barbosa – RS</t>
  </si>
  <si>
    <t>Loteamento Baldasso - Carlos Barbosa – RS</t>
  </si>
  <si>
    <r>
      <rPr>
        <rFont val="Calibri"/>
        <color theme="1"/>
        <sz val="10.0"/>
      </rPr>
      <t xml:space="preserve">Uma camionete FORD RANGER, cor prata, ano 2010 = </t>
    </r>
    <r>
      <rPr>
        <rFont val="Calibri"/>
        <b/>
        <color theme="1"/>
        <sz val="10.0"/>
      </rPr>
      <t>PLACA NPQ OI67</t>
    </r>
    <r>
      <rPr>
        <rFont val="Calibri"/>
        <color theme="1"/>
        <sz val="10.0"/>
      </rPr>
      <t>. | valor: R$ 67.000,00</t>
    </r>
  </si>
  <si>
    <t>O crédito informado (R$ 2.730.166,67) usa o 1/6 de referência menos 1/6 da obra, e não a seleção de 20 lotes.</t>
  </si>
  <si>
    <t>10</t>
  </si>
  <si>
    <t>Loteamento Industrial Pedra Lisa</t>
  </si>
  <si>
    <r>
      <rPr>
        <rFont val="Calibri"/>
        <color theme="1"/>
        <sz val="10.0"/>
      </rPr>
      <t xml:space="preserve">Um veículo JEEP COMPASS = </t>
    </r>
    <r>
      <rPr>
        <rFont val="Calibri"/>
        <b/>
        <color theme="1"/>
        <sz val="10.0"/>
      </rPr>
      <t>PLACA GHX 9I84</t>
    </r>
    <r>
      <rPr>
        <rFont val="Calibri"/>
        <color theme="1"/>
        <sz val="10.0"/>
      </rPr>
      <t>, cor cinza, ano 2022. | valor: R$ 150.000,00</t>
    </r>
  </si>
  <si>
    <t>Loteamento Colina do Basalto - Nova Prata – RS</t>
  </si>
  <si>
    <t>Inventário 11, veículo 15: TOYOTA RAV4, placa IZQ 9H36, prata, 2019, R$ 155.000,00. A planilha descreve um JEEP COMPASS GHX 9I84 2022. Valor igual, bem diferente.</t>
  </si>
  <si>
    <t>11</t>
  </si>
  <si>
    <t>Loteamento Monte Vêneto</t>
  </si>
  <si>
    <t>Valores Atualizado para 2025:</t>
  </si>
  <si>
    <t>Loteamento Carnevalli – Nova Prata – RS</t>
  </si>
  <si>
    <r>
      <rPr>
        <rFont val="Calibri"/>
        <color theme="1"/>
        <sz val="10.0"/>
      </rPr>
      <t xml:space="preserve">Um veículo DODGE = </t>
    </r>
    <r>
      <rPr>
        <rFont val="Calibri"/>
        <b/>
        <color theme="1"/>
        <sz val="10.0"/>
      </rPr>
      <t>PLACA IQJ 5001</t>
    </r>
    <r>
      <rPr>
        <rFont val="Calibri"/>
        <color theme="1"/>
        <sz val="10.0"/>
      </rPr>
      <t>, cor azul, ano 1978.
VENDIDO PELO VALOR DE R$ 30.000,00, EM TROCA DE PALANQUES E POSTES DE MADEIRA.</t>
    </r>
  </si>
  <si>
    <t>12</t>
  </si>
  <si>
    <t>Loteamento Baldasso</t>
  </si>
  <si>
    <t>Loteamento Barbiero – Nova Prata – RS</t>
  </si>
  <si>
    <t>Loteamento Araçá - Nova Araçá – RS</t>
  </si>
  <si>
    <t>13</t>
  </si>
  <si>
    <t>Loteamento Colina do Basalto</t>
  </si>
  <si>
    <t>Loteamento Dalla Costa - Nova Bassano – RS</t>
  </si>
  <si>
    <t>Loteamento Lago Negro - Gramado – RS ( -8 lotes APP)</t>
  </si>
  <si>
    <t>14</t>
  </si>
  <si>
    <t>Loteamento Carnevalli</t>
  </si>
  <si>
    <r>
      <rPr>
        <rFont val="Calibri"/>
        <color theme="1"/>
        <sz val="10.0"/>
      </rPr>
      <t xml:space="preserve">Um semirreboque ARTESANAL = </t>
    </r>
    <r>
      <rPr>
        <rFont val="Calibri"/>
        <b/>
        <color theme="1"/>
        <sz val="10.0"/>
      </rPr>
      <t>PLACA IIH 6326</t>
    </r>
    <r>
      <rPr>
        <rFont val="Calibri"/>
        <color theme="1"/>
        <sz val="10.0"/>
      </rPr>
      <t>, cor branca, ano 1986. | valor: R$ 20.000,00</t>
    </r>
  </si>
  <si>
    <t>Obs.:</t>
  </si>
  <si>
    <t>As diferenças de patrimônio e lotes parece grande demais. Seria uma média de 4 lotes vendidos por mês.</t>
  </si>
  <si>
    <t>Loteamento Perini - Farroupilha – RS</t>
  </si>
  <si>
    <t>Talvez lotes vendidos e não registrados antes de 2018 ainda constem nessa relação.</t>
  </si>
  <si>
    <t>15</t>
  </si>
  <si>
    <t>Loteamento Barbiero</t>
  </si>
  <si>
    <t>Loteamento San Marino - Farroupilha – RS ( -3 lotes APP)</t>
  </si>
  <si>
    <r>
      <rPr>
        <rFont val="Calibri"/>
        <color theme="1"/>
        <sz val="10.0"/>
      </rPr>
      <t xml:space="preserve">Um veículo camionete, marca </t>
    </r>
    <r>
      <rPr>
        <rFont val="Calibri"/>
        <b/>
        <color theme="1"/>
        <sz val="10.0"/>
      </rPr>
      <t>FORD, F1000</t>
    </r>
    <r>
      <rPr>
        <rFont val="Calibri"/>
        <color theme="1"/>
        <sz val="10.0"/>
      </rPr>
      <t xml:space="preserve"> TURBO XL = </t>
    </r>
    <r>
      <rPr>
        <rFont val="Calibri"/>
        <b/>
        <color theme="1"/>
        <sz val="10.0"/>
      </rPr>
      <t>PLACA IIO 5901</t>
    </r>
    <r>
      <rPr>
        <rFont val="Calibri"/>
        <color theme="1"/>
        <sz val="10.0"/>
      </rPr>
      <t>, cor prata, ano 1998 – Pedro Siviero.</t>
    </r>
  </si>
  <si>
    <t>Para esses números pegamos a média de preço dos lotes que a Siviero ainda possui e aplicamos</t>
  </si>
  <si>
    <t>Loteamento Firminio Dalzóchio - Farroupilha – RS</t>
  </si>
  <si>
    <t>16</t>
  </si>
  <si>
    <t>Loteamento Araçá</t>
  </si>
  <si>
    <r>
      <rPr>
        <rFont val="Calibri"/>
        <color theme="1"/>
        <sz val="10.0"/>
      </rPr>
      <t xml:space="preserve">Um veículo camionete, marca </t>
    </r>
    <r>
      <rPr>
        <rFont val="Calibri"/>
        <b/>
        <color theme="1"/>
        <sz val="10.0"/>
      </rPr>
      <t>FORD, F1000</t>
    </r>
    <r>
      <rPr>
        <rFont val="Calibri"/>
        <color theme="1"/>
        <sz val="10.0"/>
      </rPr>
      <t xml:space="preserve"> 4x4 = PLACA </t>
    </r>
    <r>
      <rPr>
        <rFont val="Calibri"/>
        <b/>
        <color theme="1"/>
        <sz val="10.0"/>
      </rPr>
      <t>IHP 6607</t>
    </r>
    <r>
      <rPr>
        <rFont val="Calibri"/>
        <color theme="1"/>
        <sz val="10.0"/>
      </rPr>
      <t>, cor prata, ano 1994 – Válter Siviero.</t>
    </r>
  </si>
  <si>
    <t>Loteamento Primavera - Farroupilha – RS ( -2 lotes APP)</t>
  </si>
  <si>
    <t>17</t>
  </si>
  <si>
    <t>Loteamento Dalla Costa</t>
  </si>
  <si>
    <r>
      <rPr>
        <rFont val="Calibri"/>
        <color theme="1"/>
        <sz val="10.0"/>
      </rPr>
      <t xml:space="preserve">Um veículo </t>
    </r>
    <r>
      <rPr>
        <rFont val="Calibri"/>
        <b/>
        <color theme="1"/>
        <sz val="10.0"/>
      </rPr>
      <t>GOL</t>
    </r>
    <r>
      <rPr>
        <rFont val="Calibri"/>
        <color theme="1"/>
        <sz val="10.0"/>
      </rPr>
      <t xml:space="preserve">, marca VW 1.6 = </t>
    </r>
    <r>
      <rPr>
        <rFont val="Calibri"/>
        <b/>
        <color theme="1"/>
        <sz val="10.0"/>
      </rPr>
      <t>PLACA IQS 7696</t>
    </r>
    <r>
      <rPr>
        <rFont val="Calibri"/>
        <color theme="1"/>
        <sz val="10.0"/>
      </rPr>
      <t>, cor cinza, ano 2010 – João Lunelli.</t>
    </r>
  </si>
  <si>
    <t>Loteamento Vila Vicenza - Farroupilha – RS</t>
  </si>
  <si>
    <r>
      <rPr>
        <rFont val="Calibri"/>
        <color theme="1"/>
        <sz val="10.0"/>
      </rPr>
      <t xml:space="preserve">Um veículo </t>
    </r>
    <r>
      <rPr>
        <rFont val="Calibri"/>
        <b/>
        <color theme="1"/>
        <sz val="10.0"/>
      </rPr>
      <t>caminhão, marca SCÂNIA</t>
    </r>
    <r>
      <rPr>
        <rFont val="Calibri"/>
        <color theme="1"/>
        <sz val="10.0"/>
      </rPr>
      <t xml:space="preserve"> = </t>
    </r>
    <r>
      <rPr>
        <rFont val="Calibri"/>
        <b/>
        <color theme="1"/>
        <sz val="10.0"/>
      </rPr>
      <t>PLACA IIX 8288</t>
    </r>
    <r>
      <rPr>
        <rFont val="Calibri"/>
        <color theme="1"/>
        <sz val="10.0"/>
      </rPr>
      <t>, cor laranja, ano 1963. | valor: R$ 30.000,00</t>
    </r>
  </si>
  <si>
    <t>Loteamento Ind. Vicentino - Farroupilha – RS ( -1 lotes APP)</t>
  </si>
  <si>
    <t>18</t>
  </si>
  <si>
    <t>Loteamento Lago Negro</t>
  </si>
  <si>
    <t>Loteamento Jardim Itália - Farroupilha – RS</t>
  </si>
  <si>
    <t>Loteamento Altos da Julieta I e II – Farroupilha – RS</t>
  </si>
  <si>
    <t>Valter reavalia os lotes 001 a 005 para R$ 1.100.000 cada. O quadro usa R$ 1.100.000 como 1/6, e o texto cita R$ 7.700.000 em seu favor.</t>
  </si>
  <si>
    <t>19</t>
  </si>
  <si>
    <t>Loteamento Perini</t>
  </si>
  <si>
    <t>Loteamento Monte Vêneto I e II - Cotiporã – RS</t>
  </si>
  <si>
    <t>20</t>
  </si>
  <si>
    <t>Loteamento San Marino</t>
  </si>
  <si>
    <t>Loteamento Salvador - Veranópolis – RS ( -6 já divididos)</t>
  </si>
  <si>
    <t>Loteamento Alto das Graças I - Caxias do Sul – RS</t>
  </si>
  <si>
    <t>3 lotes em possível APP (R$ 730.000) listados como escolhidos; o texto cita R$ 7.700.000 em favor da Valter.</t>
  </si>
  <si>
    <t>21</t>
  </si>
  <si>
    <t>Loteamento Firminio Dalzóchio</t>
  </si>
  <si>
    <t>Loteamento Falavigna - Flores da Cunha – RS</t>
  </si>
  <si>
    <t>1 lote em possível APP (R$ 131.000) listado como escolhido, com diferença em favor da Valter.</t>
  </si>
  <si>
    <t>22</t>
  </si>
  <si>
    <t>Loteamento Reserva Paradiso - Carlos Barbosa – RS</t>
  </si>
  <si>
    <t>Loteamento Primavera</t>
  </si>
  <si>
    <t>Loteamento Cichelero - Carlos Barbosa – RS</t>
  </si>
  <si>
    <t>2 lotes em possível APP (R$ 335.000) listados como escolhidos, com diferença em favor da Valter.</t>
  </si>
  <si>
    <t>23</t>
  </si>
  <si>
    <t>Loteamento Vila Vicenza</t>
  </si>
  <si>
    <t>Loteamento Princesa dos Vales - Carlos Barbosa – RS</t>
  </si>
  <si>
    <t>Loteamento Baú - Carlos Barbosa – RS</t>
  </si>
  <si>
    <t>O quadro considera patrimônio de R$ 148.000 em vez de R$ 157.000.</t>
  </si>
  <si>
    <t>24</t>
  </si>
  <si>
    <t>Loteamento Industrial Vicentino</t>
  </si>
  <si>
    <t>Loteamento Delta - Nilumar - Caxias do Sul – RS</t>
  </si>
  <si>
    <t>1 lote em possível APP (R$ 1.125.000) listado como escolhido, com diferença em favor da Valter.</t>
  </si>
  <si>
    <t>25</t>
  </si>
  <si>
    <t>Loteamento Femaçã - Veranópolis – RS</t>
  </si>
  <si>
    <t>Loteamento Jardim Itália I – II – III</t>
  </si>
  <si>
    <t>Loteamento Irmãos Boff - Veranópolis – RS</t>
  </si>
  <si>
    <t>26</t>
  </si>
  <si>
    <t>Loteamento Altos da Julieta I – II</t>
  </si>
  <si>
    <t>Loteamento Prata - Nova Prata – RS</t>
  </si>
  <si>
    <t>Loteamento Sol Nascente II - Antônio Prado – RS</t>
  </si>
  <si>
    <t>27</t>
  </si>
  <si>
    <t>Loteamento Monte Vêneto I – II</t>
  </si>
  <si>
    <t>Loteamento Viero - Farroupilha – RS</t>
  </si>
  <si>
    <t>Situação dos empreendimentos citados em 2018</t>
  </si>
  <si>
    <t>Loteamento Morada da Colina - Veranópolis</t>
  </si>
  <si>
    <t>Uma Escavadeira Hidráulica, ano 2024, modelo 320, CATERPILLAR. | valor: R$ 887.000,00</t>
  </si>
  <si>
    <t>Loteamento Bella Visione - Carlos Barbosa</t>
  </si>
  <si>
    <t>Loteamento Lovison - Nova Prata</t>
  </si>
  <si>
    <t>Loteamento São Roque</t>
  </si>
  <si>
    <t>Uma Escavadeira Hidráulica, ano 2014, modelo 320DL, CATERPILLAR. | valor: R$ 400.000,00</t>
  </si>
  <si>
    <t>Loteamento Desmembramento Tedesco I - Veranópolis</t>
  </si>
  <si>
    <t>Em 2018 valia R$400mil. Diferença provável depreciação</t>
  </si>
  <si>
    <t>Uma Escavadeira Hidráulica, ano 2009, modelo 320D, CATERPILLAR – SEI. | valor: R$ 200.000,00</t>
  </si>
  <si>
    <t>Loteamento Desmembramento Tedesco II - Veranópolis</t>
  </si>
  <si>
    <t>Em 2018 valia R$250mil. Diferença provável depreciação</t>
  </si>
  <si>
    <t>Loteamento Colina do Lindóia - Farroupilha</t>
  </si>
  <si>
    <t>Um Trator de Esteira D6, ano 1980. | valor: R$ 80.000,00</t>
  </si>
  <si>
    <t>Loteamento Fracionamento Pagliari - Carlos Barbosa</t>
  </si>
  <si>
    <t>Um Trator de Esteira D6, ano..... | valor: R$ 100.000,00</t>
  </si>
  <si>
    <t>Em 2018 valia R$100mil. Diferença provável depreciação</t>
  </si>
  <si>
    <t>Loteamento Fracionamento Primavera - Farroupilha</t>
  </si>
  <si>
    <r>
      <rPr>
        <rFont val="Calibri"/>
        <color theme="1"/>
        <sz val="10.0"/>
      </rPr>
      <t xml:space="preserve">Uma Retroescavadeira CASE 580L, ano 2001, </t>
    </r>
    <r>
      <rPr>
        <rFont val="Calibri"/>
        <b/>
        <color theme="1"/>
        <sz val="10.0"/>
      </rPr>
      <t>PLACA IKI 4827</t>
    </r>
    <r>
      <rPr>
        <rFont val="Calibri"/>
        <color theme="1"/>
        <sz val="10.0"/>
      </rPr>
      <t>. | valor: R$ 60.000,00</t>
    </r>
  </si>
  <si>
    <t>Uma Pá carregadeira, ano 1980. | valor: R$ 60.000,00</t>
  </si>
  <si>
    <t>Um Compressor, ano 2012, marca ATLAS COPCO. | valor: R$ 150.000,00</t>
  </si>
  <si>
    <t>Multas de Distratos</t>
  </si>
  <si>
    <t>Um Compressor, ano 1980, a ar, CA80, marca ATLAS COPCO. Adquirido por leilão da Prefeitura de Bento Gonçalves. | valor: R$ 10.000,00</t>
  </si>
  <si>
    <t>Loteamento Caminhos do Sol</t>
  </si>
  <si>
    <t>Loteamento Vale das Colinas</t>
  </si>
  <si>
    <t>Um Compressor, ano....., cor verde. | valor: R$ 30.000,00</t>
  </si>
  <si>
    <t>Loteamento Vista da Colina</t>
  </si>
  <si>
    <t>Uma Perfuratriz, ano..... | valor: R$ 10.000,00</t>
  </si>
  <si>
    <t>Loteamento Pedrotti + Andreis + Lorandi</t>
  </si>
  <si>
    <t>LOTEAMENTOS EXECUTADOS E REGISTRADOS QUE CONSTAM APENAS NA RELAÇÃO DE 2018</t>
  </si>
  <si>
    <t>Loteamento Cecconello</t>
  </si>
  <si>
    <t>Um Rompedor Hidráulico, ano 2014, adquirido da ATLAS COPCO, modelo MB 1700. | valor: R$ 100.000,00</t>
  </si>
  <si>
    <t>Número de Loteamentos</t>
  </si>
  <si>
    <t>Loteamento Bonetto</t>
  </si>
  <si>
    <t>Um Trator de Esteira, ano 2014, modelo D6N XL, CATERPILLAR, adquirido em setembro de 2025.</t>
  </si>
  <si>
    <t>-</t>
  </si>
  <si>
    <t>Número de Lotes</t>
  </si>
  <si>
    <t>Número de Loteamentos com ZERO lotes:</t>
  </si>
  <si>
    <t>Loteamento Pasqual</t>
  </si>
  <si>
    <t>Loteamento Industrial Dr. Letti</t>
  </si>
  <si>
    <t>Loteamento Sol Nascente II</t>
  </si>
  <si>
    <t>Suponho que sejam loteamentos que foram completamente vendidos</t>
  </si>
  <si>
    <t>Por que loteamentos com ZERO lotes constam na relação? Apenas para informar o nome ou outro motivo?</t>
  </si>
  <si>
    <t>Lotes de terceiros passíveis de indenização por APP em Farroupilha</t>
  </si>
  <si>
    <t>Ref. 11.2.3 - Item 1:    PAGAMENTO DE COTAS DE ROVÍLIO SIVIERO</t>
  </si>
  <si>
    <t>Sócio tem direito à 2% das empresas:</t>
  </si>
  <si>
    <t>Ele recebeu:</t>
  </si>
  <si>
    <t>Loteamento Firminio Dalzóchio, num saldo de 03 lotes.</t>
  </si>
  <si>
    <t>Loteamento Jardim Itália I – II – III, num saldo de 05 lotes.</t>
  </si>
  <si>
    <t>Avaliação das Empresas</t>
  </si>
  <si>
    <t>2% da avaliação das Empresas</t>
  </si>
  <si>
    <t>Siviero Emp. Imob. Ltda.:</t>
  </si>
  <si>
    <t>Loteamento Perini, num saldo de 04 lotes.</t>
  </si>
  <si>
    <t>Loteamento Primavera, num saldo de 04 lotes.</t>
  </si>
  <si>
    <t>Abastecedora de Combustíveis:</t>
  </si>
  <si>
    <t>Loteamento Industrial Vicentino, num saldo de 10 lotes.</t>
  </si>
  <si>
    <t>Transportadora Irmãos Siviero:</t>
  </si>
  <si>
    <r>
      <rPr>
        <rFont val="Calibri"/>
        <color theme="1"/>
        <sz val="10.0"/>
      </rPr>
      <t xml:space="preserve">Um lote urbano, localizado na Avenida Pinheiro Machado, Bairro Centro – Casa da Nina – Casa onde mora o Senhor Rubens Baldissera. Área de 330,00m², devidamente Registrado no Ofício de Registro de Imóveis da Comarca de Veranópolis – RS, sob Matrícula nº </t>
    </r>
    <r>
      <rPr>
        <rFont val="Calibri"/>
        <b/>
        <color theme="1"/>
        <sz val="10.0"/>
      </rPr>
      <t>1.597</t>
    </r>
    <r>
      <rPr>
        <rFont val="Calibri"/>
        <color theme="1"/>
        <sz val="10.0"/>
      </rPr>
      <t>. | valor: R$ 150.000,00</t>
    </r>
  </si>
  <si>
    <t>Multas Ambientais</t>
  </si>
  <si>
    <t>Diferença de 36.53%</t>
  </si>
  <si>
    <t>Escolhidos abaixo do 1/6.</t>
  </si>
  <si>
    <t>28</t>
  </si>
  <si>
    <r>
      <rPr>
        <rFont val="Calibri"/>
        <color theme="1"/>
        <sz val="10.0"/>
      </rPr>
      <t xml:space="preserve">Um lote urbano com casa, localizado na Avenida Dr. José Montaury, Bairro São Pelegrino – Casa da Nona – onde morava a Senhora Geni Siviero Mattiuz. 14,50m X 25,00m = área de 362,50m², devidamente Registrado no Ofício de Registro de Imóveis da Comarca de Veranópolis – RS, sob Matrícula nº </t>
    </r>
    <r>
      <rPr>
        <rFont val="Calibri"/>
        <b/>
        <color theme="1"/>
        <sz val="10.0"/>
      </rPr>
      <t>1.335</t>
    </r>
    <r>
      <rPr>
        <rFont val="Calibri"/>
        <color theme="1"/>
        <sz val="10.0"/>
      </rPr>
      <t>. | valor: R$ 220.000,00</t>
    </r>
  </si>
  <si>
    <t>Loteamento Nossa Senhora da Saúde</t>
  </si>
  <si>
    <t xml:space="preserve">Sócio tem direito à 2% das empresas:	Ele recebeu:	     R$ 3,440,082.00 
		2% das empresas
	Siviero Emp. Imob. Ltda.:	     R$ 2,017,480.55 
	Abastecedora de Combustíveis:	     R$ 193,228.28 
	Transportadora Irmãos Siviero:	     R$ 327,499.72 
		     R$ 2,538,208.55 
Obs.:	Diferença de 36.53%	</t>
  </si>
  <si>
    <t>PATRIMÔNIO QUE TEVE DIMINUIÇÃO DO VALOR NA AVALIAÇÃO</t>
  </si>
  <si>
    <t>29</t>
  </si>
  <si>
    <r>
      <rPr>
        <rFont val="Calibri"/>
        <color theme="1"/>
        <sz val="10.0"/>
      </rPr>
      <t xml:space="preserve">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t>
    </r>
    <r>
      <rPr>
        <rFont val="Calibri"/>
        <b/>
        <color theme="1"/>
        <sz val="10.0"/>
      </rPr>
      <t>9</t>
    </r>
    <r>
      <rPr>
        <rFont val="Calibri"/>
        <color theme="1"/>
        <sz val="10.0"/>
      </rPr>
      <t>. | valor: R$ 850.000,00</t>
    </r>
  </si>
  <si>
    <t>Loteamento Alto das Graças I</t>
  </si>
  <si>
    <t>Abastecedora</t>
  </si>
  <si>
    <r>
      <rPr>
        <rFont val="Calibri"/>
        <color theme="1"/>
        <sz val="10.0"/>
      </rPr>
      <t xml:space="preserve">Um lote urbano, localizado na Rua General Flores da Cunha, que era do Mercali, na subida para o Bairro Femaçã – Hipotecado em favor da Receita Estadual – Dívida do ICMS. 13,00m X 20,00m = área de 260,00m², devidamente Registrado no Ofício de Registro de Imóveis da Comarca de Veranópolis – RS, sob Matrícula nº </t>
    </r>
    <r>
      <rPr>
        <rFont val="Calibri"/>
        <b/>
        <color theme="1"/>
        <sz val="10.0"/>
      </rPr>
      <t>1.053</t>
    </r>
    <r>
      <rPr>
        <rFont val="Calibri"/>
        <color theme="1"/>
        <sz val="10.0"/>
      </rPr>
      <t>. | valor: R$ 60.000,00</t>
    </r>
  </si>
  <si>
    <r>
      <rPr>
        <rFont val="Calibri"/>
        <color theme="1"/>
        <sz val="10.0"/>
      </rPr>
      <t xml:space="preserve">Um lote urbano, localizado na Avenida Osvaldo Aranha, esquina com a Rua Eduardo Duarte, alugado para o Sr. Paulinho, das baterias. 23,00m X 15,00m = área de 345,00m², devidamente Registrado no Ofício de Registro de Imóveis da Comarca de Veranópolis – RS, sob Matrícula nº </t>
    </r>
    <r>
      <rPr>
        <rFont val="Calibri"/>
        <b/>
        <color theme="1"/>
        <sz val="10.0"/>
      </rPr>
      <t>1.507</t>
    </r>
    <r>
      <rPr>
        <rFont val="Calibri"/>
        <color theme="1"/>
        <sz val="10.0"/>
      </rPr>
      <t>. | valor: R$ 850.000,00</t>
    </r>
  </si>
  <si>
    <t>30</t>
  </si>
  <si>
    <t>Loteamento da Família Falavigna</t>
  </si>
  <si>
    <t>Hotel Princesa dos Vales</t>
  </si>
  <si>
    <r>
      <rPr>
        <rFont val="Calibri"/>
        <color theme="1"/>
        <sz val="10.0"/>
      </rPr>
      <t xml:space="preserve">Um lote urbano, localizado na Rua General Flores da Cunha, Bairro Centro, na cidade de Veranópolis – RS, adquirido da Família Dal Ponte, denominado de lote nº 0092, da quadra nº 020, zona nº 02, distrito nº 01, com área de 750,00m², devidamente registrado no Ofício de Registro de Imóveis da Comarca de Veranópolis, sob Matrícula nº </t>
    </r>
    <r>
      <rPr>
        <rFont val="Calibri"/>
        <b/>
        <color theme="1"/>
        <sz val="10.0"/>
      </rPr>
      <t>3.788</t>
    </r>
    <r>
      <rPr>
        <rFont val="Calibri"/>
        <color theme="1"/>
        <sz val="10.0"/>
      </rPr>
      <t>. | valor: R$ 1.010.000,00</t>
    </r>
  </si>
  <si>
    <t>31</t>
  </si>
  <si>
    <t>Loteamento Reserva Paradiso</t>
  </si>
  <si>
    <t>Quando foi Adquirido?</t>
  </si>
  <si>
    <t>O 1/6 aparece como R$ 83.833,33 (correto R$ 83.333,33).</t>
  </si>
  <si>
    <r>
      <rPr>
        <rFont val="Calibri"/>
        <color theme="1"/>
        <sz val="10.0"/>
      </rPr>
      <t xml:space="preserve">Um lote urbano, localizado na cidade de Bento Gonçalves – RS, denominado de lote nº 569/46 – Quadra 216 /D – Cadastro na P. M. de Bento Gonçalves sob nº </t>
    </r>
    <r>
      <rPr>
        <rFont val="Calibri"/>
        <b/>
        <color theme="1"/>
        <sz val="10.0"/>
      </rPr>
      <t>13082200</t>
    </r>
    <r>
      <rPr>
        <rFont val="Calibri"/>
        <color theme="1"/>
        <sz val="10.0"/>
      </rPr>
      <t>, no LOTEAMENTO OURO VERDE II. Área de .........m², Registrado no Ofício de Registro de Imóveis da Comarca de Bento Gonçalves – RS, sob Matrícula nº ........... | valor: R$ 159.000,00</t>
    </r>
  </si>
  <si>
    <t>Total</t>
  </si>
  <si>
    <t>FAZENDA SÃO CRISPIN</t>
  </si>
  <si>
    <r>
      <rPr>
        <rFont val="Calibri"/>
        <color theme="1"/>
        <sz val="10.0"/>
      </rPr>
      <t xml:space="preserve">Um lote urbano, localizado na cidade de Bento Gonçalves – RS, denominado de lote nº 188/62 – Quadra 163/G – Cadastro na P. M. de Bento Gonçalves sob nº </t>
    </r>
    <r>
      <rPr>
        <rFont val="Calibri"/>
        <b/>
        <color theme="1"/>
        <sz val="10.0"/>
      </rPr>
      <t>12482700</t>
    </r>
    <r>
      <rPr>
        <rFont val="Calibri"/>
        <color theme="1"/>
        <sz val="10.0"/>
      </rPr>
      <t>, no LOTEAMENTO VERONA. Área de .........m², Registrado no Ofício de Registro de Imóveis da Comarca de Bento Gonçalves – RS, sob Matrícula nº ........... | valor: R$ 100.000,00</t>
    </r>
  </si>
  <si>
    <t>Valor por hectare em 2025 é o mesmo, independente da produtividade da área</t>
  </si>
  <si>
    <t>Principais diferenças</t>
  </si>
  <si>
    <t>Avaliação por produtividade?</t>
  </si>
  <si>
    <t>A.1</t>
  </si>
  <si>
    <t>Área Dona Rita (100,0 ha): parte produtiva =35,00%</t>
  </si>
  <si>
    <r>
      <rPr>
        <rFont val="Calibri"/>
        <color theme="1"/>
        <sz val="10.0"/>
      </rPr>
      <t xml:space="preserve">Um lote urbano, localizado na Rua Bento Gonçalves, Bairro São Pelegrino – Fundos da Casa da Nona – adquirido de Michelle Tedesco, medindo: 12,50m X 30,00m = área de 375,00m², devidamente Registrado no Ofício de Registro de Imóveis da Comarca de Veranópolis – RS, sob Matrícula nº </t>
    </r>
    <r>
      <rPr>
        <rFont val="Calibri"/>
        <b/>
        <color theme="1"/>
        <sz val="10.0"/>
      </rPr>
      <t>2325</t>
    </r>
    <r>
      <rPr>
        <rFont val="Calibri"/>
        <color theme="1"/>
        <sz val="10.0"/>
      </rPr>
      <t>. | valor: R$ 220.000,00</t>
    </r>
  </si>
  <si>
    <t>1. Os valores do Grupo copiados no estudo batem com a coluna E da GERAL em todos os itens comparados (R$ 0,03 de diferença nos demais compromissos). As diferenças vêm da reavaliação feita pelo Valter.</t>
  </si>
  <si>
    <t>R$ 44.000,00/ha</t>
  </si>
  <si>
    <t>R$ 110.000,00/ha</t>
  </si>
  <si>
    <t>2. Áreas contratadas (11.2.1): o inventário registra só multas e despesas; o Valter também atribui valor aos lotes que cabem ao Grupo, e o saldo da seção passa de negativo a positivo. É a maior diferença do estudo.</t>
  </si>
  <si>
    <t>3. Áreas rurais: 7 dos 12 itens sobem de valor, com destaque para o item 08 (de R$ 250.200 para R$ 1.500.000). Lotes urbanos: sobem os itens 02 e 07.</t>
  </si>
  <si>
    <t>Área Dona Rita (186,0 ha): parte não produtiva=65,00%</t>
  </si>
  <si>
    <t>4. Loteamentos executados: os 31 loteamentos têm os mesmos lotes e valores do inventário, exceto Lago Negro (lotes 001 a 005 a R$ 1.100.000) e Simioni (R$ 520.000 para lotes em APP). Em 18 loteamentos a Valter escolhe lotes; nos demais o 1/6 fica como crédito.</t>
  </si>
  <si>
    <t>A.2</t>
  </si>
  <si>
    <t>R$ 22.000,00/ha (50% do valor)</t>
  </si>
  <si>
    <t>5. Lotes em possível APP aparecem entre os escolhidos em San Marino, Firminio Dalzóchio, Primavera e Industrial Vicentino, sempre como diferença em favor da Valter, a confirmar pela documentação das APPs.</t>
  </si>
  <si>
    <t>Um lote urbano, localizado na Rua Fioravante Boff, no Bairro Femaçã – que ainda está em nome da Senhora Cleri Fávero. LOTEAMENTO BOFF.
 ........,.....m X .........,......m = área de .................m², devidamente Registrado no Ofício de Registro de Imóveis da Comarca de Veranópolis – RS, sob Matrícula nº .....................</t>
  </si>
  <si>
    <t>6. Passivos (lotes de terceiros, obras do Colina do Retiro II e demais compromissos) ficam iguais; o estudo só calcula a parcela de 1/6 da Valter.</t>
  </si>
  <si>
    <t>R$ 110.000,00/ha (valor cheio)</t>
  </si>
  <si>
    <t>7. O estudo não cobre veículos, máquinas e áreas urbanas.</t>
  </si>
  <si>
    <t>8. As inconsistências encontradas nos PDFs estão nas notas da coluna F da GERAL e nas colunas de observação desta aba.</t>
  </si>
  <si>
    <t xml:space="preserve">Área Zancheta (45,6 ha): parte produtiva=80,00% </t>
  </si>
  <si>
    <t>A.3</t>
  </si>
  <si>
    <t>Área Zancheta (11,4 ha): parte não produtiva=20,00%</t>
  </si>
  <si>
    <t>Um lote urbano, localizado na cidade de Bento Gonçalves – RS, denominado de lote nº 559/47 – Quadra 216 – Cadastro na P. M. de Bento Gonçalves sob nº 13082100, no LOTEAMENTO OURO VERDE. Área de .........m², Registrado no Ofício de Registro de Imóveis da Comarca de Bento Gonçalves – RS, sob Matrícula nº ...........</t>
  </si>
  <si>
    <t>Área Jane/João Paulo (148,0 ha): parte produtiva=100,00%</t>
  </si>
  <si>
    <t>A.4</t>
  </si>
  <si>
    <t>Melhor avaliação é verificada pelo preço do arrendo (produtividade):</t>
  </si>
  <si>
    <t>Um lote urbano, localizado na cidade de Bento Gonçalves – RS, denominado de lote nº 247/169 – Quadra 221 – Cadastro na P. M. de Bento Gonçalves sob nº 13092200, no LOTEAMENTO OURO VERDE. Área de .........m², Registrado no Ofício de Registro de Imóveis da Comarca de Bento Gonçalves – RS, sob Matrícula nº ...........</t>
  </si>
  <si>
    <t>Arrendos com base na saca de soja:</t>
  </si>
  <si>
    <t>anual</t>
  </si>
  <si>
    <t>média anual</t>
  </si>
  <si>
    <t>saca de soja ~R$ 120</t>
  </si>
  <si>
    <t xml:space="preserve">  *60 e 100 sacas por ha. (provavelmente)</t>
  </si>
  <si>
    <t>Descrição do(s) bem(ns) - Imóveis e Móveis</t>
  </si>
  <si>
    <t>Empreendimentos</t>
  </si>
  <si>
    <t>Transportadora</t>
  </si>
  <si>
    <r>
      <rPr>
        <rFont val="Calibri"/>
        <color theme="1"/>
        <sz val="10.0"/>
      </rPr>
      <t xml:space="preserve">Um apartamento residencial denominado de </t>
    </r>
    <r>
      <rPr>
        <rFont val="Calibri"/>
        <b/>
        <color theme="1"/>
        <sz val="10.0"/>
      </rPr>
      <t>nº 303, do Edifício BOA ESPERANÇA</t>
    </r>
    <r>
      <rPr>
        <rFont val="Calibri"/>
        <color theme="1"/>
        <sz val="10.0"/>
      </rPr>
      <t xml:space="preserve">, localizado na Rua Eduardo Reginato, n° 48, Bairro Valverde, na cidade de Veranópolis – RS, adquirido do Senhor Valmir Antônio Sottili. Área de 89,73m², devidamente Registrado no Ofício de Registro de Imóveis da Comarca de Veranópolis – RS, sob </t>
    </r>
    <r>
      <rPr>
        <rFont val="Calibri"/>
        <b/>
        <color theme="1"/>
        <sz val="10.0"/>
      </rPr>
      <t>Matrícula nº 17.399</t>
    </r>
    <r>
      <rPr>
        <rFont val="Calibri"/>
        <color theme="1"/>
        <sz val="10.0"/>
      </rPr>
      <t>, adquirido por R$ 85.000,00.</t>
    </r>
  </si>
  <si>
    <r>
      <rPr>
        <rFont val="Calibri"/>
        <color theme="1"/>
        <sz val="10.0"/>
      </rPr>
      <t xml:space="preserve">Móveis, materiais diversos (mesas, cadeiras, telefone, impressora, etc...), informática e outros equipamentos instalados no </t>
    </r>
    <r>
      <rPr>
        <rFont val="Calibri"/>
        <b/>
        <color theme="1"/>
        <sz val="10.0"/>
      </rPr>
      <t>Escritório da empresa Siviero, na cidade de Caxias do Sul – RS, na Rua Feijó Júnior, nº 318 – Sala nº 01</t>
    </r>
    <r>
      <rPr>
        <rFont val="Calibri"/>
        <color theme="1"/>
        <sz val="10.0"/>
      </rPr>
      <t>, Bairro São Pelegrino – SALA ALUGADA.
- E, no decorrer do ano de 2018, foi transferido o Escritório para outra Sala, de propriedade do Senhor Válter Siviero.
- Os móveis e divisórias instalados no Escritório permaneceram, como forma de pagamento pelas obras de conservação da sala.
- Mesas e cadeiras foram transferidas para uma casa localizada no Loteamento Zanandréa.
- Impressoras e computadores foram para o novo endereço.</t>
    </r>
  </si>
  <si>
    <r>
      <rPr>
        <rFont val="Calibri"/>
        <color theme="1"/>
        <sz val="10.0"/>
      </rPr>
      <t xml:space="preserve">Uma área de terras urbanas, denominada de LOTE Nº 1054, com área total de 16.913,9670m², ou 1,6 hectares, localizada no Município de Veranópolis – RS, próximo a Abastecedora de Combustíveis Siviero Ltda., adquirida do Senhor MOACIR ZANINI, área esta registrada sob Matrícula nº.: 17.038.
</t>
    </r>
    <r>
      <rPr>
        <rFont val="Calibri"/>
        <b/>
        <color theme="1"/>
        <sz val="10.0"/>
      </rPr>
      <t>Matrícula nº 17.038</t>
    </r>
    <r>
      <rPr>
        <rFont val="Calibri"/>
        <color theme="1"/>
        <sz val="10.0"/>
      </rPr>
      <t xml:space="preserve"> = 1,60 hectares.
95,00 metros de frente. | valor: R$ 900.000,00</t>
    </r>
  </si>
  <si>
    <r>
      <rPr>
        <rFont val="Calibri"/>
        <color theme="1"/>
        <sz val="10.0"/>
      </rPr>
      <t xml:space="preserve">Um terreno – lote urbano, localizado na Rodovia BR 470, ao lado da Abastecedora de Combustíveis Siviero Ltda., devidamente registrado no Ofício de Registro de Imóveis da Comarca de Veranópolis, sob </t>
    </r>
    <r>
      <rPr>
        <rFont val="Calibri"/>
        <b/>
        <color theme="1"/>
        <sz val="10.0"/>
      </rPr>
      <t>Matrícula nº 3.751</t>
    </r>
    <r>
      <rPr>
        <rFont val="Calibri"/>
        <color theme="1"/>
        <sz val="10.0"/>
      </rPr>
      <t>, com área de 7.200,00m², onde está instalada a ANTENA de TRANSMISSÃO da RÁDIO, ao valor de mercado considerado sua localização e referência comercial = R$ 992,78, ao metro quadrado. | valor: R$ 7.148.016,00</t>
    </r>
  </si>
  <si>
    <t>Em 2018 estava na relação "9.1. RÁDIO COMUNIDADE..."</t>
  </si>
  <si>
    <r>
      <rPr>
        <rFont val="Calibri"/>
        <color theme="1"/>
        <sz val="10.0"/>
      </rPr>
      <t xml:space="preserve">Um terreno urbano, com a área de 4.986,00m², localizado na Rodovia BR 470, Km 175,4, no Bairro São Pelegrino, devidamente registrado no Ofício de Registro de Imóveis da Comarca de Veranópolis, sob </t>
    </r>
    <r>
      <rPr>
        <rFont val="Calibri"/>
        <b/>
        <color theme="1"/>
        <sz val="10.0"/>
      </rPr>
      <t>Matrícula nº 3.754</t>
    </r>
    <r>
      <rPr>
        <rFont val="Calibri"/>
        <color theme="1"/>
        <sz val="10.0"/>
      </rPr>
      <t>, localizado na lateral da Abastecedora de Combustíveis Siviero Ltda., onde estava instalada a SERRARIA, considerado o valor de R$ 992,78, ao metro quadrado, conforme sua localização e referência comercial. | valor: R$ 4.950.000,00</t>
    </r>
  </si>
  <si>
    <r>
      <rPr>
        <rFont val="Calibri"/>
        <color theme="1"/>
        <sz val="10.0"/>
      </rPr>
      <t xml:space="preserve">Um imóvel urbano, com a área de 4.792,03m², localizado na Rodovia BR 470, Km 175,4, no Bairro Valverde, devidamente registrado no Ofício de Registro de Imóveis da Comarca de Veranópolis, sob a </t>
    </r>
    <r>
      <rPr>
        <rFont val="Calibri"/>
        <b/>
        <color theme="1"/>
        <sz val="10.0"/>
      </rPr>
      <t>Matrícula nº 29.954</t>
    </r>
    <r>
      <rPr>
        <rFont val="Calibri"/>
        <color theme="1"/>
        <sz val="10.0"/>
      </rPr>
      <t xml:space="preserve"> – (oriunda da unificação das </t>
    </r>
    <r>
      <rPr>
        <rFont val="Calibri"/>
        <b/>
        <color theme="1"/>
        <sz val="10.0"/>
      </rPr>
      <t>Matrículas nº 17.409 e 6.136</t>
    </r>
    <r>
      <rPr>
        <rFont val="Calibri"/>
        <color theme="1"/>
        <sz val="10.0"/>
      </rPr>
      <t>), ao lado da empresa Oleoplan S/A, considerado o valor de R$ 2.000,00, ao metro quadrado, conforme sua localização e referência comercial.
= R$ 9.584.060,00.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t>
    </r>
  </si>
  <si>
    <t>Valor do aluguel?</t>
  </si>
  <si>
    <t>ago.2023</t>
  </si>
  <si>
    <t>Set. 2023</t>
  </si>
  <si>
    <t>Out. 2023</t>
  </si>
  <si>
    <t>Loteamento Dalzóchio</t>
  </si>
  <si>
    <t>Dez. 2023</t>
  </si>
  <si>
    <t>Fev. 2024</t>
  </si>
  <si>
    <t>Abr. 2024</t>
  </si>
  <si>
    <t>Família Acordi</t>
  </si>
  <si>
    <t>Mai. 2024</t>
  </si>
  <si>
    <t>Ago. 2024</t>
  </si>
  <si>
    <r>
      <rPr>
        <rFont val="Calibri"/>
        <color theme="1"/>
        <sz val="10.0"/>
      </rPr>
      <t xml:space="preserve">Uma área de terras rurais, denominada de PARTES DOS LOTES RURAIS Nº 05, 06 e 76/A, com área total de 3,4 hectares, localizada na Linha Tomás Flores e Linha Afonso Pena, no Município de Veranópolis – RS, adquirida da Senhora ERMELINDA MOSSI REMOR, área esta registrada sob Matrícula nº.:
</t>
    </r>
    <r>
      <rPr>
        <rFont val="Calibri"/>
        <b/>
        <color theme="1"/>
        <sz val="10.0"/>
      </rPr>
      <t>Matrícula nº 14.443, 14.444, 14.576</t>
    </r>
    <r>
      <rPr>
        <rFont val="Calibri"/>
        <color theme="1"/>
        <sz val="10.0"/>
      </rPr>
      <t xml:space="preserve"> = 3,4 hectares.
Cadastrada no CCIR – Receita Federal sob nº 6.206.801-6.
90,00 metros de frente. | valor: R$ 1.200.000,00</t>
    </r>
  </si>
  <si>
    <t>Empreendimentos não concluídos</t>
  </si>
  <si>
    <t>Out. 2024</t>
  </si>
  <si>
    <t>Loteamento Alto das Graças II.</t>
  </si>
  <si>
    <t>Loteamento Santa Corona III.</t>
  </si>
  <si>
    <r>
      <rPr>
        <rFont val="Calibri"/>
        <color theme="1"/>
        <sz val="10.0"/>
      </rPr>
      <t xml:space="preserve">Uma área de terras URBANAS, denominada de UM IMÓVEL URBANO, com a denominação administrativa de lote nº 0292, da quadra nº 009, zona 12, distrito 01, com área total de 4,0 hectares, conforme Registro e área medida, com 40.027,41m², localizada na Linha Tomaz Flores, Estrada Velha da Vacaria, no Município de Veranópolis – RS, na localidade de Sapopema, próxima ao CTG Rincão da Roça Reúna, adquirida da FAMÍLIA LAGO, área registrada sob </t>
    </r>
    <r>
      <rPr>
        <rFont val="Calibri"/>
        <b/>
        <color theme="1"/>
        <sz val="10.0"/>
      </rPr>
      <t>Matrícula nº.: 33.516</t>
    </r>
  </si>
  <si>
    <t>Condomínio Morada dos Ipês II</t>
  </si>
  <si>
    <t>média</t>
  </si>
  <si>
    <t>Loteamento da Congregação das Irmãos de São Carlos.</t>
  </si>
  <si>
    <r>
      <rPr>
        <rFont val="Calibri"/>
        <color theme="1"/>
        <sz val="10.0"/>
      </rPr>
      <t xml:space="preserve">Uma área de terras rurais, denominada de PARTE DO LOTE RURAL Nº 14, da linha Dr. Júlio de Castilhos, com área total de 7,5 hectares, ou 75.550,00m², localizada no Município de Veranópolis – RS, na localidade de Santa Rita, adquirida da FAMÍLIA SANGALI – VALDIR SANGALI, área registrada sob Matrícula nº.: 4.194.
</t>
    </r>
    <r>
      <rPr>
        <rFont val="Calibri"/>
        <b/>
        <color theme="1"/>
        <sz val="10.0"/>
      </rPr>
      <t>Matrícula nº 4.194</t>
    </r>
    <r>
      <rPr>
        <rFont val="Calibri"/>
        <color theme="1"/>
        <sz val="10.0"/>
      </rPr>
      <t xml:space="preserve"> = 7,5 hectares, adquirida pelo valor de R$ 50.000,00. | valor: R$ 280.000,00</t>
    </r>
  </si>
  <si>
    <t>Loteamento  Bella Visione.</t>
  </si>
  <si>
    <t>Loteamento Bonetto.</t>
  </si>
  <si>
    <r>
      <rPr>
        <rFont val="Calibri"/>
        <color theme="1"/>
        <sz val="10.0"/>
      </rPr>
      <t xml:space="preserve">Uma área de terras rurais, denominada de PARTE DO LOTE RURAL Nº 12, com área total de 13,0 hectares, localizada na Linha Júlio de Castilhos, no Município de Veranópolis – RS, adquirida da FAMÍLIA SANGALI, área registrada sob Matrícula nº.: 3.062.
</t>
    </r>
    <r>
      <rPr>
        <rFont val="Calibri"/>
        <b/>
        <color theme="1"/>
        <sz val="10.0"/>
      </rPr>
      <t>Matrícula nº 3.062</t>
    </r>
    <r>
      <rPr>
        <rFont val="Calibri"/>
        <color theme="1"/>
        <sz val="10.0"/>
      </rPr>
      <t xml:space="preserve"> = 13,0 hectares X 40.000,00
Cadastrada no CCIR – Receita Federal sob nº 2.481.950-6
</t>
    </r>
  </si>
  <si>
    <t>Mudou valor</t>
  </si>
  <si>
    <t>Loteamento Pascoal.</t>
  </si>
  <si>
    <r>
      <rPr>
        <rFont val="Calibri"/>
        <color theme="1"/>
        <sz val="10.0"/>
      </rPr>
      <t xml:space="preserve">Uma área de terras rurais, denominada de PARTE DO LOTE RURAL LETRA B, com área total de 1,8 hectares, ou 18.326,89m², localizada na Linha Carlos Gomes, no Município de Veranópolis – RS, na localidade de Vila Azul, adquirida da FAMÍLIA FOGALI, área esta registrada sob Matrícula nº.: 14.945.
</t>
    </r>
    <r>
      <rPr>
        <rFont val="Calibri"/>
        <b/>
        <color theme="1"/>
        <sz val="10.0"/>
      </rPr>
      <t>Matrícula nº 14.945</t>
    </r>
    <r>
      <rPr>
        <rFont val="Calibri"/>
        <color theme="1"/>
        <sz val="10.0"/>
      </rPr>
      <t xml:space="preserve"> = 1,8 hectares, adquirida pelo valor de R$ 305.000,00. | valor: R$ 1.000.000,00</t>
    </r>
  </si>
  <si>
    <t>* pegar contratos</t>
  </si>
  <si>
    <t>Loteamento Letti.</t>
  </si>
  <si>
    <t>Arrendos com base em kg de boi:</t>
  </si>
  <si>
    <t>kg do boi ~R$ 11</t>
  </si>
  <si>
    <t>Loteamento Colombo.</t>
  </si>
  <si>
    <r>
      <rPr>
        <rFont val="Calibri"/>
        <color theme="1"/>
        <sz val="10.0"/>
      </rPr>
      <t xml:space="preserve">Uma área de terras rurais, denominada de PARTE DO LOTE RURAL nº 73, da Linha Tomaz Flores, Vila Azul, no Município de Veranópolis, registrada na </t>
    </r>
    <r>
      <rPr>
        <rFont val="Calibri"/>
        <b/>
        <color theme="1"/>
        <sz val="10.0"/>
      </rPr>
      <t>Matrícula nº 30.390</t>
    </r>
    <r>
      <rPr>
        <rFont val="Calibri"/>
        <color theme="1"/>
        <sz val="10.0"/>
      </rPr>
      <t>, do Ofício de Registro de Imóveis da Comarca de Veranópolis – RS, com área de 202.435,22m², adquirida da FAMÍLIA ANSOLIN, adquirida a área total, da seguinte forma:
área de 6,0 hectares = 60.000,00m², pelo valor de R$ 525.000,00, do Senhor Antônio Ansolin.
área de 7,0 hectares = 70.519,78m², pelo valor de R$ 586.666,00, do Senhor Antônio Ansolin.
área de 4,9 hectares = 49.787,44m², pelo valor de R$ 714.000,00, da Senhora Inês Ansolin Pessutto.
área de 0,67 hectares = 6.700,00m², pelo valor de R$ 388.000,00, do Senhor Ivo José Frainer.
área de 0,2 hectares = 2.128,00m², pelo valor de R$ 50.000,00, do Senhor Antônio Ansolin.
área pertencente ao Senhor Antônio Ansolin.....................2,0 hectares = 20.000,00m².
Área da empresa Siviero Empreendimentos Imobiliários Ltda. é de 18,2 hectares = 182.435,22m². | valor: R$ 2.263.666,00</t>
    </r>
  </si>
  <si>
    <t>Loteamento Champagnat.</t>
  </si>
  <si>
    <r>
      <rPr>
        <rFont val="Calibri"/>
        <color theme="1"/>
        <sz val="10.0"/>
      </rPr>
      <t xml:space="preserve">Uma área de terras rurais, denominadas de </t>
    </r>
    <r>
      <rPr>
        <rFont val="Calibri"/>
        <b/>
        <color theme="1"/>
        <sz val="10.0"/>
      </rPr>
      <t>LOTES RURAIS Nº 26 e 27</t>
    </r>
    <r>
      <rPr>
        <rFont val="Calibri"/>
        <color theme="1"/>
        <sz val="10.0"/>
      </rPr>
      <t>, CONDOMÍNIO HORIZONTAL, composto por chácaras, localizadas na Linha Tiradentes, na Barra do Jabuticaba, no Rio das Antas, no Município de Veranópolis – RS, composto por 25 (vinte e cinco) chácaras, sendo já vendidas 15 chácaras. Matrícula nº 36 = 10 chácaras. R$ 2.000,00 cada chácara.</t>
    </r>
  </si>
  <si>
    <t>Loteamento Simioni.</t>
  </si>
  <si>
    <t>Loteamento Sol Nascente.</t>
  </si>
  <si>
    <t>data da compra?</t>
  </si>
  <si>
    <r>
      <rPr>
        <rFont val="Calibri"/>
        <color theme="1"/>
        <sz val="10.0"/>
      </rPr>
      <t xml:space="preserve">Uma área de terras rurais, denominada de PARTE DO LOTE RURAL Nº 89, com área total de 27,8 hectares, localizada na Linha Barão do Triunfo, no Município de Fagundes Varela – RS, adquirida do Senhor SÉRGIO BALDISSERA, área esta registrada sob </t>
    </r>
    <r>
      <rPr>
        <rFont val="Calibri"/>
        <b/>
        <color theme="1"/>
        <sz val="10.0"/>
      </rPr>
      <t>Matrícula nº.: 8.486.</t>
    </r>
    <r>
      <rPr>
        <rFont val="Calibri"/>
        <color theme="1"/>
        <sz val="10.0"/>
      </rPr>
      <t xml:space="preserve">
Matrícula nº 8.486 = 27,8 hectares X R$ 9.000,00
Cadastrada no CCIR – Receita Federal sob nº 2.481.951-4 | valor: R$ 250.200,00</t>
    </r>
  </si>
  <si>
    <t>* verficar se arrendo sobre toda área ou parcial</t>
  </si>
  <si>
    <t>Investimentos (não corrigido)</t>
  </si>
  <si>
    <t>Não arrendada (improdutiva)</t>
  </si>
  <si>
    <r>
      <rPr>
        <rFont val="Calibri"/>
        <color theme="1"/>
        <sz val="10.0"/>
      </rPr>
      <t xml:space="preserve">Uma área de terras rurais de MATO NATIVO, denominada de LOTE Nº 33, com área total de 15,1 hectares, localizada no Município de Cotiporã – RS, na Linha Júlio de Castilhos, adquirida do Senhor ARMELINDO CALZA, área esta registrada sob Matrícula nº.: 1.218. </t>
    </r>
    <r>
      <rPr>
        <rFont val="Calibri"/>
        <b/>
        <color theme="1"/>
        <sz val="10.0"/>
      </rPr>
      <t>Matrícula nº 1.218</t>
    </r>
    <r>
      <rPr>
        <rFont val="Calibri"/>
        <color theme="1"/>
        <sz val="10.0"/>
      </rPr>
      <t xml:space="preserve"> = 15,1 hectares X R$ 2.650,00</t>
    </r>
  </si>
  <si>
    <t>Compra de lotes no Loteamento Industrial Pedra Lisa.</t>
  </si>
  <si>
    <r>
      <rPr>
        <rFont val="Arial"/>
        <b/>
        <color theme="1"/>
      </rPr>
      <t>Vendas:</t>
    </r>
    <r>
      <rPr>
        <rFont val="Arial"/>
        <b val="0"/>
        <color theme="1"/>
      </rPr>
      <t xml:space="preserve"> valor médio por hectare está maior em 2025 do que o apresentado em 2018</t>
    </r>
  </si>
  <si>
    <t>Pago dívida do Senhor Leonildo Anzolin, em troca de 01 lote – Nota Promissória.</t>
  </si>
  <si>
    <t>venda em 2018:</t>
  </si>
  <si>
    <t>Compra de lotes da Família Fioreze.</t>
  </si>
  <si>
    <t>venda em 2025:</t>
  </si>
  <si>
    <t>Uma área de terras rurais, ADQUIRIDA em 2014, DA FAMÍLIA CECCONELLO, localizada no Município de Caxias do Sul – RS, composto por 2,0 (Dois) hectares, dentro de um todo maior, que compõem o Loteamento = 130.446,00m². | valor: R$ 600.000,00</t>
  </si>
  <si>
    <t>Pago despesas do Senhor Arlindo Piccoli – dívidas bancárias e de terceiros em troca de lotes.</t>
  </si>
  <si>
    <t>Aquisição da área de terras da Família Fogali, em Vila Azul.</t>
  </si>
  <si>
    <t>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
Cadastrada no ITR – Receita Federal sob nº 1.893.570-2
INCRA/CCIR nº 854.093.042.013-5
Adquirida pelo valor de R$ 45.000,00. Parte da área foi destinada para compensação ambiental do Loteamento Colina do Retiro II.</t>
  </si>
  <si>
    <t>Compra de lotes no Loteamento Caminhos do Sol – Dorval Boff.</t>
  </si>
  <si>
    <t>VALORES NÃO CONTABILIZADOS POR LOTES DE POSSÍVEL APP</t>
  </si>
  <si>
    <t>Pago uma dívida trabalhista do Senhor Dorval Boff, em troca de lotes no Loteamento Caminhos do Sol.</t>
  </si>
  <si>
    <t>Áreas de possível APP estão sendo zerados antes de uma decisão judicial.</t>
  </si>
  <si>
    <t>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
Cadastrada no ITR – Receita Federal sob nº 1.731.666-9
INCRA/CCIR nº 854.093.030.619-7
Adquirida pelo valor de R$ 50.000,00. Parte da área foi destinada para compensação ambiental do Loteamento Colina do Retiro II.</t>
  </si>
  <si>
    <t>Compra de lotes no Loteamento Caminhos do Sol – Ludovico Boff e mais pagamento de dívidas de impostos.</t>
  </si>
  <si>
    <t>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Adquirida por R$ 400.000,00.
17.604,00m² + 2.000,00m² = 19.604,00m². | valor: R$ 900.000,00</t>
  </si>
  <si>
    <t>Confirmar a situação dos lotes marcados como definitivamente APP</t>
  </si>
  <si>
    <r>
      <rPr>
        <rFont val="Calibri"/>
        <color theme="1"/>
        <sz val="10.0"/>
      </rPr>
      <t xml:space="preserve">Uma área de terras rurais, denominada de PARTE DO LOTE RURAL LETRA “M”, com área total de 3,6 hectares, conforme contrato e área medida conforme croqui, com 33.742,78m², localizada na Linha Tomaz Flores, no Município de Veranópolis – RS, na localidade de Sapopema, próxima ao CTG Rincão da Roça Reiuna, adquirida da FAMÍLIA LAGO, área esta registrada sob </t>
    </r>
    <r>
      <rPr>
        <rFont val="Calibri"/>
        <b/>
        <color theme="1"/>
        <sz val="10.0"/>
      </rPr>
      <t>Matrícula nº.: 14.319</t>
    </r>
    <r>
      <rPr>
        <rFont val="Calibri"/>
        <color theme="1"/>
        <sz val="10.0"/>
      </rPr>
      <t>. Matrícula nº 14.319 = 3,6 hectares. | valor: R$ 900.000,00</t>
    </r>
  </si>
  <si>
    <t>20.5</t>
  </si>
  <si>
    <t>Lote:12 | Quadra:1650 | valor:R$ 244.000,00</t>
  </si>
  <si>
    <t>Mesma área do item 2?</t>
  </si>
  <si>
    <t/>
  </si>
  <si>
    <t>Área de possível de APP</t>
  </si>
  <si>
    <t>Uma área de terras rurais, denominada de PARTE DO LOTE RURAL Nº 52, com área total de 15,1 hectares, localizada na Linha Júlio de Castilhos, no Município de Cotiporã – RS, adquirida da Senhora GLORIA E GERALDO BASSANI, área esta registrada sob Matrícula nº.: 7.391 - Matrícula nº 7.391 = 15,1 hectares X R$ 15.000,00
Cadastrada no CCIR – Receita Federal sob nº 2.481.952-2 | valor: R$ 226.500,00</t>
  </si>
  <si>
    <t>20.6</t>
  </si>
  <si>
    <t>Lote:13 | Quadra:1650 | valor:R$ 233.000,00</t>
  </si>
  <si>
    <t>20.11</t>
  </si>
  <si>
    <t>Lote:4 | Quadra:1676 | valor:R$ 253.000,00</t>
  </si>
  <si>
    <t>Loteamentos executados e registrados</t>
  </si>
  <si>
    <t>21.9</t>
  </si>
  <si>
    <t>Lote:2 | Quadra:1292 | valor:R$ 131.000,00</t>
  </si>
  <si>
    <t>22.1</t>
  </si>
  <si>
    <t>Lote:8 | Quadra:1193 | valor:R$ 170.000,00</t>
  </si>
  <si>
    <t>Área possível de APP</t>
  </si>
  <si>
    <t>22.2</t>
  </si>
  <si>
    <t>Lote:9 | Quadra:1193 | valor:R$ 165.000,00</t>
  </si>
  <si>
    <t>24.5</t>
  </si>
  <si>
    <t>Lote:13 | Quadra:1303 | valor:R$ 1.125.000,00</t>
  </si>
  <si>
    <t>Área passível de APP</t>
  </si>
  <si>
    <t>RELATÓRIOS MENSAIS</t>
  </si>
  <si>
    <r>
      <rPr>
        <rFont val="Arial"/>
        <color theme="1"/>
      </rPr>
      <t xml:space="preserve">Tenho apenas os levantamentos de </t>
    </r>
    <r>
      <rPr>
        <rFont val="Arial"/>
        <b/>
        <color theme="1"/>
      </rPr>
      <t>Jul.2023 até Out.2024</t>
    </r>
  </si>
  <si>
    <r>
      <rPr>
        <rFont val="Arial"/>
        <color theme="1"/>
      </rPr>
      <t xml:space="preserve">Antes de pedir todos relatórios para conferência, fiz de gasto desde 2018 com a </t>
    </r>
    <r>
      <rPr>
        <rFont val="Arial"/>
        <b/>
        <color theme="1"/>
      </rPr>
      <t>média</t>
    </r>
    <r>
      <rPr>
        <rFont val="Arial"/>
        <color theme="1"/>
      </rPr>
      <t xml:space="preserve"> desse período</t>
    </r>
  </si>
  <si>
    <t>TOTAL para 8 anos (96 meses)</t>
  </si>
  <si>
    <t>Comparação com 2018: 48.14% do patrimônio e 55.73% do número de lotes</t>
  </si>
  <si>
    <t>TOTAL</t>
  </si>
  <si>
    <t>Loteamento Sol Nascente I, localizado na cidade de Antônio Prado – RS, num saldo de 11 lotes.</t>
  </si>
  <si>
    <t>MÉDIA</t>
  </si>
  <si>
    <t>ÁREAS DE TERRAS CONTRATADAS EM ESTUDO</t>
  </si>
  <si>
    <t>12 Loteamentos:</t>
  </si>
  <si>
    <t>Fazer no mesmo modelo da Rochedo</t>
  </si>
  <si>
    <t>Análise nos relatórios mensais quanto já foi investido</t>
  </si>
  <si>
    <t>Alegam que não tem valor mas já estão vendendo o condomínio de Passo Fundo</t>
  </si>
  <si>
    <t>Cobranças em duplicidade</t>
  </si>
  <si>
    <r>
      <rPr>
        <rFont val="Calibri"/>
        <b/>
        <color theme="1"/>
        <sz val="10.0"/>
      </rPr>
      <t>ALEXANDRE SUSIN –</t>
    </r>
    <r>
      <rPr>
        <rFont val="Calibri"/>
        <color theme="1"/>
        <sz val="10.0"/>
      </rPr>
      <t xml:space="preserve"> A empresa deverá fazer o pagamento do </t>
    </r>
    <r>
      <rPr>
        <rFont val="Calibri"/>
        <b/>
        <color theme="1"/>
        <sz val="10.0"/>
      </rPr>
      <t>acerto final,</t>
    </r>
    <r>
      <rPr>
        <rFont val="Calibri"/>
        <color theme="1"/>
        <sz val="10.0"/>
      </rPr>
      <t xml:space="preserve"> conforme acordos celebrados, restando ainda a entrega de </t>
    </r>
    <r>
      <rPr>
        <rFont val="Calibri"/>
        <b/>
        <color theme="1"/>
        <sz val="10.0"/>
      </rPr>
      <t>06 lotes</t>
    </r>
    <r>
      <rPr>
        <rFont val="Calibri"/>
        <color theme="1"/>
        <sz val="10.0"/>
      </rPr>
      <t xml:space="preserve">, para o pleno cumprimento dos acordos firmados e mais o acerto dos valores, que deverão ser pagos como forma de comissão pela intermediação dos contratos firmados com a empresa BURITI, no valor de aproximadamente                             </t>
    </r>
    <r>
      <rPr>
        <rFont val="Calibri"/>
        <b/>
        <color rgb="FF980000"/>
        <sz val="10.0"/>
      </rPr>
      <t>R$ 1.200.000,00 (Hum milhão e duzentos mil reais).</t>
    </r>
  </si>
  <si>
    <t>Lote:1 | Quadra:A | valor:R$ 351.000,00</t>
  </si>
  <si>
    <t>eles estão nos cobrando a comissão pelo fechamento do acordo com a Buriti e a multa pelo distrato com os proprietários no mesmo documento?</t>
  </si>
  <si>
    <t>É uma contradição absurda cobrar uma contratação e distrato das mesmas áreas no mesmo documento</t>
  </si>
  <si>
    <t>Além disso,</t>
  </si>
  <si>
    <t>em "Acertos e Acordos" eles dizem já ter pago 7 + 17 lotes para Susin (o termo de acordo era de 17 lotes TOTAL)</t>
  </si>
  <si>
    <t>Lote:2 | Quadra:A | valor:R$ 351.000,00</t>
  </si>
  <si>
    <t>Lote:3 | Quadra:A | valor:R$ 351.000,00</t>
  </si>
  <si>
    <t>Lote:10 | Quadra:B | valor:R$ 369.000,00</t>
  </si>
  <si>
    <t>precisamos saber quantos lotes ele efetivamente recebeu de comissão e realmente quantos já foram passados para ele (não constam na lista)</t>
  </si>
  <si>
    <t>Lote:11 | Quadra:B | valor:R$ 369.000,00</t>
  </si>
  <si>
    <t>Lote:12 | Quadra:B | valor:R$ 389.000,00</t>
  </si>
  <si>
    <t>Lote:20 | Quadra:C | valor:R$ 389.000,00</t>
  </si>
  <si>
    <r>
      <rPr>
        <rFont val="Calibri"/>
        <b/>
        <color theme="1"/>
        <sz val="10.0"/>
      </rPr>
      <t>LOTEAMENTO RESERVA FALAVIGNA - Flores da Cunha</t>
    </r>
    <r>
      <rPr>
        <rFont val="Calibri"/>
        <color theme="1"/>
        <sz val="10.0"/>
      </rPr>
      <t xml:space="preserve"> – Conclusão da pavimentação das ruas do Sistema Viário + conclusão das obras do parque + construção da galeria para escoamento pluvial, o que importam num custo estimado em aproximadamente </t>
    </r>
    <r>
      <rPr>
        <rFont val="Calibri"/>
        <b/>
        <color rgb="FF980000"/>
        <sz val="10.0"/>
      </rPr>
      <t>R$ 2.000.000,00 (Dois milhões de reais)</t>
    </r>
    <r>
      <rPr>
        <rFont val="Calibri"/>
        <color theme="1"/>
        <sz val="10.0"/>
      </rPr>
      <t xml:space="preserve"> – Para conclusão destes serviços estão em garantia hipotecária junto ao Município de Flores da Cunha, LOTES do próprio Loteamento, de propriedade da empresa e da Família Falavigna. Para a </t>
    </r>
    <r>
      <rPr>
        <rFont val="Calibri"/>
        <b/>
        <color theme="1"/>
        <sz val="10.0"/>
      </rPr>
      <t>construção da galeria</t>
    </r>
    <r>
      <rPr>
        <rFont val="Calibri"/>
        <color theme="1"/>
        <sz val="10.0"/>
      </rPr>
      <t xml:space="preserve"> são necessários o valor de aproximadamente </t>
    </r>
    <r>
      <rPr>
        <rFont val="Calibri"/>
        <b/>
        <color theme="1"/>
        <sz val="10.0"/>
      </rPr>
      <t>R$ 1.200.000,00 (Hum milhão e duzentos mil reais)</t>
    </r>
    <r>
      <rPr>
        <rFont val="Calibri"/>
        <color theme="1"/>
        <sz val="10.0"/>
      </rPr>
      <t xml:space="preserve"> e para a conclusão dos demais </t>
    </r>
    <r>
      <rPr>
        <rFont val="Calibri"/>
        <b/>
        <color theme="1"/>
        <sz val="10.0"/>
      </rPr>
      <t>serviços de urbanismo e infraestrutura no PARQUE</t>
    </r>
    <r>
      <rPr>
        <rFont val="Calibri"/>
        <color theme="1"/>
        <sz val="10.0"/>
      </rPr>
      <t xml:space="preserve">, mais o valor aproximado de </t>
    </r>
    <r>
      <rPr>
        <rFont val="Calibri"/>
        <b/>
        <color theme="1"/>
        <sz val="10.0"/>
      </rPr>
      <t>R$ 800.000,00 (Oitocentos mil reais)</t>
    </r>
    <r>
      <rPr>
        <rFont val="Calibri"/>
        <color theme="1"/>
        <sz val="10.0"/>
      </rPr>
      <t>.</t>
    </r>
  </si>
  <si>
    <t>Lote:21 | Quadra:D | valor:R$ 389.000,00</t>
  </si>
  <si>
    <t>Esses lotes hipotecados estão na lista de lotes do loteamento Falavigna?</t>
  </si>
  <si>
    <t>Lote:22 | Quadra:D | valor:R$ 354.000,00</t>
  </si>
  <si>
    <t>1.10</t>
  </si>
  <si>
    <t>Se não, tiraram os lotes da divisão e agora estão cobrando pelos mesmos</t>
  </si>
  <si>
    <t>Lote:30 | Quadra:E | valor:R$ 389.000,00</t>
  </si>
  <si>
    <t>Além disso, a obra não custa R$ 2.000.000.00</t>
  </si>
  <si>
    <t>1.11</t>
  </si>
  <si>
    <t>Lote:39 | Quadra:E | valor:R$ 330.000,00</t>
  </si>
  <si>
    <t>!</t>
  </si>
  <si>
    <t>lote ? (vendido)</t>
  </si>
  <si>
    <r>
      <rPr>
        <rFont val="Calibri"/>
        <color theme="1"/>
        <sz val="10.0"/>
      </rPr>
      <t xml:space="preserve">No </t>
    </r>
    <r>
      <rPr>
        <rFont val="Calibri"/>
        <b/>
        <color theme="1"/>
        <sz val="10.0"/>
      </rPr>
      <t>Loteamento San Marino</t>
    </r>
    <r>
      <rPr>
        <rFont val="Calibri"/>
        <color theme="1"/>
        <sz val="10.0"/>
      </rPr>
      <t xml:space="preserve">, de Farroupilha, tem pendente a </t>
    </r>
    <r>
      <rPr>
        <rFont val="Calibri"/>
        <b/>
        <color theme="1"/>
        <sz val="10.0"/>
      </rPr>
      <t>construção da Estação de Tratamento de Esgoto – ETE</t>
    </r>
    <r>
      <rPr>
        <rFont val="Calibri"/>
        <color theme="1"/>
        <sz val="10.0"/>
      </rPr>
      <t xml:space="preserve">, para atendimento ao acordado como o Município de Farroupilha. A empresa tem vigente este compromisso, que até esta data ainda está passível da elaboração do projeto, aprovação pelos órgãos competentes, execução da obra, doação de um lote para a instalação da ETE, dentre outros custos, ainda não estimados, em virtude do tamanho que deverá ser necessária sua construção e, posterior aceite também pelos órgãos competentes responsáveis pelo seu uso, manutenção e conservação.
5.1)         Valor do terreno: </t>
    </r>
    <r>
      <rPr>
        <rFont val="Calibri"/>
        <b/>
        <color theme="1"/>
        <sz val="10.0"/>
      </rPr>
      <t>R$ 230.000,00</t>
    </r>
    <r>
      <rPr>
        <rFont val="Calibri"/>
        <color theme="1"/>
        <sz val="10.0"/>
      </rPr>
      <t xml:space="preserve">
5.2)         Valor do custo aproximado para a construção da ETE: </t>
    </r>
    <r>
      <rPr>
        <rFont val="Calibri"/>
        <b/>
        <color theme="1"/>
        <sz val="10.0"/>
      </rPr>
      <t>R$ 300.000,00</t>
    </r>
    <r>
      <rPr>
        <rFont val="Calibri"/>
        <color theme="1"/>
        <sz val="10.0"/>
      </rPr>
      <t xml:space="preserve">
</t>
    </r>
    <r>
      <rPr>
        <rFont val="Calibri"/>
        <b/>
        <color rgb="FF980000"/>
        <sz val="10.0"/>
      </rPr>
      <t xml:space="preserve">        TOTAL: R$ 530.000,00 (QUINHENTOS E TRINTA MIL REAIS).</t>
    </r>
  </si>
  <si>
    <t>Que terreno é esse?</t>
  </si>
  <si>
    <t>Verificar se foi vendido por Valter</t>
  </si>
  <si>
    <t>Se for do loteamento, ele consta na relação atual?</t>
  </si>
  <si>
    <t>Senão, como antes, estão descontando o lote 2x</t>
  </si>
  <si>
    <t>Loteamento Boito, localizado na cidade de Nova Prata – RS, num saldo de 01 lote.</t>
  </si>
  <si>
    <t>não consta</t>
  </si>
  <si>
    <r>
      <rPr>
        <rFont val="Calibri"/>
        <color theme="1"/>
        <sz val="10.0"/>
      </rPr>
      <t xml:space="preserve">Em fase final de cálculos de atualização de valores, pelo Ministério Público de Farroupilha, na área de terras da </t>
    </r>
    <r>
      <rPr>
        <rFont val="Calibri"/>
        <b/>
        <color theme="1"/>
        <sz val="10.0"/>
      </rPr>
      <t>Família Acordi</t>
    </r>
    <r>
      <rPr>
        <rFont val="Calibri"/>
        <color theme="1"/>
        <sz val="10.0"/>
      </rPr>
      <t xml:space="preserve">, há uma pendência a ser paga pela empresa, conforme acordo </t>
    </r>
    <r>
      <rPr>
        <rFont val="Calibri"/>
        <b/>
        <color theme="1"/>
        <sz val="10.0"/>
      </rPr>
      <t>já firmado e já pago o valor principal da multa.</t>
    </r>
    <r>
      <rPr>
        <rFont val="Calibri"/>
        <color theme="1"/>
        <sz val="10.0"/>
      </rPr>
      <t xml:space="preserve">
Carece ainda para conclusão do Processo, o pagamento da </t>
    </r>
    <r>
      <rPr>
        <rFont val="Calibri"/>
        <b/>
        <color theme="1"/>
        <sz val="10.0"/>
      </rPr>
      <t>atualização do valor pago e firmar um TAC junto ao Ministério Público para cumprimento de um PRAD.</t>
    </r>
    <r>
      <rPr>
        <rFont val="Calibri"/>
        <color theme="1"/>
        <sz val="10.0"/>
      </rPr>
      <t xml:space="preserve">
A multa que reportava um valor de aproximadamente R$ 1.000.000,00 foi reduzida para aproximadamente R$ 80.000,00 (já pagos) e é este valor quer deverá ser atualizado.
A redução do valor foi justificada pelo mesmo critério adotado pelo Município de Farroupilha, donde com desconto pagou-se uma multa de aproximadamente R$ 70.000,00 (já quitada).
Carece o cumprimento do PRAD, sua execução final e pagamento de todas as custas processuais e honorários, estimada a importância de aproximadamente </t>
    </r>
    <r>
      <rPr>
        <rFont val="Calibri"/>
        <b/>
        <color rgb="FF980000"/>
        <sz val="10.0"/>
      </rPr>
      <t>R$ 100.000,00 (Cem mil reais).</t>
    </r>
  </si>
  <si>
    <t>FAMILIA ACORDI - Farroupilha: multa de +/- R$ 1.200.000,00, foi acordado da seguinte forma: 
TAC Ministério Público de Farroupilha - R$ 88.457,52
Multa na Prefeitura de Farroupilha - R$ 61.920,30 Acerto com o Município - R$ 130.000,00</t>
  </si>
  <si>
    <t>Exemplos claros de como cobrar o valor inicial de uma multa é um absurdo</t>
  </si>
  <si>
    <r>
      <rPr>
        <rFont val="Calibri"/>
        <color theme="1"/>
        <sz val="10.0"/>
      </rPr>
      <t xml:space="preserve">Neste rol de custas, devem-se levar em consideração como custo da empresa, àquelas áreas rurais que estão adquiridas por contrato, e que por algum motivo particular de cada negócio, ainda não foram escrituradas em nome da empresa. É necessário, em algumas instruir processo de fracionamento ou desmembramento, levantamento topográfico georreferenciado, delimitar a área, etc. Carece num custo aproximado de </t>
    </r>
    <r>
      <rPr>
        <rFont val="Calibri"/>
        <b/>
        <color rgb="FF980000"/>
        <sz val="10.0"/>
      </rPr>
      <t>R$ 250.000,00 (Duzentos e cinquenta mil reais).</t>
    </r>
  </si>
  <si>
    <t>Não consta na relação de 2018</t>
  </si>
  <si>
    <t>valor médio dos lotes em 2018:   Não consta na relação</t>
  </si>
  <si>
    <t>Necessário maior explicação sobre isso</t>
  </si>
  <si>
    <t>Lote:3 | Quadra:I | valor:R$ 136.000,00</t>
  </si>
  <si>
    <t>Condomínio Morada do Ipê I, localizado na cidade de Passo Fundo – RS, num saldo de 02 lotes.</t>
  </si>
  <si>
    <t>Não entendi a parte da observação:</t>
  </si>
  <si>
    <t xml:space="preserve"> "FOI ACRESCENTADO O VALOR DO CAPITAL DE BENS A IMPORTÂNCIA DE R$ 1.135.000,00 AO VALOR CONSTANTE NO BALANÇO PATRIMONIAL (CÓDIGO 1060) – ITENS 03 – 04 – 05."</t>
  </si>
  <si>
    <t>Inventário 11: saldo de 01 lote (O14, Q2). A planilha diz 02 lotes; o lote O01 (linha 270) não consta no inventário.</t>
  </si>
  <si>
    <t>Verificar quantidade total de lotes recebido por Siviero</t>
  </si>
  <si>
    <t>Lote:O14 | Quadra:2 | valor:R$ 629.000,00</t>
  </si>
  <si>
    <t>Lote:O01 | Quadra:2 | valor:R$ 538.000,00</t>
  </si>
  <si>
    <t>Loteamento Fracionamento Simioni, localizado na cidade de Veranópolis – RS, num saldo de 04 lotes. Sobre os lotes há restrições ambientais – Fonte de Água e Mato.</t>
  </si>
  <si>
    <t>Lote:6 | Quadra:20 | valor:R$ ÁREA DE APP</t>
  </si>
  <si>
    <t>Lote:7 | Quadra:20 | valor:R$ ÁREA DE APP</t>
  </si>
  <si>
    <t>Lote:8 | Quadra:20 | valor:R$ ÁREA DE APP</t>
  </si>
  <si>
    <t>Lote:9 | Quadra:20 | valor:R$ ÁREA DE APP</t>
  </si>
  <si>
    <t>Loteamento Solar Norte I e II, localizado na cidade de Veranópolis – RS, num saldo de 06 lotes.</t>
  </si>
  <si>
    <t>valor dos lotes em 2018: 01 LOTE – R$ 250.000,00, cada um  |  09 LOTES – R$ 120.000,00, cada um.</t>
  </si>
  <si>
    <t>Lote:1 | Quadra:1 | valor:R$ 169.000,00</t>
  </si>
  <si>
    <t>Lote:2 | Quadra:1 | valor:R$ 232.000,00</t>
  </si>
  <si>
    <t>Lote:4 | Quadra:1 | valor:R$ 204.000,00</t>
  </si>
  <si>
    <t>Lote:5 | Quadra:1 | valor:R$ 204.000,00</t>
  </si>
  <si>
    <t>Lote:3 | Quadra:2 | valor:R$ 181.000,00</t>
  </si>
  <si>
    <t>Lote:4 | Quadra:2 | valor:R$ 181.000,00</t>
  </si>
  <si>
    <t>Loteamento Aditivo Medianeira, localizado na cidade de Veranópolis – RS, num saldo de 15 lotes.</t>
  </si>
  <si>
    <t>Lote:3 | Quadra:1 | valor:R$ 214.000,00</t>
  </si>
  <si>
    <t>Lote:1 | Quadra:3 | valor:R$ 190.000,00</t>
  </si>
  <si>
    <t>Lote:2 | Quadra:3 | valor:R$ 202.000,00</t>
  </si>
  <si>
    <t>Lote:3 | Quadra:3 | valor:R$ 190.000,00</t>
  </si>
  <si>
    <t>Lote:5 | Quadra:3 | valor:R$ 220.000,00</t>
  </si>
  <si>
    <t>Lote:6 | Quadra:3 | valor:R$ 167.000,00</t>
  </si>
  <si>
    <t>Lote:7 | Quadra:3 | valor:R$ 193.000,00</t>
  </si>
  <si>
    <t>Lote:2 | Quadra:6 | valor:R$ 156.000,00</t>
  </si>
  <si>
    <t>Lote:3 | Quadra:6 | valor:R$ 156.000,00</t>
  </si>
  <si>
    <t>6.10</t>
  </si>
  <si>
    <t>Lote:9 | Quadra:6 | valor:R$ 156.000,00</t>
  </si>
  <si>
    <t>Lote:10 | Quadra:6 | valor:R$ 156.000,00</t>
  </si>
  <si>
    <t>Lote:1 | Quadra:7 | valor:R$ 165.000,00</t>
  </si>
  <si>
    <t>Lote:2 | Quadra:7 | valor:R$ 165.000,00</t>
  </si>
  <si>
    <t>Lote:3 | Quadra:7 | valor:R$ 165.000,00</t>
  </si>
  <si>
    <t xml:space="preserve">Lote:Lote:7 | Quadra:8 | valor:R$ 152.000,00 | Quadra: | valor:R$ </t>
  </si>
  <si>
    <t>Loteamento Colina do Retiro I, localizado na cidade de Veranópolis – RS, num saldo de 13 lotes.</t>
  </si>
  <si>
    <t>valor dos lotes em 2018: : 02 LOTES – R$ 150.000,00  |  03 LOTES – R$ 120.000,00  |  18 LOTES – R$ 100.000,00.</t>
  </si>
  <si>
    <t>Lote:5 | Quadra:1 | valor:R$ 437.000,00</t>
  </si>
  <si>
    <t>Lote:6 | Quadra:1 | valor:R$ 437.000,00</t>
  </si>
  <si>
    <t>Lote:2 | Quadra:5 | valor:R$ 160.000,00</t>
  </si>
  <si>
    <t>Lote:3 | Quadra:6 | valor:R$ 149.000,00</t>
  </si>
  <si>
    <t>Lote:4 | Quadra:6 | valor:R$ 149.000,00</t>
  </si>
  <si>
    <t>Lote:7 | Quadra:6 | valor:R$ 149.000,00</t>
  </si>
  <si>
    <t>Lote:8 | Quadra:6 | valor:R$ 149.000,00</t>
  </si>
  <si>
    <t>Lote:2 | Quadra:9 | valor:R$ 159.000,00</t>
  </si>
  <si>
    <t>Lote:3 | Quadra:9 | valor:R$ 159.000,00</t>
  </si>
  <si>
    <t>7.10</t>
  </si>
  <si>
    <t>Lote:4 | Quadra:12 | valor:R$ 160.000,00</t>
  </si>
  <si>
    <t>Lote:5 | Quadra:12 | valor:R$ 167.000,00</t>
  </si>
  <si>
    <t>Lote:5 | Quadra:14 | valor:R$ 155.000,00</t>
  </si>
  <si>
    <t>Lote:6 | Quadra:14 | valor:R$ 155.000,00</t>
  </si>
  <si>
    <t>Loteamento Salvador – Alberto Salvador – FEMAÇÃ II, localizado na cidade de Veranópolis – RS, no Bairro Femaçã, num total de 26 lotes.</t>
  </si>
  <si>
    <t>2018: 45 menos 4 vendidos / 5 app</t>
  </si>
  <si>
    <t>valor dos lotes em 2018: 08 LOTES – R$ 200.000,00  |  12 LOTES – R$ 150.000,00  |  16 LOTES – R$ 110.000,00.</t>
  </si>
  <si>
    <t>Lote:3 | Quadra:1 | valor:R$ 259.000,00</t>
  </si>
  <si>
    <t>Lote:4 | Quadra:1 | valor:R$ 276.000,00</t>
  </si>
  <si>
    <t>Lote:5 | Quadra:1 | valor:R$ 294.000,00</t>
  </si>
  <si>
    <t>Lote:6 | Quadra:1 | valor:R$ 311.000,00</t>
  </si>
  <si>
    <t>Lote:7 | Quadra:1 | valor:R$ 342.000,00</t>
  </si>
  <si>
    <t>Lote:10 | Quadra:1 | valor:R$ 328.000,00</t>
  </si>
  <si>
    <t>Lote:11 | Quadra:1 | valor:R$ 340.000,00</t>
  </si>
  <si>
    <t>Lote:12 | Quadra:1 | valor:R$ 358.000,00</t>
  </si>
  <si>
    <t>Lote:1 | Quadra:2 | valor:R$ 414.000,00</t>
  </si>
  <si>
    <t>8.10</t>
  </si>
  <si>
    <t>Lote:2 | Quadra:2 | valor:R$ 413.000,00</t>
  </si>
  <si>
    <t>Lote:4 | Quadra:2 | valor:R$ 440.000,00</t>
  </si>
  <si>
    <t>Lote:5 | Quadra:2 | valor:R$ 326.000,00</t>
  </si>
  <si>
    <t>Lote:6 | Quadra:2 | valor:R$ 309.000,00</t>
  </si>
  <si>
    <t>Lote:7 | Quadra:2 | valor:R$ 301.000,00</t>
  </si>
  <si>
    <t>Lote:4 | Quadra:3 | valor:R$ 286.000,00</t>
  </si>
  <si>
    <t>Lote:3 | Quadra:4 | valor:R$ 189.000,00</t>
  </si>
  <si>
    <t>Lote:5 | Quadra:4 | valor:R$ 291.000,00</t>
  </si>
  <si>
    <t>Lote:6 | Quadra:4 | valor:R$ 291.000,00</t>
  </si>
  <si>
    <t>Lote:7 | Quadra:4 | valor:R$ 291.000,00</t>
  </si>
  <si>
    <t>8.20</t>
  </si>
  <si>
    <t>Lote:8 | Quadra:4 | valor:R$ 282.000,00</t>
  </si>
  <si>
    <t>Lote:9 | Quadra:4 | valor:R$ 282.000,00</t>
  </si>
  <si>
    <t>Lote:10 | Quadra:4 | valor:R$ 283.000,00</t>
  </si>
  <si>
    <t>Lote:11 | Quadra:4 | valor:R$ 321.000,00</t>
  </si>
  <si>
    <t>Lote:1 | Quadra:5 | valor:R$ 387.000,00</t>
  </si>
  <si>
    <t>Lote:3 | Quadra:5 | valor:R$ FAMÍLIA SIVIERO</t>
  </si>
  <si>
    <t>Família Siviero</t>
  </si>
  <si>
    <t>Lote:4 | Quadra:5 | valor:R$ FAMÍLIA SIVIERO</t>
  </si>
  <si>
    <t>Lote:5 | Quadra:5 | valor:R$ FAMÍLIA SIVIERO</t>
  </si>
  <si>
    <t>Lote:6 | Quadra:5 | valor:R$ FAMÍLIA SIVIERO</t>
  </si>
  <si>
    <t>Lote:7 | Quadra:5 | valor:R$ FAMÍLIA SIVIERO</t>
  </si>
  <si>
    <t>8.30</t>
  </si>
  <si>
    <t>Lote:8 | Quadra:5 | valor:R$ FAMÍLIA SIVIERO</t>
  </si>
  <si>
    <t>Lote:9 | Quadra:5 | valor:R$ 374.000,00</t>
  </si>
  <si>
    <t>Lote:10 | Quadra:5 | valor:R$ 386.000,00</t>
  </si>
  <si>
    <t>Lote:8 | Quadra:1 | valor:R$ 342.000,00</t>
  </si>
  <si>
    <t>lotx (vendido)</t>
  </si>
  <si>
    <t>Loteamento Colina do Retiro II, localizado na cidade de Veranópolis – RS, num total de 102 lotes.</t>
  </si>
  <si>
    <t>Lote:3 | Quadra:1 | valor:R$ R$225,000.00</t>
  </si>
  <si>
    <t>Lote:4 | Quadra:1 | valor:R$ R$232,000.00</t>
  </si>
  <si>
    <t xml:space="preserve">Lote:2 | Quadra:2 | valor:R$ </t>
  </si>
  <si>
    <t xml:space="preserve">Lote:6 | Quadra:2 | valor:R$ </t>
  </si>
  <si>
    <t xml:space="preserve">Lote:7 | Quadra:2 | valor:R$ </t>
  </si>
  <si>
    <t xml:space="preserve">Lote:1 | Quadra:3 | valor:R$ </t>
  </si>
  <si>
    <t xml:space="preserve">Lote:4 | Quadra:3 | valor:R$ </t>
  </si>
  <si>
    <t xml:space="preserve">Lote:5 | Quadra:3 | valor:R$ </t>
  </si>
  <si>
    <t xml:space="preserve">Lote:2 | Quadra:4 | valor:R$ </t>
  </si>
  <si>
    <t>9.10</t>
  </si>
  <si>
    <t xml:space="preserve">Lote:3 | Quadra:4 | valor:R$ </t>
  </si>
  <si>
    <t xml:space="preserve">Lote:6 | Quadra:4 | valor:R$ </t>
  </si>
  <si>
    <t xml:space="preserve">Lote:7 | Quadra:4 | valor:R$ </t>
  </si>
  <si>
    <t xml:space="preserve">Lote:11 | Quadra:4 | valor:R$ </t>
  </si>
  <si>
    <t xml:space="preserve">Lote:12 | Quadra:4 | valor:R$ </t>
  </si>
  <si>
    <t xml:space="preserve">Lote:3 | Quadra:5 | valor:R$ </t>
  </si>
  <si>
    <t xml:space="preserve">Lote:6 | Quadra:5 | valor:R$ </t>
  </si>
  <si>
    <t xml:space="preserve">Lote:7 | Quadra:5 | valor:R$ </t>
  </si>
  <si>
    <t xml:space="preserve">Lote:8 | Quadra:5 | valor:R$ </t>
  </si>
  <si>
    <t xml:space="preserve">Lote:9 | Quadra:5 | valor:R$ </t>
  </si>
  <si>
    <t>9.20</t>
  </si>
  <si>
    <t xml:space="preserve">Lote:12 | Quadra:5 | valor:R$ </t>
  </si>
  <si>
    <t>Lote:1 | Quadra:6 | valor:R$</t>
  </si>
  <si>
    <t>Não consta no inventário 2025 antigo</t>
  </si>
  <si>
    <t xml:space="preserve">Lote:3 | Quadra:6 | valor:R$ </t>
  </si>
  <si>
    <t xml:space="preserve">Lote:4 | Quadra:6 | valor:R$ </t>
  </si>
  <si>
    <t xml:space="preserve">Lote:5 | Quadra:6 | valor:R$ </t>
  </si>
  <si>
    <t xml:space="preserve">Lote:8 | Quadra:6 | valor:R$ </t>
  </si>
  <si>
    <t xml:space="preserve">Lote:9 | Quadra:6 | valor:R$ </t>
  </si>
  <si>
    <t xml:space="preserve">Lote:10 | Quadra:6 | valor:R$ </t>
  </si>
  <si>
    <t xml:space="preserve">Lote:11 | Quadra:6 | valor:R$ </t>
  </si>
  <si>
    <t xml:space="preserve">Lote:12 | Quadra:6 | valor:R$ </t>
  </si>
  <si>
    <t>9.30</t>
  </si>
  <si>
    <t xml:space="preserve">Lote:14 | Quadra:6 | valor:R$ </t>
  </si>
  <si>
    <t xml:space="preserve">Lote:2 | Quadra:7 | valor:R$ </t>
  </si>
  <si>
    <t xml:space="preserve">Lote:3 | Quadra:7 | valor:R$ </t>
  </si>
  <si>
    <t xml:space="preserve">Lote:4 | Quadra:7 | valor:R$ </t>
  </si>
  <si>
    <t xml:space="preserve">Lote:5 | Quadra:7 | valor:R$ </t>
  </si>
  <si>
    <t xml:space="preserve">Lote:6 | Quadra:7 | valor:R$ </t>
  </si>
  <si>
    <t xml:space="preserve">Lote:8 | Quadra:7 | valor:R$ </t>
  </si>
  <si>
    <t>Não consta na relação antiga</t>
  </si>
  <si>
    <t xml:space="preserve">Lote:9 | Quadra:7 | valor:R$ </t>
  </si>
  <si>
    <t xml:space="preserve">Lote:10 | Quadra:7 | valor:R$ </t>
  </si>
  <si>
    <t xml:space="preserve">Lote:11 | Quadra:7 | valor:R$ </t>
  </si>
  <si>
    <t>9.40</t>
  </si>
  <si>
    <t xml:space="preserve">Lote:13 | Quadra:7 | valor:R$ </t>
  </si>
  <si>
    <t xml:space="preserve">Lote:14 | Quadra:7 | valor:R$ </t>
  </si>
  <si>
    <t xml:space="preserve">Lote:2 | Quadra:8 | valor:R$ </t>
  </si>
  <si>
    <t xml:space="preserve">Lote:3 | Quadra:8 | valor:R$ </t>
  </si>
  <si>
    <t xml:space="preserve">Lote:6 | Quadra:8 | valor:R$ </t>
  </si>
  <si>
    <t xml:space="preserve">Lote:7 | Quadra:8 | valor:R$ </t>
  </si>
  <si>
    <t xml:space="preserve">Lote:8 | Quadra:8 | valor:R$ </t>
  </si>
  <si>
    <t xml:space="preserve">Lote:9 | Quadra:8 | valor:R$ </t>
  </si>
  <si>
    <t xml:space="preserve">Lote:10 | Quadra:8 | valor:R$ </t>
  </si>
  <si>
    <t xml:space="preserve">Lote:11 | Quadra:8 | valor:R$ </t>
  </si>
  <si>
    <t>9.50</t>
  </si>
  <si>
    <t xml:space="preserve">Lote:1 | Quadra:9 | valor:R$ </t>
  </si>
  <si>
    <t xml:space="preserve">Lote:4 | Quadra:9 | valor:R$ </t>
  </si>
  <si>
    <t xml:space="preserve">Lote:5 | Quadra:9 | valor:R$ </t>
  </si>
  <si>
    <t xml:space="preserve">Lote:6 | Quadra:9 | valor:R$ </t>
  </si>
  <si>
    <t xml:space="preserve">Lote:7 | Quadra:9 | valor:R$ </t>
  </si>
  <si>
    <t xml:space="preserve">Lote:9 | Quadra:9 | valor:R$ </t>
  </si>
  <si>
    <t xml:space="preserve">Lote:10 | Quadra:9 | valor:R$ </t>
  </si>
  <si>
    <t xml:space="preserve">Lote:13 | Quadra:9 | valor:R$ </t>
  </si>
  <si>
    <t xml:space="preserve">Lote:14 | Quadra:9 | valor:R$ </t>
  </si>
  <si>
    <t xml:space="preserve">Lote:2 | Quadra:10 | valor:R$ </t>
  </si>
  <si>
    <t>9.60</t>
  </si>
  <si>
    <t xml:space="preserve">Lote:9 | Quadra:10 | valor:R$ </t>
  </si>
  <si>
    <t xml:space="preserve">Lote:10 | Quadra:10 | valor:R$ </t>
  </si>
  <si>
    <t xml:space="preserve">Lote:12 | Quadra:10 | valor:R$ </t>
  </si>
  <si>
    <t xml:space="preserve">Lote:15 | Quadra:10 | valor:R$ </t>
  </si>
  <si>
    <t xml:space="preserve">Lote:1 | Quadra:11 | valor:R$ </t>
  </si>
  <si>
    <t xml:space="preserve">Lote:2 | Quadra:11 | valor:R$ </t>
  </si>
  <si>
    <t xml:space="preserve">Lote:3 | Quadra:11 | valor:R$ </t>
  </si>
  <si>
    <t xml:space="preserve">Lote:4 | Quadra:11 | valor:R$ </t>
  </si>
  <si>
    <t xml:space="preserve">Lote:7 | Quadra:11 | valor:R$ </t>
  </si>
  <si>
    <t xml:space="preserve">Lote:8 | Quadra:11 | valor:R$ </t>
  </si>
  <si>
    <t>9.70</t>
  </si>
  <si>
    <t xml:space="preserve">Lote:11 | Quadra:11 | valor:R$ </t>
  </si>
  <si>
    <t xml:space="preserve">Lote:12 | Quadra:11 | valor:R$ </t>
  </si>
  <si>
    <t xml:space="preserve">Lote:1 | Quadra:12 | valor:R$ </t>
  </si>
  <si>
    <t xml:space="preserve">Lote:2 | Quadra:12 | valor:R$ </t>
  </si>
  <si>
    <t xml:space="preserve">Lote:3 | Quadra:12 | valor:R$ </t>
  </si>
  <si>
    <t xml:space="preserve">Lote:1 | Quadra:13 | valor:R$ </t>
  </si>
  <si>
    <t xml:space="preserve">Lote:2 | Quadra:13 | valor:R$ </t>
  </si>
  <si>
    <t xml:space="preserve">Lote:3 | Quadra:13 | valor:R$ </t>
  </si>
  <si>
    <t xml:space="preserve">Lote:4 | Quadra:13 | valor:R$ </t>
  </si>
  <si>
    <t xml:space="preserve">Lote:5 | Quadra:13 | valor:R$ </t>
  </si>
  <si>
    <t>9.80</t>
  </si>
  <si>
    <t xml:space="preserve">Lote:6 | Quadra:13 | valor:R$ </t>
  </si>
  <si>
    <t xml:space="preserve">Lote:9 | Quadra:13 | valor:R$ </t>
  </si>
  <si>
    <t xml:space="preserve">Lote:10 | Quadra:13 | valor:R$ </t>
  </si>
  <si>
    <t xml:space="preserve">Lote:1 | Quadra:14 | valor:R$ </t>
  </si>
  <si>
    <t xml:space="preserve">Lote:2 | Quadra:14 | valor:R$ </t>
  </si>
  <si>
    <t xml:space="preserve">Lote:5 | Quadra:14 | valor:R$ </t>
  </si>
  <si>
    <t xml:space="preserve">Lote:6 | Quadra:14 | valor:R$ </t>
  </si>
  <si>
    <t xml:space="preserve">Lote:9 | Quadra:14 | valor:R$ </t>
  </si>
  <si>
    <t xml:space="preserve">Lote:10 | Quadra:14 | valor:R$ </t>
  </si>
  <si>
    <t xml:space="preserve">Lote:11 | Quadra:14 | valor:R$ </t>
  </si>
  <si>
    <t>9.90</t>
  </si>
  <si>
    <t xml:space="preserve">Lote:12 | Quadra:14 | valor:R$ </t>
  </si>
  <si>
    <t xml:space="preserve">Lote:1 | Quadra:15 | valor:R$ </t>
  </si>
  <si>
    <t>ESTUDO SIVIERO</t>
  </si>
  <si>
    <t>2018: apresentado</t>
  </si>
  <si>
    <t>2018: atualizado</t>
  </si>
  <si>
    <t>dezembro 2024</t>
  </si>
  <si>
    <t>outubro 2025</t>
  </si>
  <si>
    <t>OBSERVAÇÕES</t>
  </si>
  <si>
    <t xml:space="preserve">Lote:2 | Quadra:15 | valor:R$ </t>
  </si>
  <si>
    <t>patrimônio (sem desconto)</t>
  </si>
  <si>
    <t xml:space="preserve">Lote:7 | Quadra:15 | valor:R$ </t>
  </si>
  <si>
    <t xml:space="preserve">Lote:5 | Quadra:16 | valor:R$ </t>
  </si>
  <si>
    <t xml:space="preserve">Lote:6 | Quadra:16 | valor:R$ </t>
  </si>
  <si>
    <t xml:space="preserve">Lote:7 | Quadra:16 | valor:R$ </t>
  </si>
  <si>
    <t xml:space="preserve">Lote:8 | Quadra:16 | valor:R$ </t>
  </si>
  <si>
    <t xml:space="preserve">Lote:1 | Quadra:17 | valor:R$ </t>
  </si>
  <si>
    <t xml:space="preserve">Lote:2 | Quadra:17 | valor:R$ </t>
  </si>
  <si>
    <t>ABASTECEDORA DE COMBUSTÍVEIS SIVIERO LTDA.</t>
  </si>
  <si>
    <t>9.100</t>
  </si>
  <si>
    <t xml:space="preserve">Lote:3 | Quadra:17 | valor:R$ </t>
  </si>
  <si>
    <t>9.101</t>
  </si>
  <si>
    <t xml:space="preserve">Lote:4 | Quadra:17 | valor:R$ </t>
  </si>
  <si>
    <t>9.102</t>
  </si>
  <si>
    <t xml:space="preserve">Lote:7 | Quadra:17 | valor:R$ </t>
  </si>
  <si>
    <t xml:space="preserve">Lote:15 | Quadra:5 | valor:R$ </t>
  </si>
  <si>
    <t>Não consta no inventário 2025 atualizado</t>
  </si>
  <si>
    <t xml:space="preserve">Lote:1 | Quadra:7 | valor:R$ </t>
  </si>
  <si>
    <t xml:space="preserve">Lote:12 | Quadra:8 | valor:R$ </t>
  </si>
  <si>
    <t xml:space="preserve">Lote:15 | Quadra:8 | valor:R$ </t>
  </si>
  <si>
    <t>Loteamento Industrial Pedra Lisa, localizado na cidade de Veranópolis – RS, num saldo de 31 lotes.</t>
  </si>
  <si>
    <t>valor dos lotes em 2018:  01 LOTE – R$ 550.000,00  |  01 LOTE – R$ 450.000,00  |  37 LOTES – R$ 230.000,00.</t>
  </si>
  <si>
    <t>Lote:1 | Quadra:1 | valor:R$ 273.000,00</t>
  </si>
  <si>
    <t>Lote:2 | Quadra:1 | valor:R$ 273.000,00</t>
  </si>
  <si>
    <t>Lote:3 | Quadra:1 | valor:R$ 273.000,00</t>
  </si>
  <si>
    <t>Lote:4 | Quadra:1 | valor:R$ 273.000,00</t>
  </si>
  <si>
    <t>Lote:5 | Quadra:1 | valor:R$ 283.000,00</t>
  </si>
  <si>
    <t>Lote:6 | Quadra:1 | valor:R$ 293.000,00</t>
  </si>
  <si>
    <t>Lote:1 | Quadra:2 | valor:R$ 274.000,00</t>
  </si>
  <si>
    <t>Lote:2 | Quadra:2 | valor:R$ 274.000,00</t>
  </si>
  <si>
    <t>Lote:3 | Quadra:2 | valor:R$ 274.000,00</t>
  </si>
  <si>
    <t>10.10</t>
  </si>
  <si>
    <t>Lote:4 | Quadra:2 | valor:R$ 277.000,00</t>
  </si>
  <si>
    <t>10.11</t>
  </si>
  <si>
    <t>Lote:6 | Quadra:2 | valor:R$ 293.000,00</t>
  </si>
  <si>
    <t>10.12</t>
  </si>
  <si>
    <t>Lote:1 | Quadra:3 | valor:R$ 293.000,00</t>
  </si>
  <si>
    <t>10.13</t>
  </si>
  <si>
    <t>Lote:2 | Quadra:3 | valor:R$ 291.000,00</t>
  </si>
  <si>
    <t>10.14</t>
  </si>
  <si>
    <t>Lote:2 | Quadra:4 | valor:R$ 450.000,00</t>
  </si>
  <si>
    <t>10.15</t>
  </si>
  <si>
    <t>Lote:3 | Quadra:4 | valor:R$ 438.000,00</t>
  </si>
  <si>
    <t>10.16</t>
  </si>
  <si>
    <t>Lote:6 | Quadra:4 | valor:R$ 301.000,00</t>
  </si>
  <si>
    <t>10.17</t>
  </si>
  <si>
    <t>Lote:1 | Quadra:5 | valor:R$ 301.000,00</t>
  </si>
  <si>
    <t>10.18</t>
  </si>
  <si>
    <t>Lote:8 | Quadra:5 | valor:R$ 301.000,00</t>
  </si>
  <si>
    <t>10.19</t>
  </si>
  <si>
    <t>Lote:1 | Quadra:6 | valor:R$ 398.000,00</t>
  </si>
  <si>
    <t>10.20</t>
  </si>
  <si>
    <t>Lote:2 | Quadra:6 | valor:R$ 332.000,00</t>
  </si>
  <si>
    <t>10.21</t>
  </si>
  <si>
    <t>Lote:1 | Quadra:8 | valor:R$ 366.000,00</t>
  </si>
  <si>
    <t>10.22</t>
  </si>
  <si>
    <t>Lote:2 | Quadra:8 | valor:R$ 332.000,00</t>
  </si>
  <si>
    <r>
      <rPr>
        <rFont val="Calibri"/>
        <color theme="1"/>
        <sz val="10.0"/>
      </rPr>
      <t xml:space="preserve">Um imóvel urbano sob Matrícula nº 3.752, com área de 3.450,00m², que compreende um lote urbano e instalação de um Posto de Combustíveis, totalmente equipado e em pleno funcionamento.
O contrato com a Companhia Ipiranga está cumprido e com condições de renegociação e/ou renegociação com outra Companhia e/ou também com a possibilidade de exploração direta.
Agrega ao valor do Posto, o aluguel da Lancharia/Restaurante.
Valor do Terreno e Pavimentação: </t>
    </r>
    <r>
      <rPr>
        <rFont val="Calibri"/>
        <b/>
        <color theme="1"/>
        <sz val="10.0"/>
      </rPr>
      <t>3.450,00m² x R$ 2.100,00 =
R$ 7.245.000,00</t>
    </r>
    <r>
      <rPr>
        <rFont val="Calibri"/>
        <color theme="1"/>
        <sz val="10.0"/>
      </rPr>
      <t xml:space="preserve"> (considerado o valor ao metro quadrado da pavimentação e o valor da área conforme sua localização comercial).
Valor do Posto em área construída: </t>
    </r>
    <r>
      <rPr>
        <rFont val="Calibri"/>
        <b/>
        <color theme="1"/>
        <sz val="10.0"/>
      </rPr>
      <t>292,85m² x R$ 1.500,00 =
R$ 439.275,00</t>
    </r>
    <r>
      <rPr>
        <rFont val="Calibri"/>
        <color theme="1"/>
        <sz val="10.0"/>
      </rPr>
      <t xml:space="preserve"> (valor do CUB da construção – agosto de 2017).
Valor do Posto em área coberta: </t>
    </r>
    <r>
      <rPr>
        <rFont val="Calibri"/>
        <b/>
        <color theme="1"/>
        <sz val="10.0"/>
      </rPr>
      <t>699,55m² x R$ 1.100,00 =
R$ 769.505,00</t>
    </r>
    <r>
      <rPr>
        <rFont val="Calibri"/>
        <color theme="1"/>
        <sz val="10.0"/>
      </rPr>
      <t xml:space="preserve"> (valor do CUB da construção – agosto de 2017).
Valor do Posto com equipamentos, bombas, quadros, tanques, sistema elétrico e licenciamento, etc. = </t>
    </r>
    <r>
      <rPr>
        <rFont val="Calibri"/>
        <b/>
        <color theme="1"/>
        <sz val="10.0"/>
      </rPr>
      <t>R$ 650.000,00</t>
    </r>
    <r>
      <rPr>
        <rFont val="Calibri"/>
        <color theme="1"/>
        <sz val="10.0"/>
      </rPr>
      <t xml:space="preserve">.
Valor do Posto em vantagem da coisa feita: </t>
    </r>
    <r>
      <rPr>
        <rFont val="Calibri"/>
        <b/>
        <color theme="1"/>
        <sz val="10.0"/>
      </rPr>
      <t>30,00% x R$ 557.634,00.</t>
    </r>
    <r>
      <rPr>
        <rFont val="Calibri"/>
        <color theme="1"/>
        <sz val="10.0"/>
      </rPr>
      <t xml:space="preserve">   |   </t>
    </r>
    <r>
      <rPr>
        <rFont val="Calibri"/>
        <b/>
        <color theme="1"/>
        <sz val="10.0"/>
      </rPr>
      <t>VALOR R$ 9.661.414,00</t>
    </r>
  </si>
  <si>
    <t>10.23</t>
  </si>
  <si>
    <t>Lote:3 | Quadra:8 | valor:R$ 332.000,00</t>
  </si>
  <si>
    <t>10.24</t>
  </si>
  <si>
    <t>Lote:4 | Quadra:8 | valor:R$ 366.000,00</t>
  </si>
  <si>
    <t>10.25</t>
  </si>
  <si>
    <t>Lote:7 | Quadra:9 | valor:R$ 356.000,00</t>
  </si>
  <si>
    <t>10.26</t>
  </si>
  <si>
    <t>Lote:8 | Quadra:9 | valor:R$ 345.000,00</t>
  </si>
  <si>
    <t>10.27</t>
  </si>
  <si>
    <t>Lote:2 | Quadra:11 | valor:R$ 377.000,00</t>
  </si>
  <si>
    <t>Por que reduziu R$2.555.437,89</t>
  </si>
  <si>
    <t>10.28</t>
  </si>
  <si>
    <t>Lote:3 | Quadra:11 | valor:R$ 366.000,00</t>
  </si>
  <si>
    <t>10.29</t>
  </si>
  <si>
    <t>Lote:4 | Quadra:11 | valor:R$ 356.000,00</t>
  </si>
  <si>
    <r>
      <rPr>
        <rFont val="Calibri"/>
        <color theme="1"/>
        <sz val="10.0"/>
      </rPr>
      <t xml:space="preserve">Um caminhão carro tanque placa: </t>
    </r>
    <r>
      <rPr>
        <rFont val="Calibri"/>
        <b/>
        <color theme="1"/>
        <sz val="10.0"/>
      </rPr>
      <t>ICW 8342</t>
    </r>
    <r>
      <rPr>
        <rFont val="Calibri"/>
        <color theme="1"/>
        <sz val="10.0"/>
      </rPr>
      <t>, ano: 1995, modelo: MERCEBES BENZ/L 1618.</t>
    </r>
  </si>
  <si>
    <t>10.30</t>
  </si>
  <si>
    <t>Lote:5 | Quadra:11 | valor:R$ 943.000,00</t>
  </si>
  <si>
    <t>10.31</t>
  </si>
  <si>
    <t>Lote:6 | Quadra:11 | valor:R$ 681.000,00</t>
  </si>
  <si>
    <t>Observações:
         Aprovado o PROJETO do Posto junto a Prefeitura de Veranópolis para fins de legalização da obra e posterior procedimento de averbação da obra junto ao Ofício de Registro de Imóveis, da Comarca de Veranópolis. Aguardando o prazo de 05 (cinco) anos para pagamento dos impostos junto à Receita Federal – INSS, contados a partir de 14 de março de 2022.
                  Processo Judicial em tramitação no Fórum de Veranópolis – CRISTIANO RODRIGO LUCCHETTA – Ação de Indenização = Ponto e pagamento de aluguéis.
                O valor real acima apontado não é líquido, à medida que:
a)  O valor patrimonial lançado sofrerá redução pela regularização dos imóveis, o que se estima numa redução de 0,70% (ZERO VÍRGULA SETENTA POR CENTO) do valor acima apontado,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t>
  </si>
  <si>
    <t>Loteamento Monte Vêneto, localizado na cidade de Carlos Barbosa – RS, num saldo de 01 lote.</t>
  </si>
  <si>
    <t>Lote:31 | Quadra:D | valor:R$ 241.000,00</t>
  </si>
  <si>
    <t>Loteamento Baldasso, localizado na cidade de Carlos Barbosa – RS, num total de 05 lotes.</t>
  </si>
  <si>
    <t>AGROPECUÁRIA  FAZENDA  SÃO  CRISPIN LTDA.</t>
  </si>
  <si>
    <t>Um trator agrícola da marca VALTRA, modelo BM100, 4 x 4 – TURBO, ano 2010.</t>
  </si>
  <si>
    <t>Lote:163 | Quadra:48 | valor:R$ R$293.00</t>
  </si>
  <si>
    <r>
      <rPr>
        <rFont val="Calibri"/>
        <color theme="1"/>
        <sz val="10.0"/>
      </rPr>
      <t xml:space="preserve">Atualmente, através de CONTRATO PARTICULAR DE ARRENDAMENTO, a área total está arrendada para a FAMÍLIA LORENZETTI, pelo prazo de 03 (três) anos seguidos e ininterruptos, iniciando-se no ano de 2023 (02 de maio de 2023) e tendo como última safra o ano de 2026 (30 de abril de 2026). As áreas estas inseridas dentro da FAZENDA SÃO CRISPIN, localizada na Capela de São Sebastião, no Distrito do Chimarrão, no Município de André da Rocha – RS, dentro de uma área total de 411,4 ha (Quatrocentos e onze hectares + quatro mil metros quadrados).  
</t>
    </r>
    <r>
      <rPr>
        <rFont val="Calibri"/>
        <color theme="1"/>
        <sz val="10.0"/>
      </rPr>
      <t>a.) 155,0 hectares = 18 (DEZOITO) sacas de soja, ao hectare plantado = 2.790 (DUAS MIL, SETECENTAS E NOVENTA) sacas de soja, ao ano.  
b.) 30,0 hectares = 30 (TRINTA) sacas de soja, ao hectare plantado = 900 (NOVECENTAS) sacas de soja, ao ano. Esta área será utilizada para o plantio de batatas.  
c.) 157,5 hectares, desde o ano de 2023, ficou dentre as partes estabelecido, que os ARREDANTÁRIOS usarão a área do campo nativo – área da fazenda não utilizada para o plantio de produtos agrícolas – para a criação de bovinos, que por este arrendamento de área do campo nativo, pagarão para a ARRENDADORA a quantia de 3.000,00 (TRÊS MIL QUILOS) de BOI, ao ano, ao preço da época, para cada invernada de 100,0 ha (CEM HECTARES) alugada, devendo ser paga no MÊS DE DEZEMBRO, de cada ano.  
d.) 68,9 hectares, não incidirá qualquer pagamento, visto que se trata de áreas isoladas em toda a extensão da fazenda impróprias para qualquer cultivo agrícola ou uso para pecuária. Trata-se de áreas que são compostas por matos, capões e pedras.</t>
    </r>
  </si>
  <si>
    <t>Lote:201 | Quadra:48 | valor:R$ R$304.00</t>
  </si>
  <si>
    <t>Lote:46 | Quadra:49 | valor:R$ R$272.00</t>
  </si>
  <si>
    <t>Lote:55 | Quadra:50 | valor:R$ R$262.00</t>
  </si>
  <si>
    <r>
      <rPr>
        <rFont val="Calibri"/>
        <color theme="1"/>
        <sz val="10.0"/>
      </rPr>
      <t xml:space="preserve">Valor desses custos estão no documento: </t>
    </r>
    <r>
      <rPr>
        <rFont val="Calibri"/>
        <color theme="1"/>
        <sz val="10.0"/>
      </rPr>
      <t>B.) HOTEL PRINCESA DOS VALES LTDA. - ÁREA DE TERRAS VENDIDAS + LOTEAMENTOS CONTRATADOS PELA SEI - SEM OBRAS</t>
    </r>
  </si>
  <si>
    <t>Lote:70 | Quadra:50 | valor:R$ R$288.00</t>
  </si>
  <si>
    <t>Loteamento Colina do Basalto, localizado na cidade de Nova Prata – RS, num saldo de 14 lotes.</t>
  </si>
  <si>
    <t>Lote:5 | Quadra:1 | valor:R$ 167.000,00</t>
  </si>
  <si>
    <t>Lote:8 | Quadra:1 | valor:R$ 167.000,00</t>
  </si>
  <si>
    <t>Lote:9 | Quadra:1 | valor:R$ 167.000,00</t>
  </si>
  <si>
    <t>Lote:11 | Quadra:1 | valor:R$ 220.000,00</t>
  </si>
  <si>
    <t>Lote:10 | Quadra:2 | valor:R$ 167.000,00</t>
  </si>
  <si>
    <t>Lote:15 | Quadra:2 | valor:R$ 188.000,00</t>
  </si>
  <si>
    <t>Lote:10 | Quadra:5 | valor:R$ 131.000,00</t>
  </si>
  <si>
    <t>Lote:11 | Quadra:5 | valor:R$ 131.000,00</t>
  </si>
  <si>
    <t>Lote:23 | Quadra:5 | valor:R$ 131.000,00</t>
  </si>
  <si>
    <t>13.10</t>
  </si>
  <si>
    <t>Lote:16 | Quadra:6 | valor:R$ 157.000,00</t>
  </si>
  <si>
    <t>13.11</t>
  </si>
  <si>
    <t>Lote:17 | Quadra:6 | valor:R$ 157.000,00</t>
  </si>
  <si>
    <t>13.12</t>
  </si>
  <si>
    <t>Lote:18 | Quadra:6 | valor:R$ 136.000,00</t>
  </si>
  <si>
    <t>13.13</t>
  </si>
  <si>
    <t>Lote:19 | Quadra:6 | valor:R$ 136.000,00</t>
  </si>
  <si>
    <t>13.14</t>
  </si>
  <si>
    <t>Lote:6 | Quadra:7 | valor:R$ 125.000,00</t>
  </si>
  <si>
    <t>Loteamento Carnevalli, localizado na cidade de Nova Prata – RS, num total de 03 lotes.</t>
  </si>
  <si>
    <t>CEVAL TERRAPLENAGEM E  ESCAVAÇÕES  LTDA.</t>
  </si>
  <si>
    <t>Lote:8 | Quadra:A | valor:R$ 188.000,00</t>
  </si>
  <si>
    <t>Lote:9 | Quadra:A | valor:R$ 188.000,00</t>
  </si>
  <si>
    <t>Lote:1 | Quadra:F | valor:R$ 241.000,00</t>
  </si>
  <si>
    <t>Loteamento Barbiero, localizado na cidade de Nova Prata – RS, num total de aproximadamente 04 lotes.</t>
  </si>
  <si>
    <r>
      <rPr>
        <rFont val="Calibri"/>
        <color theme="1"/>
        <sz val="10.0"/>
      </rPr>
      <t xml:space="preserve">Uma </t>
    </r>
    <r>
      <rPr>
        <rFont val="Calibri"/>
        <b/>
        <color theme="1"/>
        <sz val="10.0"/>
      </rPr>
      <t>ESCAVADEIRA HIDRÁULICA</t>
    </r>
    <r>
      <rPr>
        <rFont val="Calibri"/>
        <color theme="1"/>
        <sz val="10.0"/>
      </rPr>
      <t xml:space="preserve"> – MARCA CATERPILLAR – </t>
    </r>
    <r>
      <rPr>
        <rFont val="Calibri"/>
        <b/>
        <color theme="1"/>
        <sz val="10.0"/>
      </rPr>
      <t>MODELO 320 D, ano 2009</t>
    </r>
    <r>
      <rPr>
        <rFont val="Calibri"/>
        <color theme="1"/>
        <sz val="10.0"/>
      </rPr>
      <t xml:space="preserve"> – modelo 2010, adquirida conforme Nota Fiscal nº 4946, avaliada na data da compra no valor de R$ 200.000,00 (Duzentos mil reais).
</t>
    </r>
  </si>
  <si>
    <t>Lote:9 | Quadra:4 | valor:R$ 241.000,00</t>
  </si>
  <si>
    <t>Lote:13 | Quadra:4 | valor:R$ 241.000,00</t>
  </si>
  <si>
    <t>Lote:13 | Quadra:5 | valor:R$ 170.000,00</t>
  </si>
  <si>
    <t>Lote:14 | Quadra:5 | valor:R$ 170.000,00</t>
  </si>
  <si>
    <t>Loteamento Araçá, localizado na cidade de Nova Araçá – RS, num saldo de 01 lote.</t>
  </si>
  <si>
    <t>Uma RETROESCAVADEIRA – CASE / M A 580 L, ano 2001, modelo 2001, placa IKI 4325, chassi nº JHF0048344, avaliada nesta data no valor de R$ 70.000,00 (Setenta mil reais).</t>
  </si>
  <si>
    <t>Lote:30 | Quadra:C | valor:R$ 142.000,00</t>
  </si>
  <si>
    <r>
      <rPr>
        <rFont val="Calibri"/>
        <color theme="1"/>
        <sz val="10.0"/>
      </rPr>
      <t xml:space="preserve">Um CAMINHÃO CAÇAMBA MERCEDES, marca-modelo M.BENZ/LK 1313, combustível DIESEL, ano 1982, modelo 1982, cor predominante VERMELHA, </t>
    </r>
    <r>
      <rPr>
        <rFont val="Calibri"/>
        <b/>
        <color theme="1"/>
        <sz val="10.0"/>
      </rPr>
      <t>placa IHM 0033</t>
    </r>
    <r>
      <rPr>
        <rFont val="Calibri"/>
        <color theme="1"/>
        <sz val="10.0"/>
      </rPr>
      <t>, chassi nº 34500312579515, Renavam nº 54294247-0, emplacado na cidade de Veranópolis – RS, avaliado na data da compra no valor de R$ 45.000,00 (Quarenta e cinco mil reais).</t>
    </r>
  </si>
  <si>
    <t>Loteamento Dalla Costa, localizado na cidade de Nova Bassano – RS, num saldo de 04 lotes.</t>
  </si>
  <si>
    <r>
      <rPr>
        <rFont val="Calibri"/>
        <color theme="1"/>
        <sz val="10.0"/>
      </rPr>
      <t xml:space="preserve">Um </t>
    </r>
    <r>
      <rPr>
        <rFont val="Calibri"/>
        <b/>
        <color theme="1"/>
        <sz val="10.0"/>
      </rPr>
      <t>CAMINHÃO CAÇAMBA MERCEDES</t>
    </r>
    <r>
      <rPr>
        <rFont val="Calibri"/>
        <color theme="1"/>
        <sz val="10.0"/>
      </rPr>
      <t xml:space="preserve">, marca-modelo M.BENZ/2423 K, combustível DIESEL, ano 2003, modelo 2003, cor predominante BRANCA, placa </t>
    </r>
    <r>
      <rPr>
        <rFont val="Calibri"/>
        <b/>
        <color theme="1"/>
        <sz val="10.0"/>
      </rPr>
      <t>ILD 3959</t>
    </r>
    <r>
      <rPr>
        <rFont val="Calibri"/>
        <color theme="1"/>
        <sz val="10.0"/>
      </rPr>
      <t>, chassi nº 9BM6933863B334489, Renavam nº 802204996, emplacado na cidade de Veranópolis – RS, avaliado na data da compra no valor de R$ 93.000,00 (Noventa e três mil reais).</t>
    </r>
  </si>
  <si>
    <t xml:space="preserve"> Observações: 
 O valor real acima apontado não é líquido, à medida que:
a)  O valor patrimonial lançado sofrerá redução pela regularização dos imóveis, o que se estima numa redução de 0,00% (ZERO POR CENTO) do valor acima apontado,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t>
  </si>
  <si>
    <t>Lote:10 | Quadra:2 | valor:R$ 178.000,00</t>
  </si>
  <si>
    <t>Lote:2 | Quadra:3 | valor:R$ 176.000,00</t>
  </si>
  <si>
    <t>Lote:10 | Quadra:3 | valor:R$ 148.000,00</t>
  </si>
  <si>
    <t>Lote:11 | Quadra:3 | valor:R$ 148.000,00</t>
  </si>
  <si>
    <t>Loteamento Lago Negro, localizado na cidade de Gramado – RS, num saldo de 11 lotes.</t>
  </si>
  <si>
    <t>Inventário 11: saldo de 12 lotes (5 com valor + 7 em APP). A planilha diz 11 lotes.</t>
  </si>
  <si>
    <t>Verificar se em 2018 o quantidade de 35 lotes é com ou sem os 7 lotes de app + 1 de processo</t>
  </si>
  <si>
    <t>valor dos lotes em 2018:  05 LOTES – R$ 350.000,00, cada um  |  30 LOTES – R$ 230.000,00.</t>
  </si>
  <si>
    <t xml:space="preserve">Lote:1 | Quadra:1 | valor:R$ </t>
  </si>
  <si>
    <t xml:space="preserve">Lote:2 | Quadra:1 | valor:R$ </t>
  </si>
  <si>
    <t xml:space="preserve">Lote:3 | Quadra:1 | valor:R$ </t>
  </si>
  <si>
    <t xml:space="preserve">Lote:4 | Quadra:1 | valor:R$ </t>
  </si>
  <si>
    <t xml:space="preserve">Lote:5 | Quadra:1 | valor:R$ </t>
  </si>
  <si>
    <t xml:space="preserve">Lote:14 | Quadra:5 | valor:R$ </t>
  </si>
  <si>
    <t>Lote 14, Quadra 5 não consta no inventário 2025 (E = 0, sem efeito no total).</t>
  </si>
  <si>
    <t>Lote:15 | Quadra:11 B | valor:R$ ÁREA DE APP</t>
  </si>
  <si>
    <t>Lote:16 | Quadra:11 B | valor:R$ ÁREA DE APP</t>
  </si>
  <si>
    <t>Lote:17 | Quadra:11 B | valor:R$ ÁREA DE APP</t>
  </si>
  <si>
    <t>18.10</t>
  </si>
  <si>
    <t>Lote:18 | Quadra:11 B | valor:R$ ÁREA DE APP</t>
  </si>
  <si>
    <t>18.11</t>
  </si>
  <si>
    <t>Lote:19 | Quadra:11 B | valor:R$ ÁREA DE APP</t>
  </si>
  <si>
    <t>18.12</t>
  </si>
  <si>
    <t>Lote:20 | Quadra:11 B | valor:R$ ÁREA DE APP</t>
  </si>
  <si>
    <t>18.13</t>
  </si>
  <si>
    <t>Lote:21 | Quadra:11 B | valor:R$ ÁREA DE APP</t>
  </si>
  <si>
    <t>Loteamento Perini, localizado na cidade de Farroupilha – RS, num saldo de 03 lotes.</t>
  </si>
  <si>
    <t>valor dos lotes em 2018:  04 LOTES – R$ 500.000,00  |  06 LOTES – R$ 95.000,00.</t>
  </si>
  <si>
    <t>Lote:2 | Quadra:1688 | valor:R$ 1.520.000,00</t>
  </si>
  <si>
    <t>Lote:3 | Quadra:1688 | valor:R$ 1.520.000,00</t>
  </si>
  <si>
    <t>Lote:4 | Quadra:1688 | valor:R$ 1.520.000,00</t>
  </si>
  <si>
    <t>Loteamento San Marino, localizado na cidade de Farroupilha – RS, num saldo de 11 lotes.</t>
  </si>
  <si>
    <t>descontado de 2018 e 2025 os 3 lotes de possível APP</t>
  </si>
  <si>
    <t>Lote:10 | Quadra:1342 | valor:R$ 255.000,00</t>
  </si>
  <si>
    <t>Lote:11 | Quadra:1342 | valor:R$ 266.000,00</t>
  </si>
  <si>
    <t>Lote:9 | Quadra:1650 | valor:R$ 260.000,00</t>
  </si>
  <si>
    <t>Lote:10 | Quadra:1650 | valor:R$ 260.000,00</t>
  </si>
  <si>
    <t>Estudo Rafael</t>
  </si>
  <si>
    <t>Inventário: R$ 244.000,00, marcado como ÁREA DE POSSÍVEL APP e fora do total. E = 0 coerente com o total.</t>
  </si>
  <si>
    <t>Inventário: R$ 233.000,00, marcado como ÁREA DE POSSÍVEL APP e fora do total. E = 0 coerente com o total.</t>
  </si>
  <si>
    <t>HOTEL PRINCESA DOS VALES LTDA.</t>
  </si>
  <si>
    <t>Lote:1 | Quadra:1673 | valor:R$ 264.000,00</t>
  </si>
  <si>
    <t>Lote:3 | Quadra:1675 | valor:R$ 258.000,00</t>
  </si>
  <si>
    <t>Lote:4 | Quadra:1675 | valor:R$ 264.000,00</t>
  </si>
  <si>
    <t>20.10</t>
  </si>
  <si>
    <t>Lote:3 | Quadra:1676 | valor:R$ 253.000,00</t>
  </si>
  <si>
    <t>HOTEL PRINCESA DOS PRINCESA DOS VALES</t>
  </si>
  <si>
    <t>Inventário: R$ 253.000,00, marcado como ÁREA DE POSSÍVEL APP e fora do total. E = 0 coerente com o total.</t>
  </si>
  <si>
    <t>Loteamento Firminio Dalzóchio, localizado na cidade de Farroupilha – RS, num saldo de 09 lotes.</t>
  </si>
  <si>
    <t>Porque a referêcia do valor/m² é o CUB/DEZEMBRO DE 2022</t>
  </si>
  <si>
    <t>descontado de 2018 e 2025 o lote de possível APP</t>
  </si>
  <si>
    <t>Lote:O13 | Quadra:907 | valor:R$ 360.000,00</t>
  </si>
  <si>
    <t>Lote:6 | Quadra:1040 | valor:R$ 306.000,00</t>
  </si>
  <si>
    <t>Lote:7 | Quadra:1040 | valor:R$ 306.000,00</t>
  </si>
  <si>
    <t>Lote:3 | Quadra:1046 | valor:R$ 385.000,00</t>
  </si>
  <si>
    <t>Lote:1 | Quadra:1182 | valor:R$ 122.000,00</t>
  </si>
  <si>
    <t>Lote:2 | Quadra:1182 | valor:R$ 107.000,00</t>
  </si>
  <si>
    <t>Lote:4 | Quadra:1182 | valor:R$ 102.000,00</t>
  </si>
  <si>
    <t>Lote:5 | Quadra:1182 | valor:R$ 102.000,00</t>
  </si>
  <si>
    <t>Inventário: R$ 131.000,00, marcado como ÁREA DE POSSÍVEL APP e fora do total. E = 0 coerente com o total.</t>
  </si>
  <si>
    <t>Loteamento Primavera, localizado na cidade de Farroupilha – RS, num saldo de 03 lotes.</t>
  </si>
  <si>
    <t>1.1.</t>
  </si>
  <si>
    <t>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 DE ESTACIONAMENTO e a área onde está instalado o HOTEL, prédio de 04 andares e subsolo, composto por 48 apartamentos, restaurante, sala de convenções, cozinha, lavanderia, totalmente equipado e em pleno funcionamento.</t>
  </si>
  <si>
    <t>1.2.</t>
  </si>
  <si>
    <r>
      <rPr>
        <rFont val="Calibri"/>
        <color theme="1"/>
        <sz val="10.0"/>
      </rPr>
      <t xml:space="preserve">Valor do terreno onde está construído o </t>
    </r>
    <r>
      <rPr>
        <rFont val="Calibri"/>
        <b/>
        <color theme="1"/>
        <sz val="10.0"/>
      </rPr>
      <t>Edifício – HOTEL = 12,00m X 60,00m, de terreno: 720,00m² x R$ 6.000,00 = R$ 4.320.000,00</t>
    </r>
    <r>
      <rPr>
        <rFont val="Calibri"/>
        <color theme="1"/>
        <sz val="10.0"/>
      </rPr>
      <t xml:space="preserve"> (considerado o valor ao metro quadrado do mercado no centro da cidade e o valor da área conforme sua localização comercial).</t>
    </r>
  </si>
  <si>
    <t>1.3.</t>
  </si>
  <si>
    <r>
      <rPr>
        <rFont val="Calibri"/>
        <color theme="1"/>
        <sz val="10.0"/>
      </rPr>
      <t xml:space="preserve">Valor do Edifício Construído – obra civil = </t>
    </r>
    <r>
      <rPr>
        <rFont val="Calibri"/>
        <b/>
        <color theme="1"/>
        <sz val="10.0"/>
      </rPr>
      <t>04 andares = 510,00m²</t>
    </r>
    <r>
      <rPr>
        <rFont val="Calibri"/>
        <color theme="1"/>
        <sz val="10.0"/>
      </rPr>
      <t xml:space="preserve"> </t>
    </r>
    <r>
      <rPr>
        <rFont val="Calibri"/>
        <b/>
        <color theme="1"/>
        <sz val="10.0"/>
      </rPr>
      <t>de área construída: 2.040,00m² x R$ 2.356,10 = R$ 4.806.444,00</t>
    </r>
    <r>
      <rPr>
        <rFont val="Calibri"/>
        <color theme="1"/>
        <sz val="10.0"/>
      </rPr>
      <t xml:space="preserve"> (considerado o valor ao metro quadrado da construção – </t>
    </r>
    <r>
      <rPr>
        <rFont val="Calibri"/>
        <b/>
        <color rgb="FFFF0000"/>
        <sz val="10.0"/>
      </rPr>
      <t>CUB/DEZEMBRO DE 2022</t>
    </r>
    <r>
      <rPr>
        <rFont val="Calibri"/>
        <color theme="1"/>
        <sz val="10.0"/>
      </rPr>
      <t xml:space="preserve"> e o valor da área conforme sua localização comercial) =</t>
    </r>
    <r>
      <rPr>
        <rFont val="Calibri"/>
        <b/>
        <color theme="1"/>
        <sz val="10.0"/>
      </rPr>
      <t xml:space="preserve"> com depreciação de 20,00%  (- R$ 961.288,80)                     = 
R$ 3.845.155,20</t>
    </r>
    <r>
      <rPr>
        <rFont val="Calibri"/>
        <color theme="1"/>
        <sz val="10.0"/>
      </rPr>
      <t>.</t>
    </r>
  </si>
  <si>
    <t>Porque CUB 2022</t>
  </si>
  <si>
    <t>1.4.</t>
  </si>
  <si>
    <r>
      <rPr>
        <rFont val="Calibri"/>
        <color theme="1"/>
        <sz val="10.0"/>
      </rPr>
      <t xml:space="preserve">Valor do Edifício Construído – obra civil = </t>
    </r>
    <r>
      <rPr>
        <rFont val="Calibri"/>
        <b/>
        <color theme="1"/>
        <sz val="10.0"/>
      </rPr>
      <t>01 andar – SUBSOLO = 510,00m² de área construída: 510,00m² x R$ 1.407,45 = R$ 717.799,50</t>
    </r>
    <r>
      <rPr>
        <rFont val="Calibri"/>
        <color theme="1"/>
        <sz val="10.0"/>
      </rPr>
      <t xml:space="preserve"> (considerado o valor ao metro quadrado da construção – </t>
    </r>
    <r>
      <rPr>
        <rFont val="Calibri"/>
        <b/>
        <color rgb="FFFF0000"/>
        <sz val="10.0"/>
      </rPr>
      <t>CUB/AGOSTO DE 2017</t>
    </r>
    <r>
      <rPr>
        <rFont val="Calibri"/>
        <color theme="1"/>
        <sz val="10.0"/>
      </rPr>
      <t xml:space="preserve"> e o valor da área conforme sua localização comercial)    =     </t>
    </r>
    <r>
      <rPr>
        <rFont val="Calibri"/>
        <b/>
        <color theme="1"/>
        <sz val="10.0"/>
      </rPr>
      <t>com depreciação de 20,00% (-R$ 143.559,90)       =       R$ 574.239,60.</t>
    </r>
  </si>
  <si>
    <t>Porque CUB 2017</t>
  </si>
  <si>
    <t>1.5.</t>
  </si>
  <si>
    <r>
      <rPr>
        <rFont val="Calibri"/>
        <b/>
        <color theme="1"/>
        <sz val="10.0"/>
      </rPr>
      <t>Reforma de 48 apartamentos do HOTEL: 48 x R$ 45.000,00 = R$ 2.160.000,00</t>
    </r>
    <r>
      <rPr>
        <rFont val="Calibri"/>
        <color theme="1"/>
        <sz val="10.0"/>
      </rPr>
      <t xml:space="preserve"> (considerado o valor atualizado no custo da reforma de cada apartamento) = com </t>
    </r>
    <r>
      <rPr>
        <rFont val="Calibri"/>
        <b/>
        <color theme="1"/>
        <sz val="10.0"/>
      </rPr>
      <t>depreciação de 20,00% = (-R$ 432.000,00) = R$ 1.728.000,00.</t>
    </r>
    <r>
      <rPr>
        <rFont val="Calibri"/>
        <color theme="1"/>
        <sz val="10.0"/>
      </rPr>
      <t xml:space="preserve">
</t>
    </r>
  </si>
  <si>
    <t>descontado de 2018 e 2025 os 2 lotes de possível APP</t>
  </si>
  <si>
    <t>1.6.</t>
  </si>
  <si>
    <r>
      <rPr>
        <rFont val="Calibri"/>
        <b/>
        <color theme="1"/>
        <sz val="10.0"/>
      </rPr>
      <t>Móveis e Equipamentos instalados no HOTEL:</t>
    </r>
    <r>
      <rPr>
        <rFont val="Calibri"/>
        <color theme="1"/>
        <sz val="10.0"/>
      </rPr>
      <t xml:space="preserve"> cozinha, restaurante, sala de convenções, lavanderia, recepção, etc. = </t>
    </r>
    <r>
      <rPr>
        <rFont val="Calibri"/>
        <b/>
        <color theme="1"/>
        <sz val="10.0"/>
      </rPr>
      <t xml:space="preserve">R$ 1.500.000,00 = com depreciação de 20,00% (-R$ 300.000,00)      =      R$ 1.200.000,00.
</t>
    </r>
  </si>
  <si>
    <t>1.7.</t>
  </si>
  <si>
    <r>
      <rPr>
        <rFont val="Calibri"/>
        <color theme="1"/>
        <sz val="10.0"/>
      </rPr>
      <t xml:space="preserve">Valor do Edifício Construído – obra civil = 05 andares = </t>
    </r>
    <r>
      <rPr>
        <rFont val="Calibri"/>
        <b/>
        <color theme="1"/>
        <sz val="10.0"/>
      </rPr>
      <t>25,00% (Vinte e cinco por cento) da obra feita: R$ 7.347.394,80</t>
    </r>
    <r>
      <rPr>
        <rFont val="Calibri"/>
        <color theme="1"/>
        <sz val="10.0"/>
      </rPr>
      <t xml:space="preserve"> (considerado o valor agregado à coisa feita, como tal se encontra)     =    </t>
    </r>
    <r>
      <rPr>
        <rFont val="Calibri"/>
        <b/>
        <color theme="1"/>
        <sz val="10.0"/>
      </rPr>
      <t>R$ 1.836.848,70.</t>
    </r>
  </si>
  <si>
    <t>Que obra é essa?</t>
  </si>
  <si>
    <t>Inventário: R$ 170.000,00, marcado como ÁREA DE POSSÍVEL APP e fora do total. E = 0 coerente com o total.</t>
  </si>
  <si>
    <r>
      <rPr>
        <rFont val="Calibri"/>
        <color theme="1"/>
        <sz val="10.0"/>
      </rPr>
      <t xml:space="preserve">Um terreno urbano, com a </t>
    </r>
    <r>
      <rPr>
        <rFont val="Calibri"/>
        <b/>
        <color theme="1"/>
        <sz val="10.0"/>
      </rPr>
      <t>área de 1.080,00m² = 18,00m X 60,00m,</t>
    </r>
    <r>
      <rPr>
        <rFont val="Calibri"/>
        <color theme="1"/>
        <sz val="10.0"/>
      </rPr>
      <t xml:space="preserve"> localizado na esquina da Avenida Osvaldo Aranha com a Rua Marechal Deodoro da Fonseca, devidamente registrado no Ofício de Registro de Imóveis da Comarca de Veranópolis, sob </t>
    </r>
    <r>
      <rPr>
        <rFont val="Calibri"/>
        <b/>
        <color theme="1"/>
        <sz val="10.0"/>
      </rPr>
      <t>Matrícula nº 1.412 = 1.080,00m² X R$ 7.500,00, ao metro.</t>
    </r>
  </si>
  <si>
    <t>Inventário: R$ 165.000,00, marcado como ÁREA DE POSSÍVEL APP e fora do total. E = 0 coerente com o total.</t>
  </si>
  <si>
    <t>Lote:1 | Quadra:1461 | valor:R$ 148.000,00</t>
  </si>
  <si>
    <t>Loteamento Vila Vicenza, localizado na cidade de Farroupilha – RS, num saldo de 01 lote.</t>
  </si>
  <si>
    <t>valor dos lotes em 2018:  01 LOTE – R$ 30.000,00  |  01 LOTE – R$ 60.000,00.</t>
  </si>
  <si>
    <t>Lote:15 | Quadra:919 | valor:R$ 157.000,00</t>
  </si>
  <si>
    <t>Loteamento Industrial Vicentino, localizado na cidade de Farroupilha – RS, num saldo de 05 lotes.</t>
  </si>
  <si>
    <t>Lote:7 | Quadra:1303 | valor:R$ 1.355.000,00</t>
  </si>
  <si>
    <t>Lote:8 | Quadra:1303 | valor:R$ 1.355.000,00</t>
  </si>
  <si>
    <t>Lote:9 | Quadra:1303 | valor:R$ 1.355.000,00</t>
  </si>
  <si>
    <t>Lote:10 | Quadra:1303 | valor:R$ 1.355.000,00</t>
  </si>
  <si>
    <t>Inventário: R$ 1.125.000,00, marcado como ÁREA DE POSSÍVEL APP e fora do total. E = 0 coerente com o total.</t>
  </si>
  <si>
    <t>Loteamento Jardim Itália I – II – III, localizado na cidade de Farroupilha – RS, num saldo de 27 lotes.</t>
  </si>
  <si>
    <r>
      <rPr>
        <rFont val="Calibri"/>
        <color theme="1"/>
        <sz val="10.0"/>
      </rPr>
      <t xml:space="preserve">Um terreno urbano, com a área de </t>
    </r>
    <r>
      <rPr>
        <rFont val="Calibri"/>
        <b/>
        <color theme="1"/>
        <sz val="10.0"/>
      </rPr>
      <t>750,00m²</t>
    </r>
    <r>
      <rPr>
        <rFont val="Calibri"/>
        <color theme="1"/>
        <sz val="10.0"/>
      </rPr>
      <t xml:space="preserve">, localizado na Rua Marechal Deodoro da Fonseca, devidamente registrado no Ofício de Registro de Imóveis da Comarca de Veranópolis, sob </t>
    </r>
    <r>
      <rPr>
        <rFont val="Calibri"/>
        <b/>
        <color theme="1"/>
        <sz val="10.0"/>
      </rPr>
      <t>Matrícula nº 6.262</t>
    </r>
    <r>
      <rPr>
        <rFont val="Calibri"/>
        <color theme="1"/>
        <sz val="10.0"/>
      </rPr>
      <t xml:space="preserve">, </t>
    </r>
    <r>
      <rPr>
        <rFont val="Calibri"/>
        <b/>
        <color theme="1"/>
        <sz val="10.0"/>
      </rPr>
      <t>fundos do HOTEL</t>
    </r>
    <r>
      <rPr>
        <rFont val="Calibri"/>
        <color theme="1"/>
        <sz val="10.0"/>
      </rPr>
      <t xml:space="preserve">, adquirido do Senhor Roberto Munaretti, considerando sua localização e uso construtivo = </t>
    </r>
    <r>
      <rPr>
        <rFont val="Calibri"/>
        <b/>
        <color theme="1"/>
        <sz val="10.0"/>
      </rPr>
      <t>R$ 3.333,34 ao metro quadrado (considerado os 15,00 metros de frente)</t>
    </r>
    <r>
      <rPr>
        <rFont val="Calibri"/>
        <color theme="1"/>
        <sz val="10.0"/>
      </rPr>
      <t>.</t>
    </r>
  </si>
  <si>
    <t>SEDE CAMPESTRE</t>
  </si>
  <si>
    <t>Lote:1 | Quadra:1736 | valor:R$ 198.000,00</t>
  </si>
  <si>
    <t>Lote:5 | Quadra:1736 | valor:R$ 220.000,00</t>
  </si>
  <si>
    <t>Lote:6 | Quadra:1736 | valor:R$ 220.000,00</t>
  </si>
  <si>
    <t>Lote:9 | Quadra:1736 | valor:R$ 220.000,00</t>
  </si>
  <si>
    <t>Lote:3 | Quadra:1737 | valor:R$ 220.000,00</t>
  </si>
  <si>
    <t>Lote:4 | Quadra:1737 | valor:R$ 220.000,00</t>
  </si>
  <si>
    <t>4.1.</t>
  </si>
  <si>
    <t>Lote:7 | Quadra:1737 | valor:R$ 220.000,00</t>
  </si>
  <si>
    <r>
      <rPr>
        <rFont val="Calibri"/>
        <color theme="1"/>
        <sz val="10.0"/>
      </rPr>
      <t xml:space="preserve">Um terreno rural, com a área de 9,4 hectares, localizado na Rua Luiz Siviero, no </t>
    </r>
    <r>
      <rPr>
        <rFont val="Calibri"/>
        <b/>
        <color theme="1"/>
        <sz val="10.0"/>
      </rPr>
      <t>Bairro Femaçã</t>
    </r>
    <r>
      <rPr>
        <rFont val="Calibri"/>
        <color theme="1"/>
        <sz val="10.0"/>
      </rPr>
      <t xml:space="preserve">, devidamente registrado no Ofício de Registro de Imóveis da Comarca de Veranópolis, sob </t>
    </r>
    <r>
      <rPr>
        <rFont val="Calibri"/>
        <b/>
        <color theme="1"/>
        <sz val="10.0"/>
      </rPr>
      <t>Matrículas nº 1.941 e 7.104</t>
    </r>
    <r>
      <rPr>
        <rFont val="Calibri"/>
        <color theme="1"/>
        <sz val="10.0"/>
      </rPr>
      <t xml:space="preserve">, conhecido como </t>
    </r>
    <r>
      <rPr>
        <rFont val="Calibri"/>
        <b/>
        <color theme="1"/>
        <sz val="10.0"/>
      </rPr>
      <t>SEDE CAMPESTRE</t>
    </r>
    <r>
      <rPr>
        <rFont val="Calibri"/>
        <color theme="1"/>
        <sz val="10.0"/>
      </rPr>
      <t xml:space="preserve">, composta por pavilhão, piscinas, casa, campos de futebol, lagos e alicerces para construção de cabanas.
Cadastrada no CCIR – Receita Federal sob nº 2.481.947-6.
</t>
    </r>
    <r>
      <rPr>
        <rFont val="Calibri"/>
        <b/>
        <color theme="1"/>
        <sz val="10.0"/>
      </rPr>
      <t>Valor da área de terras = 9,4ha X R$ 450.000,00 ao hectare = R$ 4.230.000,00.</t>
    </r>
  </si>
  <si>
    <t>Lote:8 | Quadra:1737 | valor:R$ 250.000,00</t>
  </si>
  <si>
    <t>Lote:4 | Quadra:1738 | valor:R$ 264.000,00</t>
  </si>
  <si>
    <t>25.10</t>
  </si>
  <si>
    <t>Lote:5 | Quadra:1738 | valor:R$ 253.000,00</t>
  </si>
  <si>
    <t>4.2.</t>
  </si>
  <si>
    <r>
      <rPr>
        <rFont val="Calibri"/>
        <color theme="1"/>
        <sz val="10.0"/>
      </rPr>
      <t xml:space="preserve">Valor do </t>
    </r>
    <r>
      <rPr>
        <rFont val="Calibri"/>
        <b/>
        <color theme="1"/>
        <sz val="10.0"/>
      </rPr>
      <t>Pavilhão Construído – obra civil = 01 andar</t>
    </r>
    <r>
      <rPr>
        <rFont val="Calibri"/>
        <color theme="1"/>
        <sz val="10.0"/>
      </rPr>
      <t xml:space="preserve"> = 891,00m² de área construída: </t>
    </r>
    <r>
      <rPr>
        <rFont val="Calibri"/>
        <b/>
        <color theme="1"/>
        <sz val="10.0"/>
      </rPr>
      <t>891,00m² x R$ 746,00 = R$ 664.686,00</t>
    </r>
    <r>
      <rPr>
        <rFont val="Calibri"/>
        <color theme="1"/>
        <sz val="10.0"/>
      </rPr>
      <t xml:space="preserve"> (considerado o valor ao metro quadrado da construção – </t>
    </r>
    <r>
      <rPr>
        <rFont val="Calibri"/>
        <b/>
        <color theme="1"/>
        <sz val="10.0"/>
      </rPr>
      <t>CUB/AGOSTO DE 2017</t>
    </r>
    <r>
      <rPr>
        <rFont val="Calibri"/>
        <color theme="1"/>
        <sz val="10.0"/>
      </rPr>
      <t xml:space="preserve"> e o valor da área conforme sua localização comercial).</t>
    </r>
  </si>
  <si>
    <t>Lote:7 | Quadra:1738 | valor:R$ 253.000,00</t>
  </si>
  <si>
    <t>Por que CUB/AGOSTO DE 2017</t>
  </si>
  <si>
    <t>4.3.</t>
  </si>
  <si>
    <r>
      <rPr>
        <rFont val="Calibri"/>
        <color theme="1"/>
        <sz val="10.0"/>
      </rPr>
      <t>Valor da benfeitoria denominada de</t>
    </r>
    <r>
      <rPr>
        <rFont val="Calibri"/>
        <b/>
        <color theme="1"/>
        <sz val="10.0"/>
      </rPr>
      <t xml:space="preserve"> Quiosque: R$ 150.000,00.</t>
    </r>
  </si>
  <si>
    <t>Lote:2 | Quadra:1739 | valor:R$ 209.000,00</t>
  </si>
  <si>
    <t>Lote:13 | Quadra:1739 | valor:R$ 214.000,00</t>
  </si>
  <si>
    <t>4.4.</t>
  </si>
  <si>
    <t>Lote:14 | Quadra:1739 | valor:R$ 214.000,00</t>
  </si>
  <si>
    <r>
      <rPr>
        <rFont val="Calibri"/>
        <color theme="1"/>
        <sz val="10.0"/>
      </rPr>
      <t xml:space="preserve">Valor da </t>
    </r>
    <r>
      <rPr>
        <rFont val="Calibri"/>
        <b/>
        <color theme="1"/>
        <sz val="10.0"/>
      </rPr>
      <t>casa de alvenaria</t>
    </r>
    <r>
      <rPr>
        <rFont val="Calibri"/>
        <color theme="1"/>
        <sz val="10.0"/>
      </rPr>
      <t xml:space="preserve"> localizada nos fundos da Sede Campestre = ...............m² de área construída: </t>
    </r>
    <r>
      <rPr>
        <rFont val="Calibri"/>
        <b/>
        <color theme="1"/>
        <sz val="10.0"/>
      </rPr>
      <t>R$ 250.000,00.</t>
    </r>
  </si>
  <si>
    <t>Lote:1 | Quadra:1740 | valor:R$ 220.000,00</t>
  </si>
  <si>
    <t>4.5.</t>
  </si>
  <si>
    <t>Lote:2 | Quadra:1741 | valor:R$ 192.000,00</t>
  </si>
  <si>
    <r>
      <rPr>
        <rFont val="Calibri"/>
        <color theme="1"/>
        <sz val="10.0"/>
      </rPr>
      <t xml:space="preserve">Valor das </t>
    </r>
    <r>
      <rPr>
        <rFont val="Calibri"/>
        <b/>
        <color theme="1"/>
        <sz val="10.0"/>
      </rPr>
      <t>obras feitas e infraestrutura = 25,00%</t>
    </r>
    <r>
      <rPr>
        <rFont val="Calibri"/>
        <color theme="1"/>
        <sz val="10.0"/>
      </rPr>
      <t xml:space="preserve"> (Vinte por cento) da obra feita: </t>
    </r>
    <r>
      <rPr>
        <rFont val="Calibri"/>
        <b/>
        <color theme="1"/>
        <sz val="10.0"/>
      </rPr>
      <t>R$ 1.064.686,00</t>
    </r>
    <r>
      <rPr>
        <rFont val="Calibri"/>
        <color theme="1"/>
        <sz val="10.0"/>
      </rPr>
      <t xml:space="preserve"> (considerado o valor agregado à coisa feita, como tal se encontra) = </t>
    </r>
    <r>
      <rPr>
        <rFont val="Calibri"/>
        <b/>
        <color theme="1"/>
        <sz val="10.0"/>
      </rPr>
      <t>R$ 266.171,50.</t>
    </r>
  </si>
  <si>
    <t>Lote:3 | Quadra:1741 | valor:R$ 192.000,00</t>
  </si>
  <si>
    <t>Lote:4 | Quadra:1741 | valor:R$ 192.000,00</t>
  </si>
  <si>
    <t>Lote:6 | Quadra:1744 | valor:R$ 198.000,00</t>
  </si>
  <si>
    <t>25.20</t>
  </si>
  <si>
    <t>Lote:10 | Quadra:1744 | valor:R$ 209.000,00</t>
  </si>
  <si>
    <t>Lote:6 | Quadra:1746 | valor:R$ 198.000,00</t>
  </si>
  <si>
    <t>Lote:19 | Quadra:1746 | valor:R$ 209.000,00</t>
  </si>
  <si>
    <t>Lote:15 | Quadra:1747 | valor:R$ 198.000,00</t>
  </si>
  <si>
    <t>Lote:16 | Quadra:1747 | valor:R$ 198.000,00</t>
  </si>
  <si>
    <t>Lote:10 | Quadra:1748 | valor:R$ 203.000,00</t>
  </si>
  <si>
    <t>Lote:11 | Quadra:1748 | valor:R$ 203.000,00</t>
  </si>
  <si>
    <t>Lote:1 | Quadra:1750 | valor:R$ 236.000,00</t>
  </si>
  <si>
    <t>Loteamento Altos da Julieta I – II, localizado na cidade de Farroupilha – RS, num total de aproximadamente 10 lotes.</t>
  </si>
  <si>
    <t>Lote:1 | Quadra:1722 | valor:R$ 403.000,00</t>
  </si>
  <si>
    <t>HOTEL ARAÇÁ LTDA.</t>
  </si>
  <si>
    <t>Lote:2 | Quadra:1722 | valor:R$ 432.000,00</t>
  </si>
  <si>
    <t>Lote:6 | Quadra:1722 | valor:R$ 159.000,00</t>
  </si>
  <si>
    <t>Lote:6 | Quadra:1723 | valor:R$ 152.000,00</t>
  </si>
  <si>
    <t>Lote:7 | Quadra:1723 | valor:R$ 162.000,00</t>
  </si>
  <si>
    <t>Lote:1 | Quadra:1727 | valor:R$ 160.000,00</t>
  </si>
  <si>
    <t>Lote:1 | Quadra:1728 | valor:R$ 160.000,00</t>
  </si>
  <si>
    <t>Lote:6 | Quadra:1731 | valor:R$ 148.000,00</t>
  </si>
  <si>
    <t>Lote:2 | Quadra:1735 | valor:R$ 155.000,00</t>
  </si>
  <si>
    <t>26.10</t>
  </si>
  <si>
    <t>Lote:3 | Quadra:1735 | valor:R$ 155.000,00</t>
  </si>
  <si>
    <t>Loteamento Monte Vêneto I – II, localizado na cidade de Cotiporã – RS, num total de aproximadamente 60 lotes.</t>
  </si>
  <si>
    <t>5.1.</t>
  </si>
  <si>
    <r>
      <rPr>
        <rFont val="Calibri"/>
        <color theme="1"/>
        <sz val="10.0"/>
      </rPr>
      <t xml:space="preserve">Uma área de terras rurais, denominada de </t>
    </r>
    <r>
      <rPr>
        <rFont val="Calibri"/>
        <b/>
        <color theme="1"/>
        <sz val="10.0"/>
      </rPr>
      <t>FAZENDA SÃO CRISPIN</t>
    </r>
    <r>
      <rPr>
        <rFont val="Calibri"/>
        <color theme="1"/>
        <sz val="10.0"/>
      </rPr>
      <t xml:space="preserve">, localizada na Capela de São Sebastião, no Distrito do Chimarrão, no Município de André da Rocha – RS, com área total de 491,0 hectares, áreas estas registradas sob Matrículas nº.:
Matrícula nº 14.221   =   </t>
    </r>
    <r>
      <rPr>
        <rFont val="Calibri"/>
        <b/>
        <color theme="1"/>
        <sz val="10.0"/>
      </rPr>
      <t>50,0 hectares</t>
    </r>
    <r>
      <rPr>
        <rFont val="Calibri"/>
        <color theme="1"/>
        <sz val="10.0"/>
      </rPr>
      <t xml:space="preserve">. - Matrícula nº 13.615   =   </t>
    </r>
    <r>
      <rPr>
        <rFont val="Calibri"/>
        <b/>
        <color theme="1"/>
        <sz val="10.0"/>
      </rPr>
      <t>37,2 hectares</t>
    </r>
    <r>
      <rPr>
        <rFont val="Calibri"/>
        <color theme="1"/>
        <sz val="10.0"/>
      </rPr>
      <t xml:space="preserve">.
Matrícula nº 13.650   =   </t>
    </r>
    <r>
      <rPr>
        <rFont val="Calibri"/>
        <b/>
        <color theme="1"/>
        <sz val="10.0"/>
      </rPr>
      <t>49,0 hectares</t>
    </r>
    <r>
      <rPr>
        <rFont val="Calibri"/>
        <color theme="1"/>
        <sz val="10.0"/>
      </rPr>
      <t xml:space="preserve">. - Matrícula nº 00.760   =   </t>
    </r>
    <r>
      <rPr>
        <rFont val="Calibri"/>
        <b/>
        <color theme="1"/>
        <sz val="10.0"/>
      </rPr>
      <t>48,0 hectares</t>
    </r>
    <r>
      <rPr>
        <rFont val="Calibri"/>
        <color theme="1"/>
        <sz val="10.0"/>
      </rPr>
      <t xml:space="preserve">.
Matrícula nº 11.462   = </t>
    </r>
    <r>
      <rPr>
        <rFont val="Calibri"/>
        <b/>
        <color theme="1"/>
        <sz val="10.0"/>
      </rPr>
      <t>100,0 hectares</t>
    </r>
    <r>
      <rPr>
        <rFont val="Calibri"/>
        <color theme="1"/>
        <sz val="10.0"/>
      </rPr>
      <t xml:space="preserve">. - Matrícula nº 05.435   =   </t>
    </r>
    <r>
      <rPr>
        <rFont val="Calibri"/>
        <b/>
        <color theme="1"/>
        <sz val="10.0"/>
      </rPr>
      <t>25,0 hectares</t>
    </r>
    <r>
      <rPr>
        <rFont val="Calibri"/>
        <color theme="1"/>
        <sz val="10.0"/>
      </rPr>
      <t xml:space="preserve">.
Matrícula nº 09.959   =     </t>
    </r>
    <r>
      <rPr>
        <rFont val="Calibri"/>
        <b/>
        <color theme="1"/>
        <sz val="10.0"/>
      </rPr>
      <t>6,8 hectares</t>
    </r>
    <r>
      <rPr>
        <rFont val="Calibri"/>
        <color theme="1"/>
        <sz val="10.0"/>
      </rPr>
      <t xml:space="preserve">. - Matrícula nº 04.443   =   </t>
    </r>
    <r>
      <rPr>
        <rFont val="Calibri"/>
        <b/>
        <color theme="1"/>
        <sz val="10.0"/>
      </rPr>
      <t>25,0 hectares</t>
    </r>
    <r>
      <rPr>
        <rFont val="Calibri"/>
        <color theme="1"/>
        <sz val="10.0"/>
      </rPr>
      <t xml:space="preserve">.
Matrícula nº 00.760   = </t>
    </r>
    <r>
      <rPr>
        <rFont val="Calibri"/>
        <b/>
        <color theme="1"/>
        <sz val="10.0"/>
      </rPr>
      <t>100,0 hectares</t>
    </r>
    <r>
      <rPr>
        <rFont val="Calibri"/>
        <color theme="1"/>
        <sz val="10.0"/>
      </rPr>
      <t xml:space="preserve">. - Matrícula nº 12.473   =   </t>
    </r>
    <r>
      <rPr>
        <rFont val="Calibri"/>
        <b/>
        <color theme="1"/>
        <sz val="10.0"/>
      </rPr>
      <t>50,0 hectares</t>
    </r>
    <r>
      <rPr>
        <rFont val="Calibri"/>
        <color theme="1"/>
        <sz val="10.0"/>
      </rPr>
      <t>.
Cadastrada no CCIR – Receita Federal sob nº 2.898.196-0</t>
    </r>
  </si>
  <si>
    <t>Dezoito (18) terrenos urbanos, localizados dentro da Quadra 37, registrados junto ao Ofício de Registros de Imóveis em 12 (Doze) Matrículas, com a área total de 6.900,00m² (Seis mil e novecentos metros quadrados), localizado na Rua Miguel Main Felo, nº 333, na Praia do Araçá, todos devidamente registrados no Ofício de Registro de Imóveis da Comarca de Capão da Canoa – RS, sob Matrículas nº.: 34.768, 34.769, 34.770, 34.771, 6.411, 29.855, 24.584, 24.585, 33.101, 29.856, 0672 e 34.772, onde está instalado o HOTEL, prédio de 04 andares, composto por 144 apartamentos, restaurante, cozinha, sala de convenções, duas piscinas, bar interno e externo, sala de jogos, sauna, mezanino, etc., totalmente equipado e em pleno funcionamento.
04 lotes de 450,00m², cada um.
(Lotes nº 01-02-03-04 – Matrícula nº 34.768).
13 lotes de 360,00m², cada um.
(Lotes nº 05-22 – Matrícula nº 34.769).
(Lotes nº 06-21 – Matrícula nº 34.770).
(Lote nº 07 – Matrícula nº 34.771).
(Lote nº 08 – Matrícula nº   6.411).
(Lote nº 09 – Matrícula nº 29.855).
(Lote nº 10 – Matrícula nº 24.584).
(Lote nº 11 – Matrícula nº 24.585).
(Lote nº 12 – Matrícula nº 33.101).
(Lote nº 18 – Matrícula nº 29.856).
(Lote nº 19 – Matrícula nº    0672).
(Lote nº 20 – Matrícula nº 34.772).
01 lote de 420,00m² - lote da Nesga – sobra com muro.
(Parte do Lote nº 12 – Matrícula nº 33.101).</t>
  </si>
  <si>
    <t>Não bate com 2025 versão anterior</t>
  </si>
  <si>
    <t>5.2.</t>
  </si>
  <si>
    <t>Lote:11 | Quadra:1 | valor:R$ 93.000,00</t>
  </si>
  <si>
    <t>Área Dona Rita</t>
  </si>
  <si>
    <t>Lote:12 | Quadra:1 | valor:R$ 95.000,00</t>
  </si>
  <si>
    <t>Lote:13 | Quadra:1 | valor:R$ 95.000,00</t>
  </si>
  <si>
    <t>Lote:14 | Quadra:1 | valor:R$ 99.000,00</t>
  </si>
  <si>
    <t>Lote:1 | Quadra:2 | valor:R$ 96.000,00</t>
  </si>
  <si>
    <t>Lote:2 | Quadra:2 | valor:R$ 93.000,00</t>
  </si>
  <si>
    <t>Lote:6 | Quadra:2 | valor:R$ 88.000,00</t>
  </si>
  <si>
    <t>Lote:8 | Quadra:2 | valor:R$ 88.000,00</t>
  </si>
  <si>
    <t>5.2.1.</t>
  </si>
  <si>
    <t>Lote:9 | Quadra:2 | valor:R$ 88.000,00</t>
  </si>
  <si>
    <r>
      <rPr>
        <rFont val="Calibri"/>
        <color theme="1"/>
        <sz val="10.0"/>
      </rPr>
      <t xml:space="preserve">parte produtiva=35,00% = </t>
    </r>
    <r>
      <rPr>
        <rFont val="Calibri"/>
        <b/>
        <color theme="1"/>
        <sz val="10.0"/>
      </rPr>
      <t>100,0 ha</t>
    </r>
    <r>
      <rPr>
        <rFont val="Calibri"/>
        <color theme="1"/>
        <sz val="10.0"/>
      </rPr>
      <t xml:space="preserve"> – R$ 110.000,00 =      R$ 11.000.000,00</t>
    </r>
  </si>
  <si>
    <t>27.10</t>
  </si>
  <si>
    <t>Lote:10 | Quadra:2 | valor:R$ 88.000,00</t>
  </si>
  <si>
    <t>Considerado o valor comercial de R$ 1.000,00, ao metro quadrado.
Valor do terreno onde está construído o Edifício – HOTEL = 6.900,00m² de terreno = R$ 6.900.000,00 (considerado o valor ao metro quadrado do mercado no Bairro Araçá e o valor da área conforme sua localização comercial).</t>
  </si>
  <si>
    <t>27.11</t>
  </si>
  <si>
    <t>Lote:11 | Quadra:2 | valor:R$ 93.000,00</t>
  </si>
  <si>
    <t>27.12</t>
  </si>
  <si>
    <t>Lote:10 | Quadra:3 | valor:R$ 85.000,00</t>
  </si>
  <si>
    <t>27.13</t>
  </si>
  <si>
    <t>Lote:11 | Quadra:3 | valor:R$ 82.000,00</t>
  </si>
  <si>
    <t>27.14</t>
  </si>
  <si>
    <t>Lote:6 | Quadra:4 | valor:R$ 93.000,00</t>
  </si>
  <si>
    <t>5.2.2.</t>
  </si>
  <si>
    <t>27.15</t>
  </si>
  <si>
    <t>Lote:7 | Quadra:4 | valor:R$ 93.000,00</t>
  </si>
  <si>
    <r>
      <rPr>
        <rFont val="Calibri"/>
        <color theme="1"/>
        <sz val="10.0"/>
      </rPr>
      <t>parte não produtiva=65,00%=</t>
    </r>
    <r>
      <rPr>
        <rFont val="Calibri"/>
        <b/>
        <color theme="1"/>
        <sz val="10.0"/>
      </rPr>
      <t>186,0 ha</t>
    </r>
    <r>
      <rPr>
        <rFont val="Calibri"/>
        <color theme="1"/>
        <sz val="10.0"/>
      </rPr>
      <t>–R$ 110.000,00= R$ 20.460.000,00</t>
    </r>
  </si>
  <si>
    <t>Móveis e Equipamentos – novos, instalados nos 36 apartamentos do HOTEL, no valor unitário de R$ 42.000,00, cada apartamento = sem depreciação = R$ 1.512.000,00.</t>
  </si>
  <si>
    <t>27.16</t>
  </si>
  <si>
    <t>Lote:8 | Quadra:4 | valor:R$ 93.000,00</t>
  </si>
  <si>
    <t>27.17</t>
  </si>
  <si>
    <t>Lote:9 | Quadra:4 | valor:R$ 93.000,00</t>
  </si>
  <si>
    <t>27.18</t>
  </si>
  <si>
    <t>Lote:10 | Quadra:4 | valor:R$ 93.000,00</t>
  </si>
  <si>
    <t>Móveis e Equipamentos, instalados nos 108 apartamentos do HOTEL, no valor unitário de R$ 30.000,00, cada apartamento = R$ 3.240.000,00 = com depreciação de 20,00% = (-) R$ 648.000,00 =   R$ 2.592.000,00.</t>
  </si>
  <si>
    <t>27.19</t>
  </si>
  <si>
    <t>Lote:4 | Quadra:5 | valor:R$ 99.000,00</t>
  </si>
  <si>
    <t>5.3.</t>
  </si>
  <si>
    <t>Área Zancheta</t>
  </si>
  <si>
    <t>27.20</t>
  </si>
  <si>
    <t>Lote:6 | Quadra:5 | valor:R$ 93.000,00</t>
  </si>
  <si>
    <t>27.21</t>
  </si>
  <si>
    <t>Lote:7 | Quadra:5 | valor:R$ 93.000,00</t>
  </si>
  <si>
    <t>Valor do Edifício Construído – obra civil = 04 andares, com 144 apartamentos do HOTEL, cozinha, restaurante, sala de convenções, lavanderia, bares, piscinas, sala de jogos, sauna, mezanino, = 10.500,00m² de área construída X R$ 3.170,52 = R$ 33.290.460,00 (considerado o valor ao metro quadrado da construção – CUB/DEZEMBRO DE 2022 e o valor da área conforme sua localização comercial) = com depreciação de 20,00%  = (-) R$ 6.658.092,00 =  R$ 26.632.368,00.</t>
  </si>
  <si>
    <t>27.22</t>
  </si>
  <si>
    <t>Lote:12 | Quadra:5 | valor:R$ 106.000,00</t>
  </si>
  <si>
    <t>27.23</t>
  </si>
  <si>
    <t>Lote:13 | Quadra:5 | valor:R$ 106.000,00</t>
  </si>
  <si>
    <t>27.24</t>
  </si>
  <si>
    <t>Lote:3 | Quadra:6 | valor:R$ 96.000,00</t>
  </si>
  <si>
    <t>Móveis e Equipamentos Diversos instalados no HOTEL: cozinha, restaurante, sala de convenções, lavanderia, recepção, poço artesiano com outorga, etc. = R$ 8.000.000,00 = com depreciação de 20,00% = (-) R$ 1.600.000,00 =  R$ 6.400.000,00.</t>
  </si>
  <si>
    <t>5.3.1.</t>
  </si>
  <si>
    <r>
      <rPr>
        <rFont val="Calibri"/>
        <color theme="1"/>
        <sz val="10.0"/>
      </rPr>
      <t xml:space="preserve">parte produtiva=80,00% = </t>
    </r>
    <r>
      <rPr>
        <rFont val="Calibri"/>
        <b/>
        <color theme="1"/>
        <sz val="10.0"/>
      </rPr>
      <t>45,6 ha</t>
    </r>
    <r>
      <rPr>
        <rFont val="Calibri"/>
        <color theme="1"/>
        <sz val="10.0"/>
      </rPr>
      <t xml:space="preserve"> – R$ 110.000,00 =         R$  5.016.000,00</t>
    </r>
  </si>
  <si>
    <t>27.25</t>
  </si>
  <si>
    <t>Lote:4 | Quadra:6 | valor:R$ 96.000,00</t>
  </si>
  <si>
    <t>27.26</t>
  </si>
  <si>
    <t>Lote:5 | Quadra:6 | valor:R$ 99.000,00</t>
  </si>
  <si>
    <t>27.27</t>
  </si>
  <si>
    <t>Lote:8 | Quadra:6 | valor:R$ 106.000,00</t>
  </si>
  <si>
    <t>Valor do Edifício Construído – obra civil = 04 andares = 15,00% (Quinze por cento) da obra feita: R$ 37.136.368,00 (considerado o valor agregado à coisa feita, como tal se encontra) = R$ 5.570.455,20.</t>
  </si>
  <si>
    <t>27.28</t>
  </si>
  <si>
    <t>Lote:10 | Quadra:6 | valor:R$ 99.000,00</t>
  </si>
  <si>
    <t>27.29</t>
  </si>
  <si>
    <t>Lote:11 | Quadra:6 | valor:R$ 99.000,00</t>
  </si>
  <si>
    <t>27.30</t>
  </si>
  <si>
    <t>5.3.2.</t>
  </si>
  <si>
    <t>Lote:3 | Quadra:7 | valor:R$ 88.000,00</t>
  </si>
  <si>
    <r>
      <rPr>
        <rFont val="Calibri"/>
        <color theme="1"/>
        <sz val="10.0"/>
      </rPr>
      <t xml:space="preserve">parte não produtiva=20,00% = </t>
    </r>
    <r>
      <rPr>
        <rFont val="Calibri"/>
        <b/>
        <color theme="1"/>
        <sz val="10.0"/>
      </rPr>
      <t>11,4 ha</t>
    </r>
    <r>
      <rPr>
        <rFont val="Calibri"/>
        <color theme="1"/>
        <sz val="10.0"/>
      </rPr>
      <t xml:space="preserve"> – R$ 110.000,00 = R$ 1.254.000,00</t>
    </r>
  </si>
  <si>
    <t>27.31</t>
  </si>
  <si>
    <t>Lote:4 | Quadra:7 | valor:R$ 93.000,00</t>
  </si>
  <si>
    <t>Lotes</t>
  </si>
  <si>
    <t>27.32</t>
  </si>
  <si>
    <t>Lote:7 | Quadra:7 | valor:R$ 88.000,00</t>
  </si>
  <si>
    <t>27.33</t>
  </si>
  <si>
    <t>Lote:8 | Quadra:7 | valor:R$ 88.000,00</t>
  </si>
  <si>
    <t>27.34</t>
  </si>
  <si>
    <t>Lote:9 | Quadra:7 | valor:R$ 88.000,00</t>
  </si>
  <si>
    <t>5.4.</t>
  </si>
  <si>
    <t>Área Jane/João Paulo</t>
  </si>
  <si>
    <t>27.35</t>
  </si>
  <si>
    <t>Lote:3 | Quadra:8 | valor:R$ 82.000,00</t>
  </si>
  <si>
    <t>27.36</t>
  </si>
  <si>
    <t>Lote:4 | Quadra:8 | valor:R$ 82.000,00</t>
  </si>
  <si>
    <t>27.37</t>
  </si>
  <si>
    <t>Lote:5 | Quadra:8 | valor:R$ 82.000,00</t>
  </si>
  <si>
    <t>27.38</t>
  </si>
  <si>
    <t>Lote:6 | Quadra:8 | valor:R$ 82.000,00</t>
  </si>
  <si>
    <t>5.4.1.</t>
  </si>
  <si>
    <r>
      <rPr>
        <rFont val="Calibri"/>
        <color theme="1"/>
        <sz val="10.0"/>
      </rPr>
      <t>parte produtiva=100,00%=</t>
    </r>
    <r>
      <rPr>
        <rFont val="Calibri"/>
        <b/>
        <color theme="1"/>
        <sz val="10.0"/>
      </rPr>
      <t>148,0 ha (-) 83,47ha = 64,53 ha</t>
    </r>
    <r>
      <rPr>
        <rFont val="Calibri"/>
        <color theme="1"/>
        <sz val="10.0"/>
      </rPr>
      <t xml:space="preserve"> – R$ 110.000,00 =    R$ 7.098.300,00  </t>
    </r>
  </si>
  <si>
    <t>27.39</t>
  </si>
  <si>
    <t>Lote:7 | Quadra:8 | valor:R$ 82.000,00</t>
  </si>
  <si>
    <t>27.40</t>
  </si>
  <si>
    <t>Lote:8 | Quadra:8 | valor:R$ 82.000,00</t>
  </si>
  <si>
    <t>27.41</t>
  </si>
  <si>
    <t>Lote:1 | Quadra:10 | valor:R$ 88.000,00</t>
  </si>
  <si>
    <t>27.42</t>
  </si>
  <si>
    <t>Lote:2 | Quadra:10 | valor:R$ 82.000,00</t>
  </si>
  <si>
    <t>27.43</t>
  </si>
  <si>
    <t>Lote:3 | Quadra:10 | valor:R$ 82.000,00</t>
  </si>
  <si>
    <r>
      <rPr>
        <rFont val="Calibri"/>
        <color theme="1"/>
        <sz val="10.0"/>
      </rPr>
      <t xml:space="preserve">Um lote urbano nº 03 – Quadra nº 19, com área de 450,00m², devidamente registrado no Ofício de Registro de Imóveis da Comarca de Capão da Canoa – RS, sob Matrícula nº 77.832 (antiga matrícula 37.549), com a Inscrição Imobiliária nº 360.0019.003.000 e Código de Imóvel </t>
    </r>
    <r>
      <rPr>
        <rFont val="Calibri"/>
        <b/>
        <color theme="1"/>
        <sz val="10.0"/>
      </rPr>
      <t>nº 038998</t>
    </r>
    <r>
      <rPr>
        <rFont val="Calibri"/>
        <color theme="1"/>
        <sz val="10.0"/>
      </rPr>
      <t>, localizado nas proximidades do Hotel Araçá Ltda. – Casa da Praça.</t>
    </r>
  </si>
  <si>
    <t>27.44</t>
  </si>
  <si>
    <t>Lote:12 | Quadra:10 | valor:R$ 82.000,00</t>
  </si>
  <si>
    <t>CHIMARRÃO</t>
  </si>
  <si>
    <t>27.45</t>
  </si>
  <si>
    <t>Lote:13 | Quadra:10 | valor:R$ 88.000,00</t>
  </si>
  <si>
    <t>27.46</t>
  </si>
  <si>
    <t>Lote:1 | Quadra:11 | valor:R$ 88.000,00</t>
  </si>
  <si>
    <r>
      <rPr>
        <rFont val="Calibri"/>
        <color theme="1"/>
        <sz val="10.0"/>
      </rPr>
      <t xml:space="preserve">Um lote urbano nº 16 – Quadra nº 37, com área de 360,00m², devidamente registrado no Ofício de Registro de Imóveis da Comarca de Capão da Canoa – RS, sob Matrícula nº 64.782, com a Inscrição Imobiliária nº 360.0037.016.000 e Código de Imóvel </t>
    </r>
    <r>
      <rPr>
        <rFont val="Calibri"/>
        <b/>
        <color theme="1"/>
        <sz val="10.0"/>
      </rPr>
      <t>nº 039395</t>
    </r>
    <r>
      <rPr>
        <rFont val="Calibri"/>
        <color theme="1"/>
        <sz val="10.0"/>
      </rPr>
      <t xml:space="preserve"> localizado nas proximidades do Hotel Araçá Ltda. – Fundos do Hotel.</t>
    </r>
  </si>
  <si>
    <t>27.47</t>
  </si>
  <si>
    <t>Lote:2 | Quadra:11 | valor:R$ 84.000,00</t>
  </si>
  <si>
    <t>27.48</t>
  </si>
  <si>
    <t>Lote:5 | Quadra:11 | valor:R$ 85.000,00</t>
  </si>
  <si>
    <r>
      <rPr>
        <rFont val="Calibri"/>
        <color theme="1"/>
        <sz val="10.0"/>
      </rPr>
      <t xml:space="preserve">Um lote urbano nº 23 – Quadra nº 37, com área de 360,00m², devidamente registrado no Ofício de Registro de Imóveis da Comarca de Capão da Canoa – RS, sob Matrícula nº 26.373, com a Inscrição Imobiliária nº 360.0071.023.000 e Código de Imóvel </t>
    </r>
    <r>
      <rPr>
        <rFont val="Calibri"/>
        <b/>
        <color theme="1"/>
        <sz val="10.0"/>
      </rPr>
      <t>nº 039839</t>
    </r>
    <r>
      <rPr>
        <rFont val="Calibri"/>
        <color theme="1"/>
        <sz val="10.0"/>
      </rPr>
      <t xml:space="preserve"> localizado nas proximidades do Hotel Araçá Ltda. – Fundos do Hotel.</t>
    </r>
  </si>
  <si>
    <t>27.49</t>
  </si>
  <si>
    <t>Lote:6 | Quadra:11 | valor:R$ 80.000,00</t>
  </si>
  <si>
    <t>27.50</t>
  </si>
  <si>
    <t>Lote:7 | Quadra:11 | valor:R$ 80.000,00</t>
  </si>
  <si>
    <t>27.51</t>
  </si>
  <si>
    <t>Lote:8 | Quadra:11 | valor:R$ 80.000,00</t>
  </si>
  <si>
    <r>
      <rPr>
        <rFont val="Calibri"/>
        <color theme="1"/>
        <sz val="10.0"/>
      </rPr>
      <t xml:space="preserve">Um lote urbano nº 24 – Quadra nº 37, com área de 307,80m², devidamente registrado no Ofício de Registro de Imóveis da Comarca de Capão da Canoa – RS, sob Matrícula nº 26.374, com a Inscrição Imobiliária nº 360.0071.024.000 e Código de Imóvel </t>
    </r>
    <r>
      <rPr>
        <rFont val="Calibri"/>
        <b/>
        <color theme="1"/>
        <sz val="10.0"/>
      </rPr>
      <t>nº 039840</t>
    </r>
    <r>
      <rPr>
        <rFont val="Calibri"/>
        <color theme="1"/>
        <sz val="10.0"/>
      </rPr>
      <t xml:space="preserve"> localizado nas proximidades do Hotel Araçá Ltda. – Fundos do Hotel.</t>
    </r>
  </si>
  <si>
    <t>27.52</t>
  </si>
  <si>
    <t>Lote:9 | Quadra:11 | valor:R$ 85.000,00</t>
  </si>
  <si>
    <t>27.53</t>
  </si>
  <si>
    <t>Lote:10 | Quadra:11 | valor:R$ 82.000,00</t>
  </si>
  <si>
    <r>
      <rPr>
        <rFont val="Calibri"/>
        <color theme="1"/>
        <sz val="10.0"/>
      </rPr>
      <t xml:space="preserve">Um lote urbano nº 25 – Quadra nº 37, com área de 307,80m², devidamente registrado no Ofício de Registro de Imóveis da Comarca de Capão da Canoa – RS, sob Matrícula nº 26.375, com a Inscrição Imobiliária nº 360.0071.025.000 e Código de Imóvel </t>
    </r>
    <r>
      <rPr>
        <rFont val="Calibri"/>
        <b/>
        <color theme="1"/>
        <sz val="10.0"/>
      </rPr>
      <t>nº 039841</t>
    </r>
    <r>
      <rPr>
        <rFont val="Calibri"/>
        <color theme="1"/>
        <sz val="10.0"/>
      </rPr>
      <t xml:space="preserve"> localizado nas proximidades do Hotel Araçá Ltda. – Fundos do Hotel.</t>
    </r>
  </si>
  <si>
    <t>6.1.</t>
  </si>
  <si>
    <t>27.54</t>
  </si>
  <si>
    <t>Lote:11 | Quadra:11 | valor:R$ 82.000,00</t>
  </si>
  <si>
    <r>
      <rPr>
        <rFont val="Calibri"/>
        <color theme="1"/>
        <sz val="10.0"/>
      </rPr>
      <t xml:space="preserve">Uma área de terras rurais, denominada de </t>
    </r>
    <r>
      <rPr>
        <rFont val="Calibri"/>
        <b/>
        <color theme="1"/>
        <sz val="10.0"/>
      </rPr>
      <t>FAZENDA SÃO CRISPIN</t>
    </r>
    <r>
      <rPr>
        <rFont val="Calibri"/>
        <color theme="1"/>
        <sz val="10.0"/>
      </rPr>
      <t>, com área total de</t>
    </r>
    <r>
      <rPr>
        <rFont val="Calibri"/>
        <b/>
        <color theme="1"/>
        <sz val="10.0"/>
      </rPr>
      <t xml:space="preserve"> 4,0 hectares</t>
    </r>
    <r>
      <rPr>
        <rFont val="Calibri"/>
        <color theme="1"/>
        <sz val="10.0"/>
      </rPr>
      <t xml:space="preserve">, DENTRO DE UM TODO MAIOR, localizada na Capela de São Sebastião, no Distrito do Chimarrão, no Município de André da Rocha – RS, adquirida do Senhor Dirceu Prestes e Lairton, área esta registrada sob </t>
    </r>
    <r>
      <rPr>
        <rFont val="Calibri"/>
        <b/>
        <color theme="1"/>
        <sz val="10.0"/>
      </rPr>
      <t>Matrícula nº.:  11.090.</t>
    </r>
    <r>
      <rPr>
        <rFont val="Calibri"/>
        <color theme="1"/>
        <sz val="10.0"/>
      </rPr>
      <t xml:space="preserve">
Matrícula nº 11.090 = 4,0 hectares.
Cadastrada no CCIR – Receita Federal sob nº .....
Adquirida por CONTRATO DE COMPRA E VENDA, em dezembro de 2015.
Área Dirceu/Lairton–parte produtiva=</t>
    </r>
    <r>
      <rPr>
        <rFont val="Calibri"/>
        <b/>
        <color theme="1"/>
        <sz val="10.0"/>
      </rPr>
      <t>100,00%=4,0 ha – R$ 110.000,00 =      R$ 440.000,00</t>
    </r>
  </si>
  <si>
    <t>27.55</t>
  </si>
  <si>
    <t>Lote:12 | Quadra:11 | valor:R$ 85.000,00</t>
  </si>
  <si>
    <r>
      <rPr>
        <rFont val="Calibri"/>
        <color theme="1"/>
        <sz val="10.0"/>
      </rPr>
      <t xml:space="preserve">Um lote urbano nº 26 – Quadra nº 37, com área de 307,80m², devidamente registrado no Ofício de Registro de Imóveis da Comarca de Capão da Canoa – RS, sob Matrícula nº 26.376, com a Inscrição Imobiliária nº 360.0071.026.000 e Código de Imóvel </t>
    </r>
    <r>
      <rPr>
        <rFont val="Calibri"/>
        <b/>
        <color theme="1"/>
        <sz val="10.0"/>
      </rPr>
      <t>nº 039842</t>
    </r>
    <r>
      <rPr>
        <rFont val="Calibri"/>
        <color theme="1"/>
        <sz val="10.0"/>
      </rPr>
      <t xml:space="preserve"> localizado nas proximidades do Hotel Araçá Ltda. – Fundos do Hotel.</t>
    </r>
  </si>
  <si>
    <t>27.56</t>
  </si>
  <si>
    <t>Lote:5 | Quadra:12 | valor:R$ 82.000,00</t>
  </si>
  <si>
    <t>27.57</t>
  </si>
  <si>
    <t>Lote:9 | Quadra:12 | valor:R$ 82.000,00</t>
  </si>
  <si>
    <r>
      <rPr>
        <rFont val="Calibri"/>
        <color theme="1"/>
        <sz val="10.0"/>
      </rPr>
      <t xml:space="preserve">Um lote urbano nº 27 – Quadra nº 37, com área de 307,80m², devidamente registrado no Ofício de Registro de Imóveis da Comarca de Capão da Canoa – RS, sob Matrícula nº 26.377, com a Inscrição Imobiliária nº 360.0071.027.000 e Código de Imóvel </t>
    </r>
    <r>
      <rPr>
        <rFont val="Calibri"/>
        <b/>
        <color theme="1"/>
        <sz val="10.0"/>
      </rPr>
      <t>nº 039843</t>
    </r>
    <r>
      <rPr>
        <rFont val="Calibri"/>
        <color theme="1"/>
        <sz val="10.0"/>
      </rPr>
      <t xml:space="preserve"> localizado nas proximidades do Hotel Araçá Ltda. – Fundos do Hotel.</t>
    </r>
  </si>
  <si>
    <t>27.58</t>
  </si>
  <si>
    <t>Lote:1 | Quadra:14 | valor:R$ 84.000,00</t>
  </si>
  <si>
    <r>
      <rPr>
        <rFont val="Calibri"/>
        <color theme="1"/>
        <sz val="10.0"/>
      </rPr>
      <t xml:space="preserve">Um lote urbano nº 28 – Quadra nº 37, com área de 307,80m², devidamente registrado no Ofício de Registro de Imóveis da Comarca de Capão da Canoa – RS, sob Matrícula nº 26.378, com a Inscrição Imobiliária nº 360.0071.028.000 e Código de Imóvel </t>
    </r>
    <r>
      <rPr>
        <rFont val="Calibri"/>
        <b/>
        <color theme="1"/>
        <sz val="10.0"/>
      </rPr>
      <t>nº 039844</t>
    </r>
    <r>
      <rPr>
        <rFont val="Calibri"/>
        <color theme="1"/>
        <sz val="10.0"/>
      </rPr>
      <t xml:space="preserve"> localizado nas proximidades do Hotel Araçá Ltda. – Fundos do Hotel.</t>
    </r>
  </si>
  <si>
    <t>27.59</t>
  </si>
  <si>
    <t>Lote:2 | Quadra:14 | valor:R$ 81.000,00</t>
  </si>
  <si>
    <t>6.2.</t>
  </si>
  <si>
    <t>Benfeitorias existentes, como: cercas, terraplenagem de lavouras, construções, banheiras de gado, galpão, implementos agrícolas, roçadeira, moinho, etc.</t>
  </si>
  <si>
    <t>27.60</t>
  </si>
  <si>
    <t>Lote:7 | Quadra:14 | valor:R$ 77.000,00</t>
  </si>
  <si>
    <r>
      <rPr>
        <rFont val="Calibri"/>
        <color theme="1"/>
        <sz val="10.0"/>
      </rPr>
      <t>Um lote urbano nº 29 – Quadra nº 37, com área de 360,00m², devidamente registrado no Ofício de Registro de Imóveis da Comarca de Capão da Canoa – RS, sob Matrícula nº 26.379, com a Inscrição Imobiliária nº 360.0071.029.000 e Código de Imóvel</t>
    </r>
    <r>
      <rPr>
        <rFont val="Calibri"/>
        <b/>
        <color theme="1"/>
        <sz val="10.0"/>
      </rPr>
      <t xml:space="preserve"> nº 039845</t>
    </r>
    <r>
      <rPr>
        <rFont val="Calibri"/>
        <color theme="1"/>
        <sz val="10.0"/>
      </rPr>
      <t xml:space="preserve"> localizado nas proximidades do Hotel Araçá Ltda. – Fundos do Hotel.</t>
    </r>
  </si>
  <si>
    <t>Loteamento Nossa Senhora da Saúde, localizado na cidade de Guaporé – RS, num saldo de 04 lotes.</t>
  </si>
  <si>
    <r>
      <rPr>
        <rFont val="Calibri"/>
        <color theme="1"/>
        <sz val="10.0"/>
      </rPr>
      <t xml:space="preserve">Uma área de terras rurais, denominada de PARTE DO LOTE RURAL Nº 52, com área total de </t>
    </r>
    <r>
      <rPr>
        <rFont val="Calibri"/>
        <b/>
        <color theme="1"/>
        <sz val="10.0"/>
      </rPr>
      <t>15,1 hectares</t>
    </r>
    <r>
      <rPr>
        <rFont val="Calibri"/>
        <color theme="1"/>
        <sz val="10.0"/>
      </rPr>
      <t xml:space="preserve">, localizada na Linha Júlio de Castilhos, no </t>
    </r>
    <r>
      <rPr>
        <rFont val="Calibri"/>
        <b/>
        <color theme="1"/>
        <sz val="10.0"/>
      </rPr>
      <t>Município de Cotiporã – RS</t>
    </r>
    <r>
      <rPr>
        <rFont val="Calibri"/>
        <color theme="1"/>
        <sz val="10.0"/>
      </rPr>
      <t xml:space="preserve">, adquirida da Senhora </t>
    </r>
    <r>
      <rPr>
        <rFont val="Calibri"/>
        <b/>
        <color theme="1"/>
        <sz val="10.0"/>
      </rPr>
      <t>GLORINHA E GERALDO BASSANI</t>
    </r>
    <r>
      <rPr>
        <rFont val="Calibri"/>
        <color theme="1"/>
        <sz val="10.0"/>
      </rPr>
      <t>, área está registrada sob Matrícula nº.: 7.391 - Matrícula nº 7.391 = 15,1 hectares X R$ 28.000,00
Cadastrada no CCIR – Receita Federal sob nº 2.481.952-2</t>
    </r>
  </si>
  <si>
    <r>
      <rPr>
        <rFont val="Calibri"/>
        <color theme="1"/>
        <sz val="10.0"/>
      </rPr>
      <t xml:space="preserve">Um lote urbano nº 09 – Quadra nº 38, com área de 360,00m², devidamente registrado no Ofício de Registro de Imóveis da Comarca de Capão da Canoa – RS, sob Matrícula nº 37.846, com a Inscrição Imobiliária nº 360.0038.009.000 e Código de Imóvel </t>
    </r>
    <r>
      <rPr>
        <rFont val="Calibri"/>
        <b/>
        <color theme="1"/>
        <sz val="10.0"/>
      </rPr>
      <t>nº 039410</t>
    </r>
    <r>
      <rPr>
        <rFont val="Calibri"/>
        <color theme="1"/>
        <sz val="10.0"/>
      </rPr>
      <t xml:space="preserve"> localizado nas proximidades do Hotel Araçá Ltda. Adquirido do Senhor Hugo Ferri.</t>
    </r>
  </si>
  <si>
    <r>
      <rPr>
        <rFont val="Calibri"/>
        <color theme="1"/>
        <sz val="10.0"/>
      </rPr>
      <t xml:space="preserve">Um lote urbano nº 10 – Quadra nº 38, com área de 360,00m², devidamente registrado no Ofício de Registro de Imóveis da Comarca de Capão da Canoa – RS, sob Matrícula nº 11.990, com a Inscrição Imobiliária nº 360.0038.010.000 e Código de Imóvel </t>
    </r>
    <r>
      <rPr>
        <rFont val="Calibri"/>
        <b/>
        <color theme="1"/>
        <sz val="10.0"/>
      </rPr>
      <t>nº 039411</t>
    </r>
    <r>
      <rPr>
        <rFont val="Calibri"/>
        <color theme="1"/>
        <sz val="10.0"/>
      </rPr>
      <t xml:space="preserve"> localizado nas proximidades do Hotel Araçá Ltda. Adquirido do Senhor Hugo Ferri.</t>
    </r>
  </si>
  <si>
    <r>
      <rPr>
        <rFont val="Calibri"/>
        <color theme="1"/>
        <sz val="10.0"/>
      </rPr>
      <t xml:space="preserve">Um lote urbano nº 11 – Quadra nº 38, com área de 360,00m², devidamente registrado no Ofício de Registro de Imóveis da Comarca de Capão da Canoa – RS, sob Matrícula nº 43.389, com a Inscrição Imobiliária nº 360.0038.011.000 e Código de Imóvel </t>
    </r>
    <r>
      <rPr>
        <rFont val="Calibri"/>
        <b/>
        <color theme="1"/>
        <sz val="10.0"/>
      </rPr>
      <t>nº 039412</t>
    </r>
    <r>
      <rPr>
        <rFont val="Calibri"/>
        <color theme="1"/>
        <sz val="10.0"/>
      </rPr>
      <t xml:space="preserve"> localizado nas proximidades do Hotel Araçá Ltda. Adquirido do Senhor Hugo Ferri.</t>
    </r>
  </si>
  <si>
    <r>
      <rPr>
        <rFont val="Calibri"/>
        <color theme="1"/>
        <sz val="10.0"/>
      </rPr>
      <t xml:space="preserve">Um veículo Mercedinha </t>
    </r>
    <r>
      <rPr>
        <rFont val="Calibri"/>
        <b/>
        <color theme="1"/>
        <sz val="10.0"/>
      </rPr>
      <t>MB 709</t>
    </r>
    <r>
      <rPr>
        <rFont val="Calibri"/>
        <color theme="1"/>
        <sz val="10.0"/>
      </rPr>
      <t xml:space="preserve">, com boiadeiro, marca </t>
    </r>
    <r>
      <rPr>
        <rFont val="Calibri"/>
        <b/>
        <color theme="1"/>
        <sz val="10.0"/>
      </rPr>
      <t>MERCEDES BENZ, ano 1991</t>
    </r>
    <r>
      <rPr>
        <rFont val="Calibri"/>
        <color theme="1"/>
        <sz val="10.0"/>
      </rPr>
      <t>, modelo 1991, placa JTB 8585.</t>
    </r>
  </si>
  <si>
    <r>
      <rPr>
        <rFont val="Calibri"/>
        <color theme="1"/>
        <sz val="10.0"/>
      </rPr>
      <t xml:space="preserve">Um lote urbano nº 12 – Quadra nº 38, com área de 360,00m², devidamente registrado no Ofício de Registro de Imóveis da Comarca de Capão da Canoa – RS, sob Matrícula nº 29.803, com a Inscrição Imobiliária nº 360.0038.012.000 e Código de Imóvel </t>
    </r>
    <r>
      <rPr>
        <rFont val="Calibri"/>
        <b/>
        <color theme="1"/>
        <sz val="10.0"/>
      </rPr>
      <t>nº 039413</t>
    </r>
    <r>
      <rPr>
        <rFont val="Calibri"/>
        <color theme="1"/>
        <sz val="10.0"/>
      </rPr>
      <t xml:space="preserve"> localizado nas proximidades do Hotel Araçá Ltda. Adquirido do Senhor Hugo Ferri.</t>
    </r>
  </si>
  <si>
    <t>Lote:6 | Quadra:260 | valor:R$ 144.000,00</t>
  </si>
  <si>
    <r>
      <rPr>
        <rFont val="Calibri"/>
        <color theme="1"/>
        <sz val="10.0"/>
      </rPr>
      <t xml:space="preserve">Um lote urbano nº 13 – Quadra nº 38, com área de 360,00m², devidamente registrado no Ofício de Registro de Imóveis da Comarca de Capão da Canoa – RS, sob Matrícula nº 30.294, com a Inscrição Imobiliária nº 360.0038.013.000 e Código de Imóvel </t>
    </r>
    <r>
      <rPr>
        <rFont val="Calibri"/>
        <b/>
        <color theme="1"/>
        <sz val="10.0"/>
      </rPr>
      <t>nº 039414</t>
    </r>
    <r>
      <rPr>
        <rFont val="Calibri"/>
        <color theme="1"/>
        <sz val="10.0"/>
      </rPr>
      <t xml:space="preserve"> localizado nas proximidades do Hotel Araçá Ltda. Adquirido do Senhor Hugo Ferri.</t>
    </r>
  </si>
  <si>
    <t>Lote:8 | Quadra:261 | valor:R$ 133.000,00</t>
  </si>
  <si>
    <t>Lote:1 | Quadra:269 | valor:R$ 110.000,00</t>
  </si>
  <si>
    <r>
      <rPr>
        <rFont val="Calibri"/>
        <color theme="1"/>
        <sz val="10.0"/>
      </rPr>
      <t xml:space="preserve">Um lote urbano nº 14 – Quadra nº 38, com área de 360,00m², devidamente registrado no Ofício de Registro de Imóveis da Comarca de Capão da Canoa – RS, sob Matrícula nº 29.802, com a Inscrição Imobiliária nº 360.0038.014.000 e Código de Imóvel </t>
    </r>
    <r>
      <rPr>
        <rFont val="Calibri"/>
        <b/>
        <color theme="1"/>
        <sz val="10.0"/>
      </rPr>
      <t>nº 039415</t>
    </r>
    <r>
      <rPr>
        <rFont val="Calibri"/>
        <color theme="1"/>
        <sz val="10.0"/>
      </rPr>
      <t xml:space="preserve"> localizado nas proximidades do Hotel Araçá Ltda. Adquirido do Senhor Hugo Ferri.</t>
    </r>
  </si>
  <si>
    <t>Lote:3 | Quadra:269 | valor:R$ 146.000,00</t>
  </si>
  <si>
    <r>
      <rPr>
        <rFont val="Calibri"/>
        <color theme="1"/>
        <sz val="10.0"/>
      </rPr>
      <t xml:space="preserve">Um lote urbano nº 15 – Quadra nº 38, com área de 360,00m², devidamente registrado no Ofício de Registro de Imóveis da Comarca de Capão da Canoa – RS, sob Matrícula nº 33.003, com a Inscrição Imobiliária nº 360.0038.015.000 e Código de Imóvel </t>
    </r>
    <r>
      <rPr>
        <rFont val="Calibri"/>
        <b/>
        <color theme="1"/>
        <sz val="10.0"/>
      </rPr>
      <t>nº 039416</t>
    </r>
    <r>
      <rPr>
        <rFont val="Calibri"/>
        <color theme="1"/>
        <sz val="10.0"/>
      </rPr>
      <t xml:space="preserve"> localizado nas proximidades do Hotel Araçá Ltda. Adquirido do Senhor Hugo Ferri.</t>
    </r>
  </si>
  <si>
    <t>Loteamento Alto das Graças I, localizado na cidade de Caxias do Sul – RS, num saldo de 14 lotes.</t>
  </si>
  <si>
    <r>
      <rPr>
        <rFont val="Calibri"/>
        <color theme="1"/>
        <sz val="10.0"/>
      </rPr>
      <t xml:space="preserve">Um lote urbano nº 27 – Quadra nº 38, com área de 360,00m², devidamente registrado no Ofício de Registro de Imóveis da Comarca de Capão da Canoa – RS, sob Matrícula nº 73.482, com a Inscrição Imobiliária nº 360.0038.027.000 e Código de Imóvel </t>
    </r>
    <r>
      <rPr>
        <rFont val="Calibri"/>
        <b/>
        <color theme="1"/>
        <sz val="10.0"/>
      </rPr>
      <t>nº 039426</t>
    </r>
    <r>
      <rPr>
        <rFont val="Calibri"/>
        <color theme="1"/>
        <sz val="10.0"/>
      </rPr>
      <t xml:space="preserve"> localizado nas proximidades do Hotel Araçá Ltda. Lote Estacionamento do Bigode.</t>
    </r>
  </si>
  <si>
    <r>
      <rPr>
        <rFont val="Calibri"/>
        <b/>
        <color theme="1"/>
        <sz val="10.0"/>
      </rPr>
      <t xml:space="preserve">OBSERVAÇÕES: </t>
    </r>
    <r>
      <rPr>
        <rFont val="Calibri"/>
        <color theme="1"/>
        <sz val="10.0"/>
      </rPr>
      <t xml:space="preserve">
                É necessário transmitir todas as Escrituras Públicas das Propriedades Rurais, para a empresa AGROPECUÁRIA FAZENDA SÃO CRISPIN LTDA., que estão em nome da empresa HOTEL PRINCESA DOS VALES LTDA. e de TERCEIROS, POR CONTRATO.
                 É necessário fazer o levantamento topográfico completo de todas as áreas que perfazem o total da FAZENDA SÃO CRISPIN para unificação em uma ÚNICA MATRÍCULA. (MDE - MURILO MINOZZO – Orçamento + Serviços do Senhor LAIRTON FRIZON = georreferenciamento – inventário – regularização – impostos de transmissão – serviços notarial e registral). 
a)  Conforme consulta verbal com os profissionais, possíveis para serem contratados para realizar os serviços, estimam que os custos administrativos para a execução dos serviços de legalização das áreas ficam em torno de R$ 80.000,00 (OITENTA MIL REAIS) e com despesas extras em torno de R$ 20.000,00 (VINTE MIL REAIS), totalizando aproximadamente um custo de R$ 100.000,00 (CEM MIL REAIS).
b)  No tangente às despesas de impostos, notariais e registrais, conforme contato mantido com o Senhor Lairton – Fiscal Tributário da Prefeitura de André da Rocha, informou que os valores mínimos exigidos para fins de cálculo do imposto I.T.B.I – IMPOSTO DE TRANSMISSÃO DE BENS IMÓVEIS, são considerados e aplicados conforme a realidade produtiva das áreas, sendo:
- para área de terras utilizadas para lavoura: R$ 40.000,00 (QUARENTA MIL REAIS), ao hectare.
- para área de terras utilizadas para campo nativo: R$ 18.000,00 (DEZOITO MIL REAIS) a R$      20.000,00 (VINTE MIL REAIS), ao hectare.
- para área de terras de mato: R$ 8.000,00 (OITO MIL REAIS), ao hectare
c)  Custo com o Serviço Notarial para lavratura das Escrituras Públicas: aproximadamente R$ 5.000,00 (CINCO MIL REAIS).
d)  Custo com o Serviço Registral para registro das Escrituras Públicas: aproximadamente R$ 5.000,00 (CINCO MIL REAIS).
e)  O total de hectares que perfazem a área de terras da FAZENDA SÃO CRISPIN é de 411,4 ha ao custo médio de R$ 30.000,00 (TRINTA MIL REAIS), ao hectare, totalizando um valor atribuído para fins de cálculo de imposto, a importância de R$ 12.342.000,00 (DOZE MILHÕES, TREZENTOS E QUARENTA E DOIS MIL REAIS) X o percentual do imposto de 2,00 (DOIS POR CENTO), incidindo um total de aproximadamente R$ 246.840,00 (DUZENTOS E QUARENTA E SEIS MIL, OITOCENTOS E QUARENTA E REAIS).  
f)  Perfazem todas as despesas, um TOTAL de R$ 400.000,00 (QUATROCENTOS MIL REAIS), que deverão ser satisfeitas pela atual credora e proprietária das áreas de terras HOTEL PRINCESA DOS VALES LTDA.
                 Atualmente, através de CONTRATO PARTICULAR DE ARRENDAMENTO, a área total está arrendada para a FAMÍLIA LORENZETTI, pelo prazo de 03 (três) anos seguidos e ininterruptos, iniciando-se no ano de 2023 (02 de maio de 2023) e tendo como última safra o ano de 2026 (30 de abril de 2026). As áreas estas inseridas dentro da FAZENDA SÃO CRISPIN, localizada na Capela de São Sebastião, no Distrito do Chimarrão, no Município de André da Rocha – RS, dentro de uma área total de 411,4 ha (Quatrocentos e onze hectares + quatro mil metros quadrados).
                 a)  155,0 hectares = 18 (DEZOITO) sacas de soja, ao hectare plantado = 2.790 (DUAS MIL, SETECENTAS E NOVENTA) sacas de soja, ao ano.
                 b)  30,0 hectares = 30 (TRINTA) sacas de soja, ao hectare plantado = 900 (NOVECENTAS) sacas de soja, ao ano. Esta área será utilizada para o plantio de batatas.
                 c)  157,5 hectares, desde o ano de 2023, ficou dentre as partes estabelecido, que os ARREDANTÁRIOS usarão a área do campo nativo – área da fazenda não utilizada para o plantio de produtos agrícolas – para a criação de bovinos, que por este arrendamento de área do campo nativo, pagarão para a ARRENDADORA a quantia de 3.000,00 (TRÊS MIL QUILOS) de BOI, ao ano, ao preço da época, para cada invernada de 100,0 ha (CEM HECTARES) alugada, devendo ser paga no MÊS DE DEZEMBRO, de cada ano.
                 d)  68,9 hectares, não incidirá qualquer pagamento, visto que se trata de áreas isoladas em toda a extensão da fazenda impróprias para qualquer cultivo agrícola ou uso para pecuária. Trata-se de áreas que são compostas por matos, capões e pedras.
O valor real acima apontado não é líquido, à medida que:
a)  O valor patrimonial lançado sofrerá redução pela regularização dos imóveis, o que se estima numa redução de R$ 400.000,00 (QUATROCENTOS MIL REAIS) do valor avalizado da FAZENDA SÃO CRISPÍN,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 </t>
    </r>
  </si>
  <si>
    <r>
      <rPr>
        <rFont val="Calibri"/>
        <color theme="1"/>
        <sz val="10.0"/>
      </rPr>
      <t xml:space="preserve">Um lote urbano nº 28 – Quadra nº 38, com área de 360,00m², devidamente registrado no Ofício de Registro de Imóveis da Comarca de Capão da Canoa – RS, sob Matrícula nº 73.482, com a Inscrição Imobiliária nº 360.0038.028.000 e Código de Imóvel </t>
    </r>
    <r>
      <rPr>
        <rFont val="Calibri"/>
        <b/>
        <color theme="1"/>
        <sz val="10.0"/>
      </rPr>
      <t>nº 039427</t>
    </r>
    <r>
      <rPr>
        <rFont val="Calibri"/>
        <color theme="1"/>
        <sz val="10.0"/>
      </rPr>
      <t xml:space="preserve"> localizado nas proximidades do Hotel Araçá Ltda. Lote Estacionamento do Bigode.</t>
    </r>
  </si>
  <si>
    <t>VENDAS SÃO CRISPIN</t>
  </si>
  <si>
    <t>Um lote urbano denominado de lote nº 15, da quadra nº 02,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adquirida em maio de 2014, por Contrato de Particular Compra e Venda, com móveis e utensílios, no valor total global de R$ 750.000,00, totalmente quitada</t>
  </si>
  <si>
    <r>
      <rPr>
        <rFont val="Calibri"/>
        <color theme="1"/>
        <sz val="10.0"/>
      </rPr>
      <t xml:space="preserve">Um lote urbano nº 15 – Quadra nº 37, com área de 360,00m², devidamente registrado no Ofício de Registro de Imóveis da Comarca de Capão da Canoa – RS, sob Matrícula nº 86.669, com a Inscrição Imobiliária nº 360.0037.015.000.000 e Código de Imóvel </t>
    </r>
    <r>
      <rPr>
        <rFont val="Calibri"/>
        <b/>
        <color theme="1"/>
        <sz val="10.0"/>
      </rPr>
      <t>nº 39394</t>
    </r>
    <r>
      <rPr>
        <rFont val="Calibri"/>
        <color theme="1"/>
        <sz val="10.0"/>
      </rPr>
      <t>, localizado nas proximidades do Hotel Araçá Ltda. – Lateral do Hotel.</t>
    </r>
  </si>
  <si>
    <t>Lote:7 | Quadra:A - 6364 | valor:R$ 305.000,00</t>
  </si>
  <si>
    <r>
      <rPr>
        <rFont val="Calibri"/>
        <color theme="1"/>
        <sz val="10.0"/>
      </rPr>
      <t xml:space="preserve">Um lote urbano nº 17 – Quadra nº 37, com área de 360,00m², devidamente registrado no Ofício de Registro de Imóveis da Comarca de Osório – RS, sob Matrícula nº 124.906, com a Inscrição Imobiliária nº 360.0037.017.000.000 e Código de Imóvel </t>
    </r>
    <r>
      <rPr>
        <rFont val="Calibri"/>
        <b/>
        <color theme="1"/>
        <sz val="10.0"/>
      </rPr>
      <t>nº 39396</t>
    </r>
    <r>
      <rPr>
        <rFont val="Calibri"/>
        <color theme="1"/>
        <sz val="10.0"/>
      </rPr>
      <t>, localizado nas proximidades do Hotel Araçá Ltda. – Lateral do Hotel.</t>
    </r>
  </si>
  <si>
    <t>Lote:10 | Quadra:C - 6366 | valor:R$ 305.000,00</t>
  </si>
  <si>
    <t>Lote:11 | Quadra:C - 6366 | valor:R$ 367.000,00</t>
  </si>
  <si>
    <t>OBSERVAÇÕES: 
É necessário UNIFICAR OS LOTES ONDE ESTÁ CONSTRUÍDO O HOTEL, com mais os lotes que fazem parte do mesmo quarteirão, conforme o interesse e necessidade, para fins de efetuar a averbação da obra – prédio – na Matrícula unificada no Ofício de Registro de Imóveis da Comarca de Capão da Canoa – RS.
É necessário APROVAR todos os PROJETOS DO HOTEL (arquitetônico, elétrico, hidrossanitário, etc.), conforme como a obra está executada, junto à Prefeitura Municipal de Capão da Canoa – RS, para a devida obtenção do HABITE-SE.
É necessário PAGAR o I.N.S.S. DA OBRA, para fins de efetuar a averbação da obra – prédio – na Matrícula unificada no Ofício de Registro de Imóveis da Comarca de Capão da Canoa – RS.
Dos bens imóveis instalados sobre a propriedade da empresa, carecem de regularização:
A EDIFICAÇÃO DA PRÉDIO DO HOTEL (04 ANDARES), ÁREA DAS PISCINAS EXTERNAS E SALÃO DE CONVENÇÕES/EVENTOS: APROVAR o PROJETO junto à Prefeitura de Capão da Canoa - RS, pagar o I.N.S.S. resultante sobre a obra – HOTEL E DEPENDÊNCIAS ADJACENTES – para fins de averbação das benfeitorias na Matrícula do Imóvel Unificada, junto o Ofício de Registro de Imóveis da Comarca de Capão da Canoa – RS.
Conforme cálculo realizado para projetar o custo do imposto – I.N.S.S. – resulta numa importância de aproximadamente R$ 1.601.357,90 (Hum milhão, seiscentos e um mil, trezentos e cinquenta e sete reais e noventa centavos), afora ainda os custos de: A.P.P.C.I., A.R.T., ENGENHEIRO CIVIL, TAXAS PARA UNIFICAÇÃO DOS LOTES E APROVAÇÕES, EMOLUMENTOS DE REGISTRO, dentre outras despesas afins. 
O valor real acima apontado não é líquido, à medida que:
a) O valor patrimonial lançado no “ÍTEM 01 DO INVENTÁRIO”, sofrerá redução pela regularização do imóvel, o que se estima numa redução de aproximadamente 4,00% = R$ 2.000.000,00 (DOIS MILHÕES DE REAIS) do valor avalizado do HOTEL ARAÇÁ LTDA.,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t>
  </si>
  <si>
    <t>Lote:12 | Quadra:C - 6366 | valor:R$ 367.000,00</t>
  </si>
  <si>
    <t>Lote:13 | Quadra:C - 6366 | valor:R$ 286.000,00</t>
  </si>
  <si>
    <r>
      <rPr>
        <rFont val="Calibri"/>
        <b/>
        <color theme="1"/>
        <u/>
      </rPr>
      <t>2025 -&gt; Descrição da venda de 190 hectares:</t>
    </r>
    <r>
      <rPr>
        <rFont val="Calibri"/>
        <b/>
        <color theme="1"/>
      </rPr>
      <t xml:space="preserve">    (média R$ 49.726.30 – aumento de 38.19%)</t>
    </r>
    <r>
      <rPr>
        <rFont val="Calibri"/>
        <color theme="1"/>
      </rPr>
      <t xml:space="preserve">
Vendido em 2018, uma área de terras de </t>
    </r>
    <r>
      <rPr>
        <rFont val="Calibri"/>
        <b/>
        <color theme="1"/>
      </rPr>
      <t xml:space="preserve">190,0 hectares </t>
    </r>
    <r>
      <rPr>
        <rFont val="Calibri"/>
        <color theme="1"/>
      </rPr>
      <t xml:space="preserve">para a FAMILIA RIGO, ao valor de </t>
    </r>
    <r>
      <rPr>
        <rFont val="Calibri"/>
        <b/>
        <color theme="1"/>
      </rPr>
      <t>R$ 49.726,30, ao hectare</t>
    </r>
    <r>
      <rPr>
        <rFont val="Calibri"/>
        <color theme="1"/>
      </rPr>
      <t>, de forma parcelada =</t>
    </r>
    <r>
      <rPr>
        <rFont val="Calibri"/>
        <b/>
        <color theme="1"/>
      </rPr>
      <t xml:space="preserve"> </t>
    </r>
    <r>
      <rPr>
        <rFont val="Calibri"/>
        <b/>
        <color theme="1"/>
        <u/>
      </rPr>
      <t>R$ 9.448.000,00 = 118.100 SC SOJA</t>
    </r>
    <r>
      <rPr>
        <rFont val="Calibri"/>
        <b/>
        <color theme="1"/>
      </rPr>
      <t>.</t>
    </r>
    <r>
      <rPr>
        <rFont val="Calibri"/>
        <color theme="1"/>
      </rPr>
      <t xml:space="preserve">
</t>
    </r>
    <r>
      <rPr>
        <rFont val="Calibri"/>
        <b/>
        <color theme="1"/>
      </rPr>
      <t>R$ 3.000.000,00 – À VISTA, equivalente a 37.500 SACAS DE SOJA.</t>
    </r>
    <r>
      <rPr>
        <rFont val="Calibri"/>
        <color theme="1"/>
      </rPr>
      <t xml:space="preserve">
</t>
    </r>
    <r>
      <rPr>
        <rFont val="Calibri"/>
        <b/>
        <color theme="1"/>
      </rPr>
      <t>20.150 SACAS DE SOJA</t>
    </r>
    <r>
      <rPr>
        <rFont val="Calibri"/>
        <color theme="1"/>
      </rPr>
      <t xml:space="preserve"> em MAIO DE 2019.                                  O valor da saca de soja
</t>
    </r>
    <r>
      <rPr>
        <rFont val="Calibri"/>
        <b/>
        <color theme="1"/>
      </rPr>
      <t>20.150 SACAS DE SOJA</t>
    </r>
    <r>
      <rPr>
        <rFont val="Calibri"/>
        <color theme="1"/>
      </rPr>
      <t xml:space="preserve"> em MAIO DE 2020.                                  considerado foi de R$ 80,00
</t>
    </r>
    <r>
      <rPr>
        <rFont val="Calibri"/>
        <b/>
        <color theme="1"/>
      </rPr>
      <t>20.150 SACAS DE SOJA</t>
    </r>
    <r>
      <rPr>
        <rFont val="Calibri"/>
        <color theme="1"/>
      </rPr>
      <t xml:space="preserve"> em MAIO DE 2021. </t>
    </r>
    <r>
      <rPr>
        <rFont val="Calibri"/>
        <b/>
        <color theme="1"/>
      </rPr>
      <t>(FALTA RECEBER)</t>
    </r>
    <r>
      <rPr>
        <rFont val="Calibri"/>
        <color theme="1"/>
      </rPr>
      <t xml:space="preserve">  à saca, conforme preço de 
</t>
    </r>
    <r>
      <rPr>
        <rFont val="Calibri"/>
        <b/>
        <color theme="1"/>
      </rPr>
      <t xml:space="preserve">20.150 SACAS DE SOJA </t>
    </r>
    <r>
      <rPr>
        <rFont val="Calibri"/>
        <color theme="1"/>
      </rPr>
      <t xml:space="preserve">em MAIO DE 2022. </t>
    </r>
    <r>
      <rPr>
        <rFont val="Calibri"/>
        <b/>
        <color theme="1"/>
      </rPr>
      <t>(FALTA RECEBER)</t>
    </r>
    <r>
      <rPr>
        <rFont val="Calibri"/>
        <color theme="1"/>
      </rPr>
      <t xml:space="preserve">  cotação em Outubro/2018
          | </t>
    </r>
    <r>
      <rPr>
        <rFont val="Calibri"/>
        <b/>
        <color theme="1"/>
        <u/>
      </rPr>
      <t>2018 -&gt; Descrição da mesma venda:    (média R$ 35,983.21)</t>
    </r>
    <r>
      <rPr>
        <rFont val="Calibri"/>
        <color theme="1"/>
      </rPr>
      <t xml:space="preserve">
          | Uma área de terras rurais, denominada de </t>
    </r>
    <r>
      <rPr>
        <rFont val="Calibri"/>
        <b/>
        <color theme="1"/>
      </rPr>
      <t>FAZENDA SÃO CRISPIN,</t>
    </r>
    <r>
      <rPr>
        <rFont val="Calibri"/>
        <color theme="1"/>
      </rPr>
      <t xml:space="preserve"> com área total de </t>
    </r>
    <r>
      <rPr>
        <rFont val="Calibri"/>
        <b/>
        <color theme="1"/>
      </rPr>
      <t>106,53 hectares</t>
    </r>
    <r>
      <rPr>
        <rFont val="Calibri"/>
        <color theme="1"/>
      </rPr>
      <t xml:space="preserve">,
          | DENTRO DE UM TODO MAIOR, localizada na Capela de São Sebastião, no Distrito do Chimarrão, no Município de
          | André da Rocha – RS, adquirida do Senhor ALZIR CHIARADIA e AQUILES PIO FRANCESCHETTE,
          | área esta registrada sob Matrícula nº.: 11.090. = 106,53 hectares.
          | área esta registrada sob Matrícula nº.: _____?. = 83,47 hectares
          | Cadastrada no CCIR – Receita Federal sob nº .....
          | Adquirida por CONTRATO DE COMPRA E VENDA, datado de 05 de setembro de 2005.
          | Área Alzir  –  parte produtiva  =  35,00% :       </t>
    </r>
    <r>
      <rPr>
        <rFont val="Calibri"/>
        <b/>
        <color theme="1"/>
      </rPr>
      <t>37,275 ha – R$ 44.000,00 =   R$ 1.640.100,00</t>
    </r>
    <r>
      <rPr>
        <rFont val="Calibri"/>
        <color theme="1"/>
      </rPr>
      <t xml:space="preserve">
          | Área Alzir  –  parte não produtiva = 65,00%:   </t>
    </r>
    <r>
      <rPr>
        <rFont val="Calibri"/>
        <b/>
        <color theme="1"/>
      </rPr>
      <t>69,225 ha – R$ 22.000,00 =  R$ 1.522.950,00</t>
    </r>
    <r>
      <rPr>
        <rFont val="Calibri"/>
        <color theme="1"/>
      </rPr>
      <t xml:space="preserve">
          | Área Jane/João Paulo – 100% produtiva:           </t>
    </r>
    <r>
      <rPr>
        <rFont val="Calibri"/>
        <b/>
        <color theme="1"/>
        <u/>
      </rPr>
      <t>83,47ha – R$ 44.000,00 =   R$ 3.672.680,00</t>
    </r>
    <r>
      <rPr>
        <rFont val="Calibri"/>
        <color theme="1"/>
        <u/>
      </rPr>
      <t>.</t>
    </r>
    <r>
      <rPr>
        <rFont val="Calibri"/>
        <color theme="1"/>
      </rPr>
      <t xml:space="preserve"> 
          |                                                                                                              </t>
    </r>
    <r>
      <rPr>
        <rFont val="Calibri"/>
        <b/>
        <color theme="1"/>
      </rPr>
      <t xml:space="preserve">      TOTAL = </t>
    </r>
    <r>
      <rPr>
        <rFont val="Calibri"/>
        <color theme="1"/>
      </rPr>
      <t xml:space="preserve"> </t>
    </r>
    <r>
      <rPr>
        <rFont val="Calibri"/>
        <b/>
        <color theme="1"/>
      </rPr>
      <t xml:space="preserve">R$ 6,835,730.00 </t>
    </r>
  </si>
  <si>
    <t>Lote:14 | Quadra:C - 6366 | valor:R$ 286.000,00</t>
  </si>
  <si>
    <t>Lote:16 | Quadra:C - 6366 | valor:R$ 414.000,00</t>
  </si>
  <si>
    <t>Lote:17 | Quadra:C - 6366 | valor:R$ 416.000,00</t>
  </si>
  <si>
    <t>Uma área de terras rurais, denominada de PARTE DO LOTE RURAL Nº 24 e 24/E, com área total de 10,2 hectares, localizada na Linha Júlio de Castilhos, no Município de Cotiporã – RS, adquirida do Senhor CELITO PIEROZAN, área esta registrada sob Matrículas nº.: 2.424 e 2.425. = Matrículas nº 2.424 e 2.425 = 10,2 hectares X R$ 50.000,00 = Cadastrada no CCIR – Receita Federal sob nº 2.481.949-2.
Vendido em 2018, a área total para o Senhor ANGELI, pelo valor de R$ 510.000,00 (Quinhentos e dez mil reais), de forma, À VISTA.</t>
  </si>
  <si>
    <t>Lote:11 | Quadra:D - 6367 | valor:R$ 188.000,00</t>
  </si>
  <si>
    <t>29.10</t>
  </si>
  <si>
    <t>Lote:12 | Quadra:D - 6367 | valor:R$ 172.000,00</t>
  </si>
  <si>
    <t>Lote:14 | Quadra:G - 6370 | valor:R$ 148.000,00</t>
  </si>
  <si>
    <r>
      <rPr>
        <rFont val="Calibri"/>
        <b/>
        <color theme="1"/>
      </rPr>
      <t>2025</t>
    </r>
    <r>
      <rPr>
        <rFont val="Calibri"/>
        <color theme="1"/>
      </rPr>
      <t xml:space="preserve">
Vendido em 2018, uma área de terras de </t>
    </r>
    <r>
      <rPr>
        <rFont val="Calibri"/>
        <b/>
        <color theme="1"/>
      </rPr>
      <t>85,32 hectares</t>
    </r>
    <r>
      <rPr>
        <rFont val="Calibri"/>
        <color theme="1"/>
      </rPr>
      <t xml:space="preserve"> para a </t>
    </r>
    <r>
      <rPr>
        <rFont val="Calibri"/>
        <b/>
        <color theme="1"/>
      </rPr>
      <t>FAMILIA PELLEGRINI</t>
    </r>
    <r>
      <rPr>
        <rFont val="Calibri"/>
        <color theme="1"/>
      </rPr>
      <t xml:space="preserve">, ao valor de </t>
    </r>
    <r>
      <rPr>
        <rFont val="Calibri"/>
        <b/>
        <color theme="1"/>
      </rPr>
      <t>R$ 2.100.000,00</t>
    </r>
    <r>
      <rPr>
        <rFont val="Calibri"/>
        <color theme="1"/>
      </rPr>
      <t xml:space="preserve"> (Dois milhões e cem mil reais), de forma parcelada e mais a quantidade de 41 (Quarenta e uma) cabeças de gado.
</t>
    </r>
    <r>
      <rPr>
        <rFont val="Calibri"/>
        <b/>
        <color theme="1"/>
      </rPr>
      <t>R$ 100.000,00 – 41 cabeças de gado.</t>
    </r>
    <r>
      <rPr>
        <rFont val="Calibri"/>
        <color theme="1"/>
      </rPr>
      <t xml:space="preserve">
</t>
    </r>
    <r>
      <rPr>
        <rFont val="Calibri"/>
        <b/>
        <color theme="1"/>
      </rPr>
      <t>R$ 2.000.000,00 – 85,32 ha</t>
    </r>
    <r>
      <rPr>
        <rFont val="Calibri"/>
        <color theme="1"/>
      </rPr>
      <t xml:space="preserve">, sendo valor de </t>
    </r>
    <r>
      <rPr>
        <rFont val="Calibri"/>
        <b/>
        <color theme="1"/>
      </rPr>
      <t>R$ 23.441,16, ao hectare</t>
    </r>
    <r>
      <rPr>
        <rFont val="Calibri"/>
        <color theme="1"/>
      </rPr>
      <t xml:space="preserve">.  
</t>
    </r>
    <r>
      <rPr>
        <rFont val="Calibri"/>
        <b/>
        <color theme="1"/>
      </rPr>
      <t>R$ 1.100.000,00</t>
    </r>
    <r>
      <rPr>
        <rFont val="Calibri"/>
        <color theme="1"/>
      </rPr>
      <t xml:space="preserve"> – À VISTA.
</t>
    </r>
    <r>
      <rPr>
        <rFont val="Calibri"/>
        <b/>
        <color theme="1"/>
      </rPr>
      <t>R$ 1.000.000,00</t>
    </r>
    <r>
      <rPr>
        <rFont val="Calibri"/>
        <color theme="1"/>
      </rPr>
      <t xml:space="preserve"> – JUNHO/2019.</t>
    </r>
  </si>
  <si>
    <t>Lote:7 | Quadra:H - 6371 | valor:R$ 152.000,00</t>
  </si>
  <si>
    <t>Lote:8 | Quadra:H - 6371 | valor:R$ 152.000,00</t>
  </si>
  <si>
    <t>Lote:11 | Quadra:H - 6371 | valor:R$ 141.000,00</t>
  </si>
  <si>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4,9 hectares, localizada na Capela de São Sebastião, no Distrito do Chimarrão, no Município de André da Rocha – RS, adquirida do Senhor JOÃO ANASTÁCIO ANTÔNIO RODRIGUES, área esta registrada sob </t>
    </r>
    <r>
      <rPr>
        <rFont val="Calibri"/>
        <b/>
        <color theme="1"/>
      </rPr>
      <t>Matrícula nº.: 982.</t>
    </r>
    <r>
      <rPr>
        <rFont val="Calibri"/>
        <color theme="1"/>
      </rPr>
      <t xml:space="preserve">
Matrícula nº 982 = </t>
    </r>
    <r>
      <rPr>
        <rFont val="Calibri"/>
        <b/>
        <color theme="1"/>
      </rPr>
      <t>4,9 hectares.</t>
    </r>
    <r>
      <rPr>
        <rFont val="Calibri"/>
        <color theme="1"/>
      </rPr>
      <t xml:space="preserve">
Cadastrada no CCIR – Receita Federal sob nº 6.213.278-4
Área Anastácio – parte não produtiva = 100,00% = </t>
    </r>
    <r>
      <rPr>
        <rFont val="Calibri"/>
        <b/>
        <color theme="1"/>
      </rPr>
      <t>4,9 ha – R$ 22.000,00  = R$ 107.800,00</t>
    </r>
    <r>
      <rPr>
        <rFont val="Calibri"/>
        <color theme="1"/>
      </rPr>
      <t xml:space="preserve">
</t>
    </r>
    <r>
      <rPr>
        <rFont val="Calibri"/>
        <b/>
        <color theme="1"/>
      </rPr>
      <t>Vendido para Família Pelegrini</t>
    </r>
  </si>
  <si>
    <t>Loteamento da Família Falavigna, localizado na cidade de Flores da Cunha – RS, num total de aproximadamente 30 lotes.</t>
  </si>
  <si>
    <r>
      <rPr>
        <rFont val="Calibri"/>
        <b/>
        <color theme="1"/>
      </rPr>
      <t>2018</t>
    </r>
    <r>
      <rPr>
        <rFont val="Calibri"/>
        <color theme="1"/>
      </rPr>
      <t xml:space="preserve">
Uma área de terras rurais, denominada de </t>
    </r>
    <r>
      <rPr>
        <rFont val="Calibri"/>
        <b/>
        <color theme="1"/>
      </rPr>
      <t>FRAÇÃO IDEAL</t>
    </r>
    <r>
      <rPr>
        <rFont val="Calibri"/>
        <color theme="1"/>
      </rPr>
      <t xml:space="preserve">, com área total de 10,0 hectares, DENTRO DE UM TODO MAIOR, localizada na Capela de São Sebastião, no Distrito do Chimarrão, no Município de André da Rocha – RS, adquirida do Senhor AITO ANTÔNIO DA SILVERIRA VIEIRA, área esta registrada sob </t>
    </r>
    <r>
      <rPr>
        <rFont val="Calibri"/>
        <b/>
        <color theme="1"/>
      </rPr>
      <t>Matrícula nº 11.661 = 10,0 hectares</t>
    </r>
    <r>
      <rPr>
        <rFont val="Calibri"/>
        <color theme="1"/>
      </rPr>
      <t xml:space="preserve">.
Cadastrada no CCIR – Receita Federal sob nº...........
Adquirida por CONTRATO DE COMPRA E VENDA, datado de 26 de setembro de 2007.
Área Aito – parte não produtiva = 100,00% = </t>
    </r>
    <r>
      <rPr>
        <rFont val="Calibri"/>
        <b/>
        <color theme="1"/>
      </rPr>
      <t>10,0 ha  –  R$ 22.000,00  =        R$ 220.000,00</t>
    </r>
    <r>
      <rPr>
        <rFont val="Calibri"/>
        <color theme="1"/>
      </rPr>
      <t xml:space="preserve">
</t>
    </r>
    <r>
      <rPr>
        <rFont val="Calibri"/>
        <b/>
        <color theme="1"/>
      </rPr>
      <t>Vendido para Família Pelegrini</t>
    </r>
  </si>
  <si>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26,16 hectares, localizada na Capela de São Sebastião, no Distrito do Chimarrão, no Município de André da Rocha – RS, adquirida do Senhor ADEMAR RIBEIRO, área esta registrada sob Matrícula nº.: ...............
Matrícula nº ................ = 26,16 hectares.
Cadastrada no CCIR – Receita Federal sob nº ..........................
Área Ademar–parte não produtiva = 100,00% = </t>
    </r>
    <r>
      <rPr>
        <rFont val="Calibri"/>
        <b/>
        <color theme="1"/>
      </rPr>
      <t>26,16 ha – R$ 22.000,00  =  R$ 575.520,00</t>
    </r>
    <r>
      <rPr>
        <rFont val="Calibri"/>
        <color theme="1"/>
      </rPr>
      <t xml:space="preserve">
</t>
    </r>
    <r>
      <rPr>
        <rFont val="Calibri"/>
        <b/>
        <color theme="1"/>
      </rPr>
      <t>Vendido para Família Pelegrini</t>
    </r>
  </si>
  <si>
    <r>
      <rPr>
        <rFont val="Calibri"/>
        <b/>
        <color theme="1"/>
      </rPr>
      <t>2018</t>
    </r>
    <r>
      <rPr>
        <rFont val="Calibri"/>
        <color theme="1"/>
      </rPr>
      <t xml:space="preserve">
Uma área de terras rurais, denominada de </t>
    </r>
    <r>
      <rPr>
        <rFont val="Calibri"/>
        <b/>
        <color theme="1"/>
      </rPr>
      <t>FAZENDA TRÊS PORTEIRAS</t>
    </r>
    <r>
      <rPr>
        <rFont val="Calibri"/>
        <color theme="1"/>
      </rPr>
      <t xml:space="preserve">, com área total de 44,16 hectares, localizada na Capela de São Sebastião, no Distrito do Chimarrão, no Município de André da Rocha – RS, área esta registrada sob Matrícula nº.:
Matrícula nº ......... = 44,1 hectares.
Cadastrada no CCIR – Receita Federal sob nº 2.566.238-4
Área Garbin – parte não produtiva = 100,00% = </t>
    </r>
    <r>
      <rPr>
        <rFont val="Calibri"/>
        <b/>
        <color theme="1"/>
      </rPr>
      <t>44,16 ha – R$ 22.000,00  =   R$ 971.520,00</t>
    </r>
    <r>
      <rPr>
        <rFont val="Calibri"/>
        <color theme="1"/>
      </rPr>
      <t xml:space="preserve">
</t>
    </r>
    <r>
      <rPr>
        <rFont val="Calibri"/>
        <b/>
        <color theme="1"/>
      </rPr>
      <t>Vendido para Família Pelegrini</t>
    </r>
  </si>
  <si>
    <t>Lote:23 | Quadra:172 | valor:R$ R$934.00</t>
  </si>
  <si>
    <t>Lote:22 | Quadra:174 | valor:R$ R$581.00</t>
  </si>
  <si>
    <t>Lote:16 | Quadra:175 | valor:R$ R$494.00</t>
  </si>
  <si>
    <t>Lote:17 | Quadra:175 | valor:R$ R$406.00</t>
  </si>
  <si>
    <t>Lote:20 | Quadra:175 | valor:R$ R$406.00</t>
  </si>
  <si>
    <t>Lote:21 | Quadra:175 | valor:R$ R$406.00</t>
  </si>
  <si>
    <t>Lote:24 | Quadra:175 | valor:R$ R$406.00</t>
  </si>
  <si>
    <t>Lote:25 | Quadra:175 | valor:R$ R$405.00</t>
  </si>
  <si>
    <t>Lote:26 | Quadra:175 | valor:R$ R$593.00</t>
  </si>
  <si>
    <t>30.10</t>
  </si>
  <si>
    <t>Lote:28 | Quadra:175 | valor:R$ R$532.00</t>
  </si>
  <si>
    <t>30.11</t>
  </si>
  <si>
    <t>Lote:26 | Quadra:322 | valor:R$ R$688.00</t>
  </si>
  <si>
    <t>30.12</t>
  </si>
  <si>
    <t>Lote:27 | Quadra:322 | valor:R$ R$688.00</t>
  </si>
  <si>
    <t>30.13</t>
  </si>
  <si>
    <t>Lote:29 | Quadra:322 | valor:R$ R$758.00</t>
  </si>
  <si>
    <t>30.14</t>
  </si>
  <si>
    <t>Lote:6 | Quadra:876 | valor:R$ R$504.00</t>
  </si>
  <si>
    <t>30.15</t>
  </si>
  <si>
    <t>Lote:7 | Quadra:876 | valor:R$ R$504.00</t>
  </si>
  <si>
    <t>30.16</t>
  </si>
  <si>
    <t>Lote:8 | Quadra:876 | valor:R$ R$504.00</t>
  </si>
  <si>
    <t>30.17</t>
  </si>
  <si>
    <t>Lote:11 | Quadra:876 | valor:R$ R$679.00</t>
  </si>
  <si>
    <t>30.18</t>
  </si>
  <si>
    <t>Lote:12 | Quadra:876 | valor:R$ R$655.00</t>
  </si>
  <si>
    <t>30.19</t>
  </si>
  <si>
    <t>Lote:13 | Quadra:876 | valor:R$ R$763.00</t>
  </si>
  <si>
    <t>30.20</t>
  </si>
  <si>
    <t>Lote:17 | Quadra:876 | valor:R$ R$576.00</t>
  </si>
  <si>
    <t>30.21</t>
  </si>
  <si>
    <t>Lote:4 | Quadra:877 | valor:R$ R$565.00</t>
  </si>
  <si>
    <t>30.22</t>
  </si>
  <si>
    <t>Lote:5 | Quadra:877 | valor:R$ R$565.00</t>
  </si>
  <si>
    <t>30.23</t>
  </si>
  <si>
    <t>Lote:6 | Quadra:877 | valor:R$ R$646.00</t>
  </si>
  <si>
    <t>30.24</t>
  </si>
  <si>
    <t>Lote:10 | Quadra:877 | valor:R$ R$771.00</t>
  </si>
  <si>
    <t>30.25</t>
  </si>
  <si>
    <t>Lote:11 | Quadra:877 | valor:R$ R$759.00</t>
  </si>
  <si>
    <t>30.26</t>
  </si>
  <si>
    <t>Lote:12 | Quadra:877 | valor:R$ R$823.00</t>
  </si>
  <si>
    <t>30.27</t>
  </si>
  <si>
    <t>Lote:4 | Quadra:878 | valor:R$ R$595.00</t>
  </si>
  <si>
    <t>30.28</t>
  </si>
  <si>
    <t>Lote:5 | Quadra:878 | valor:R$ R$595.00</t>
  </si>
  <si>
    <t>30.29</t>
  </si>
  <si>
    <t>Lote:12 | Quadra:878 | valor:R$ R$684.00</t>
  </si>
  <si>
    <t>30.30</t>
  </si>
  <si>
    <t>Lote:13 | Quadra:878 | valor:R$ R$731.00</t>
  </si>
  <si>
    <t>Loteamento Reserva Paradiso, localizado na cidade de Carlos Barbosa – RS, num saldo de 01 lote.</t>
  </si>
  <si>
    <t>TRANSPORTADORA IRMÃOS SIVIERO LTDA.</t>
  </si>
  <si>
    <t>Lote:623 | Quadra:104| valor:R$ R$500000</t>
  </si>
  <si>
    <t>?</t>
  </si>
  <si>
    <t>A.</t>
  </si>
  <si>
    <t>Um terreno urbano, com a área de 8.700,00m², localizado na Rodovia BR 470, Km 175,4, no Bairro São Pelegrino, devidamente registrado no Ofício de Registro de Imóveis da Comarca de Veranópolis, sob Matrícula nº 3.753, que faz fundos e acesso na lateral com a área da Abastecedora de Combustíveis Siviero Ltda., onde está instalada a OFICINA MECÂNICA = considerado o valor de R$ 992,78, ao metro quadrado.</t>
  </si>
  <si>
    <t>Loteamento Cichelero, localizado na cidade de Carlos Barbosa – RS, num saldo de 10 lotes, ao valor de R$ 100.000,00, cada lote – Valor da média considerada dentre os lotes. | Valor R$ 1.000.000.00</t>
  </si>
  <si>
    <t>Um pavilhão novo – em fase FINAL de construção – onde está sendo instalada a OFICINA MECÂNICA, não sendo considerado o valor da construção do mezanino com área construída de 1.298,00m² - valor de R$ 1.100,00, ao metro = R$ 1.427.800,00.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</si>
  <si>
    <t>Equipamentos em geral, como: macacos, guindastes; ferramentas em geral de todas as espécies e de necessidade para o funcionamento da oficina mecânica, peças, óleos e graxas – todo o estoque existente na oficina, telefone, câmeras de monitoramento, etc.</t>
  </si>
  <si>
    <t>Uma rampa de lavagem devidamente licenciada para lavagem de caminhões pesados e carros, que pode ser utilizada para fins próprios ou manter locada para terceiros. Os equipamentos são de propriedade da empresa locatária.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</si>
  <si>
    <t>Loteamento Princesa dos Vales, localizado na cidade de Carlos Barbosa – RS, num saldo de 01 lote, ao valor de R$ 90.000,00, cada lote – Valor da média considerada dentre os lotes.</t>
  </si>
  <si>
    <t>Uma borracharia, que pode ser utilizada para fins próprios ou manter locada para terceiros. Os equipamentos são de propriedade da empresa locatária.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</si>
  <si>
    <t xml:space="preserve">Loteamento Morada da Colina, localizado na cidade de Veranópolis – RS, num saldo de 00 lotes, ao valor de R$ 500.000,00, cada lote – Valor da média considerada dentre os lotes.
</t>
  </si>
  <si>
    <t>Existe algum motivo para esse loteamento constar na lista tendo ZERO lotes?</t>
  </si>
  <si>
    <t>Uma sala comercial, utilizada com o escritório das empresas, localizada na Avenida Pinheiro Machado, nº 710, Sala nº 01, Bairro Centro, no Edifício Luiz Siviero, na cidade de Veranópolis – RS, com área de 243,30m², devidamente registrada no Ofício de Registros de Imóveis da Comarca de Veranópolis – RS, sob Matrícula nº 7.393.
CUB ao metro quadrado X R$ 3.236,85 + instalações.</t>
  </si>
  <si>
    <t>Loteamento Baú, localizado na cidade de Carlos Barbosa – RS, num saldo de 02 lotes, ao valor de R$ 130.000,00, cada lote – Valor da média considerada dentre os lotes.</t>
  </si>
  <si>
    <t>Loteamento Bella Visione, localizado na cidade de Carlos Barbosa – RS, num saldo de 00 lotes, ao valor de R$ 100.000,00, cada lote – Valor da média considerada dentre os lotes.</t>
  </si>
  <si>
    <t xml:space="preserve">Uma área de terras rurais, denominada de LOTES RURAIS Nº 63, 65, 66 e LETRA “N”, com área total de 69,8 hectares, localizada na Linha Júlio de Castilhos, Capela de São Brás, no Município de Cotiporã – RS, área esta registrada sob Matrículas nº.: 459, 460, 461 e 558. Considerado o valor médio de R$ 50.000,00, ao ha.
Matrículas nº 459, 460, 461 e 558 = 69,8 hectares.
Cadastrada no CCIR – Receita Federal sob nº 2.898.227-4
</t>
  </si>
  <si>
    <t>Loteamento Delta – Nilumar, localizado na cidade de Caxias do Sul – RS, num saldo de 03 lotes, ao valor de R$ 75.000,00, cada lote – Valor da média considerada dentre os lotes.</t>
  </si>
  <si>
    <t>Uma área de terras rurais, denominada de Parte do lote Rural nº 63, da Linha Dr. Júlio de Castilhos, com área total de 4,5 hectares, DENTRO DE UM TODO MAIOR, localizada ao lado das terras na Capela de São Brás, no Município de Cotiporã – RS, adquirida do Senhor Tercílio Dal Más, área está registrada sob Registro nº.: 15.922 = 4,5 hectares. Considerado o valor médio de R$ 50.000,00, ao ha.
Cadastrada no CCIR – Receita Federal sob nº .........
Adquirida por CONTRATO DE COMPRA E VENDA, datado de 25 setembro de 2008, pelo valor de R$ 50.000,00.</t>
  </si>
  <si>
    <t>Loteamento Femaçã, localizado na cidade de Veranópolis – RS, num saldo de 05 lotes, ao valor de R$ 120.000,00, cada lote – Valor da média considerada dentre os lotes.</t>
  </si>
  <si>
    <t xml:space="preserve">Loteamento Irmãos Boff, localizado na cidade de Veranópolis – RS, num saldo de 01 lote, ao valor de R$ 60.000,00, cada lote – Valor da média considerada dentre os lotes.
</t>
  </si>
  <si>
    <t>Um apartamento residencial, localizado na Avenida Pinheiro Machado, nº 710, denominado de nº 401, Bairro Centro, no Edifício Luiz Siviero, na cidade de Veranópolis – RS, com área total de 168,91m², área privativa de 127,05m², devidamente registrado no Ofício de Registros de Imóveis da Comarca de Veranópolis – RS, sob Matrícula nº 7.400.</t>
  </si>
  <si>
    <t>Loteamento Lovison, localizado na cidade de Nova Prata – RS, num saldo de 00 lotes, ao valor de R$ 100.000,00, cada lote – Valor da média considerada dentre os lotes.</t>
  </si>
  <si>
    <t>Um veículo caminhão SCANIA = PLACA IKR 2054, ano 2002. Trabalha para a JBS – Thiago Binda.</t>
  </si>
  <si>
    <t>Loteamento Prata, localizado na cidade de Nova Prata – RS, num saldo de 02 lotes, ao valor de R$ 90.000,00, cada lote – Valor da média considerada dentre os lotes.</t>
  </si>
  <si>
    <t>Uma carreta RANDON = PLACA IQB 0612, ano 2009.</t>
  </si>
  <si>
    <t>Loteamento São Roque, localizado na cidade de Carlos Barbosa – RS, num saldo de 00 lotes, ao valor de R$ 100.000,00, cada lote – Valor da média considerada dentre os lotes.</t>
  </si>
  <si>
    <t>.</t>
  </si>
  <si>
    <t>Um veículo caminhão SCANIA = PLACA IJZ 5399, ano 2001. Trabalha para a SEI – prancha.</t>
  </si>
  <si>
    <t>Loteamento Sol Nascente II, localizado na cidade de Antônio Prado – RS, num saldo de 02 lotes, ao valor de R$ 100.000,00, cada lote – Valor da média considerada dentre os lotes.
- FALTA A INSTALAÇÃO DA REDE DE ÁGUA.</t>
  </si>
  <si>
    <t>Loteamento Viero, localizado na cidade de Farroupilha – RS, num saldo de 08 lotes, ao valor de R$ 80.000,00, cada lote – Valor da média considerada dentre os lotes.</t>
  </si>
  <si>
    <r>
      <rPr>
        <rFont val="Calibri"/>
        <color theme="1"/>
        <sz val="10.0"/>
      </rPr>
      <t xml:space="preserve">Um lote urbano nº 03 – Quadra nº 19, com área de 450,00m², devidamente registrado no Ofício de Registro de Imóveis da Comarca de Capão da Canoa – RS, sob Matrícula nº 77.832 (antiga matrícula 37.549), com a Inscrição Imobiliária nº 360.0019.003.000 e Código de Imóvel </t>
    </r>
    <r>
      <rPr>
        <rFont val="Calibri"/>
        <b/>
        <color theme="1"/>
        <sz val="10.0"/>
      </rPr>
      <t>nº 038998</t>
    </r>
    <r>
      <rPr>
        <rFont val="Calibri"/>
        <color theme="1"/>
        <sz val="10.0"/>
      </rPr>
      <t>, localizado nas proximidades do Hotel Araçá Ltda. – Casa da Praça.</t>
    </r>
  </si>
  <si>
    <t>Uma carreta RANDON = PLACA IJZ 8207, ano 2001.</t>
  </si>
  <si>
    <t>Loteamento Desmembramento Tedesco I, localizado na cidade de Veranópolis – RS, num total de aproximadamente 00 lotes, ao valor de R$ 100.000,00, cada lote. Total de ..... lotes. Área total de..........m².</t>
  </si>
  <si>
    <t>Uma sala comercial, utilizada com o consultório da Fisioterapeuta Araceli Siviero, localizada na Avenida Dr. José Montaury, nº 1678, Sala nº 01, Bairro Palugana, no Edifício Dona Ângela Siviero, na cidade de Veranópolis – RS, com área de 52,91m², devidamente registrada no Ofício de Registros de Imóveis da Comarca de Veranópolis – RS, sob Matrícula nº 18.952.
02 CUB ao metro quadrado X R$ 1.407,45.</t>
  </si>
  <si>
    <t>Loteamento Desmembramento Tedesco II, localizado na cidade de Veranópolis – RS, num total de aproximadamente 00 lotes, ao valor de R$ 100.000,00, cada lote. Total de ..... lotes. Área total de..........m².</t>
  </si>
  <si>
    <t>Loteamento Colina do Lindóia, localizado na cidade de Farroupilha – RS, num saldo de 00 lotes, ao valor de R$ 100.000,00, cada lote.]</t>
  </si>
  <si>
    <t>Loteamento Fracionamento Pagliari, localizado na cidade de Carlos Barbosa – RS, num saldo de 00 lotes, ao valor de R$ 100.000,00, cada lote.</t>
  </si>
  <si>
    <r>
      <rPr>
        <rFont val="Calibri"/>
        <color theme="1"/>
        <sz val="10.0"/>
      </rPr>
      <t xml:space="preserve">Um lote urbano nº 16 – Quadra nº 37, com área de 360,00m², devidamente registrado no Ofício de Registro de Imóveis da Comarca de Capão da Canoa – RS, sob Matrícula nº 64.782, com a Inscrição Imobiliária nº 360.0037.016.000 e Código de Imóvel </t>
    </r>
    <r>
      <rPr>
        <rFont val="Calibri"/>
        <b/>
        <color theme="1"/>
        <sz val="10.0"/>
      </rPr>
      <t>nº 039395</t>
    </r>
    <r>
      <rPr>
        <rFont val="Calibri"/>
        <color theme="1"/>
        <sz val="10.0"/>
      </rPr>
      <t xml:space="preserve"> localizado nas proximidades do Hotel Araçá Ltda. – Fundos do Hotel.</t>
    </r>
  </si>
  <si>
    <t>Móveis, materiais diversos (mesas, cadeiras, telefone, etc...), equipamentos de informática e outros equipamentos instalados no Escritório das empresas Siviero, na cidade de Veranópolis – RS, na Avenida Pinheiro Machado, nº 710 – Sala nº 01, Bairro Centro.</t>
  </si>
  <si>
    <t>Loteamento Fracionamento Primavera – 02 Quadras, localizado na cidade de Farroupilha – RS, num saldo de 00 lotes, ao valor de R$ 100.000,00, cada lote.</t>
  </si>
  <si>
    <t>Loteamento Martini, localizado na cidade de Veranópolis – RS, num saldo de 00 lotes, ao valor de R$ 100.000,00, cada lote.</t>
  </si>
  <si>
    <t>Loteamento Conte, localizado na cidade de Nova Prata – RS, num saldo de 00 lotes, ao valor de R$ 100.000,00, cada lote.</t>
  </si>
  <si>
    <r>
      <rPr>
        <rFont val="Calibri"/>
        <color theme="1"/>
        <sz val="10.0"/>
      </rPr>
      <t xml:space="preserve">Um lote urbano nº 23 – Quadra nº 37, com área de 360,00m², devidamente registrado no Ofício de Registro de Imóveis da Comarca de Capão da Canoa – RS, sob Matrícula nº 26.373, com a Inscrição Imobiliária nº 360.0071.023.000 e Código de Imóvel </t>
    </r>
    <r>
      <rPr>
        <rFont val="Calibri"/>
        <b/>
        <color theme="1"/>
        <sz val="10.0"/>
      </rPr>
      <t>nº 039839</t>
    </r>
    <r>
      <rPr>
        <rFont val="Calibri"/>
        <color theme="1"/>
        <sz val="10.0"/>
      </rPr>
      <t xml:space="preserve"> localizado nas proximidades do Hotel Araçá Ltda. – Fundos do Hotel.</t>
    </r>
  </si>
  <si>
    <t>SIVIERO TRANSPORTES LTDA.</t>
  </si>
  <si>
    <t>Loteamento São Luiz, localizado na cidade de Vila Flores – RS, num saldo de 00 lotes, ao valor de R$ 100.000,00, cada lote.</t>
  </si>
  <si>
    <t>OBSERVAÇÕES: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
A empresa possui um PROCESSO JUDICIAL em tramitação para cobrança de um valor de aproximadamente R$ 340.000,00 (Trezentos e quarenta mil reais), corrigidos e tratando-se de acordo judicial, NÃO significa que este será o valor ajustado, podendo sofrer consideráveis alterações para viabilização do acordo, contra as empresas: JOVENI TRANSPORTES LTDA. x JBS x FRANGOSUL, referente aos meses de dezembro de 2011, janeiro, fevereiro, março e abril de 2012). O ingresso deu-se, faz-se de não aceitarmos a proposta de pagamento, em 76 (Setenta e seis) parcelas, sem correção.
PROCESSO SOTTILI – BAHIA
O processo está com o Juiz desde novembro de 2024 para homologar ou não o acordo, que a seguradora fez com a autora. Em caso de condenação, o pedido é 01 (um) salário mínimo até que o menino completasse 25 anos. Ele nasceu em 23.05.1996, ou seja, completaria os 25 anos em maio de 2021 e, + 1.000 salários mínimos de dano moral. 
Cálculo:
PENSÃO
R$ 1.518,00 x 12 meses = R$ 18.216,00 x 20 anos = R$ 364.320,00 (considerado o valor atualizado do salário mínimo e por isso não incluso os juros).
DANO MORAL
R$ 1.518,00 x 1.000 = R$ 1.518.000,00.
O dano moral não seria deferido nesse patamar, mas se o Juiz julgar a condenação de 150 salários mínimos na época do acidente com juros desde então (02.04.2001), teremos:
O valor do salário mínimo da época de R$ 180,00 x 150 = R$ 27.000,00 com juros de 12,00% ao ano + correção monetária = R$ 627.000,00. 
Trata-se de uma condenação superior a R$ 1.000.000,00 (HUM MILHÃO DE REAIS). 
Dos bens imóveis instalados sobre uma das propriedades da empresa, carecem ainda de regularização:
PAVILHÃO DA OFICINA MECÂNICA: APROVAR o PROJETO do PAVILHÃO junto à Prefeitura de Veranópolis, pagar o I.N.S.S. resultante sobre a obra – Pavilhão da Oficina – para fins de averbação da benfeitoria na Matrícula do Imóvel, junto o Ofício de Registro de Imóveis da Comarca de Veranópolis – RS.
Conforme cálculo realizado para projetar o custo do imposto – I.N.S.S. – resulta numa importância de aproximadamente R$ 122.254,73 (Cento e vinte e dois mil, duzentos e cinquenta e quatro reais e setenta e três centavos), afora ainda os custos de: A.P.P.C.I., A.R.T., ENGENHEIRO CIVIL, TAXA DE APROVAÇÃO, EMOLUMENTOS DE REGISTRO, dentre outras despesas afins. 
PAVILHÃO DA BORRACHARIA E RAMPA DE LAVAGEM: APROVAR o PROJETO destes PAVILHÕES junto à Prefeitura de Veranópolis, pagar o I.N.S.S. resultantes sobre as obras – para fins de averbação das benfeitorias na Matrícula do Imóvel, junto o Ofício de Registro de Imóveis da Comarca de Veranópolis – RS.
Conforme cálculo realizado para projetar o custo do imposto – I.N.S.S. – resulta numa importância de aproximadamente R$ 62.555,51 (Sessenta e dois mil, quinhentos e cinquenta e cinco reais e cinquenta e um centavos), afora ainda os custos de: A.P.P.C.I., A.R.T., ENGENHEIRO CIVIL, TAXA DE APROVAÇÃO, EMOLUMENTOS DE REGISTRO, dentre outras despesas afins. 
O valor real acima apontado não é líquido, à medida que:
O valor patrimonial lançado sofrerá redução pela regularização dos imóveis, o que se estima numa redução de 1,50% (HUM VÍRGULA CINQUENTA POR CENTO) do valor acima apontado, afora os ônus de eventual dissolução da empresa em relação a parte de algum(ns) sócio(s).
Há que se ter em mente, que haverá ônus de eventual dissolução da empresa em relação a parte de algum(ns) sócio(s), não podendo serem considerados como líquidos os valores alcançados na avaliação patrimonial.
FOI ACRESCENTADO O VALOR DO CAPITAL DE BENS A IMPORTÂNCIA DE R$ 1.135.000,00 AO VALOR CONSTANTE NO BALANÇO PATRIMONIAL (CÓDIGO 1060) – ITENS 03 – 04 – 05.</t>
  </si>
  <si>
    <t>Loteamento Valverde IV, localizado na cidade de Veranópolis – RS, num saldo de 00 lotes, ao valor de R$ 100.000,00, cada lote.</t>
  </si>
  <si>
    <t>Loteamento Medianeira, localizado na cidade de Veranópolis – RS, num saldo de 00 lotes, ao valor de R$ 100.000,00, cada lote.</t>
  </si>
  <si>
    <r>
      <rPr>
        <rFont val="Calibri"/>
        <color theme="1"/>
        <sz val="10.0"/>
      </rPr>
      <t xml:space="preserve">Um lote urbano nº 24 – Quadra nº 37, com área de 307,80m², devidamente registrado no Ofício de Registro de Imóveis da Comarca de Capão da Canoa – RS, sob Matrícula nº 26.374, com a Inscrição Imobiliária nº 360.0071.024.000 e Código de Imóvel </t>
    </r>
    <r>
      <rPr>
        <rFont val="Calibri"/>
        <b/>
        <color theme="1"/>
        <sz val="10.0"/>
      </rPr>
      <t>nº 039840</t>
    </r>
    <r>
      <rPr>
        <rFont val="Calibri"/>
        <color theme="1"/>
        <sz val="10.0"/>
      </rPr>
      <t xml:space="preserve"> localizado nas proximidades do Hotel Araçá Ltda. – Fundos do Hotel.</t>
    </r>
  </si>
  <si>
    <t>Loteamento Zanetti, localizado na cidade de Carlos Barbosa – RS, num saldo de 00 lotes, ao valor de R$ 100.000,00, cada lote.</t>
  </si>
  <si>
    <r>
      <rPr>
        <rFont val="Calibri"/>
        <color theme="1"/>
        <sz val="10.0"/>
      </rPr>
      <t xml:space="preserve">Um lote urbano nº 25 – Quadra nº 37, com área de 307,80m², devidamente registrado no Ofício de Registro de Imóveis da Comarca de Capão da Canoa – RS, sob Matrícula nº 26.375, com a Inscrição Imobiliária nº 360.0071.025.000 e Código de Imóvel </t>
    </r>
    <r>
      <rPr>
        <rFont val="Calibri"/>
        <b/>
        <color theme="1"/>
        <sz val="10.0"/>
      </rPr>
      <t>nº 039841</t>
    </r>
    <r>
      <rPr>
        <rFont val="Calibri"/>
        <color theme="1"/>
        <sz val="10.0"/>
      </rPr>
      <t xml:space="preserve"> localizado nas proximidades do Hotel Araçá Ltda. – Fundos do Hotel.</t>
    </r>
  </si>
  <si>
    <t>CONTRATOS | INDENIZAÇÕES | COMPROMISSOS | EMPRÉSTIMOS</t>
  </si>
  <si>
    <r>
      <rPr>
        <rFont val="Calibri"/>
        <color theme="1"/>
        <sz val="10.0"/>
      </rPr>
      <t xml:space="preserve">Um lote urbano nº 26 – Quadra nº 37, com área de 307,80m², devidamente registrado no Ofício de Registro de Imóveis da Comarca de Capão da Canoa – RS, sob Matrícula nº 26.376, com a Inscrição Imobiliária nº 360.0071.026.000 e Código de Imóvel </t>
    </r>
    <r>
      <rPr>
        <rFont val="Calibri"/>
        <b/>
        <color theme="1"/>
        <sz val="10.0"/>
      </rPr>
      <t>nº 039842</t>
    </r>
    <r>
      <rPr>
        <rFont val="Calibri"/>
        <color theme="1"/>
        <sz val="10.0"/>
      </rPr>
      <t xml:space="preserve"> localizado nas proximidades do Hotel Araçá Ltda. – Fundos do Hotel.</t>
    </r>
  </si>
  <si>
    <r>
      <rPr>
        <rFont val="Calibri"/>
        <color theme="1"/>
        <sz val="10.0"/>
      </rPr>
      <t xml:space="preserve">Um lote urbano nº 27 – Quadra nº 37, com área de 307,80m², devidamente registrado no Ofício de Registro de Imóveis da Comarca de Capão da Canoa – RS, sob Matrícula nº 26.377, com a Inscrição Imobiliária nº 360.0071.027.000 e Código de Imóvel </t>
    </r>
    <r>
      <rPr>
        <rFont val="Calibri"/>
        <b/>
        <color theme="1"/>
        <sz val="10.0"/>
      </rPr>
      <t>nº 039843</t>
    </r>
    <r>
      <rPr>
        <rFont val="Calibri"/>
        <color theme="1"/>
        <sz val="10.0"/>
      </rPr>
      <t xml:space="preserve"> localizado nas proximidades do Hotel Araçá Ltda. – Fundos do Hotel.</t>
    </r>
  </si>
  <si>
    <r>
      <rPr>
        <rFont val="Calibri"/>
        <color theme="1"/>
        <sz val="10.0"/>
      </rPr>
      <t xml:space="preserve">Um lote urbano nº 28 – Quadra nº 37, com área de 307,80m², devidamente registrado no Ofício de Registro de Imóveis da Comarca de Capão da Canoa – RS, sob Matrícula nº 26.378, com a Inscrição Imobiliária nº 360.0071.028.000 e Código de Imóvel </t>
    </r>
    <r>
      <rPr>
        <rFont val="Calibri"/>
        <b/>
        <color theme="1"/>
        <sz val="10.0"/>
      </rPr>
      <t>nº 039844</t>
    </r>
    <r>
      <rPr>
        <rFont val="Calibri"/>
        <color theme="1"/>
        <sz val="10.0"/>
      </rPr>
      <t xml:space="preserve"> localizado nas proximidades do Hotel Araçá Ltda. – Fundos do Hotel.</t>
    </r>
  </si>
  <si>
    <t>Áreas de terras contratadas: Loteamentos em fase de licenciamento e/ou execução</t>
  </si>
  <si>
    <r>
      <rPr>
        <rFont val="Calibri"/>
        <color theme="1"/>
        <sz val="10.0"/>
      </rPr>
      <t>Um lote urbano nº 29 – Quadra nº 37, com área de 360,00m², devidamente registrado no Ofício de Registro de Imóveis da Comarca de Capão da Canoa – RS, sob Matrícula nº 26.379, com a Inscrição Imobiliária nº 360.0071.029.000 e Código de Imóvel</t>
    </r>
    <r>
      <rPr>
        <rFont val="Calibri"/>
        <b/>
        <color theme="1"/>
        <sz val="10.0"/>
      </rPr>
      <t xml:space="preserve"> nº 039845</t>
    </r>
    <r>
      <rPr>
        <rFont val="Calibri"/>
        <color theme="1"/>
        <sz val="10.0"/>
      </rPr>
      <t xml:space="preserve"> localizado nas proximidades do Hotel Araçá Ltda. – Fundos do Hotel.</t>
    </r>
  </si>
  <si>
    <t>Um veículo ônibus PLACA IUY 8068 – MARCOPOLO VOLARE, ano 2014, no valor comercial de R$ 250.000,00 (está financiado).</t>
  </si>
  <si>
    <r>
      <rPr>
        <rFont val="Calibri"/>
        <color theme="1"/>
        <sz val="10.0"/>
      </rPr>
      <t xml:space="preserve">Um lote urbano nº 09 – Quadra nº 38, com área de 360,00m², devidamente registrado no Ofício de Registro de Imóveis da Comarca de Capão da Canoa – RS, sob Matrícula nº 37.846, com a Inscrição Imobiliária nº 360.0038.009.000 e Código de Imóvel </t>
    </r>
    <r>
      <rPr>
        <rFont val="Calibri"/>
        <b/>
        <color theme="1"/>
        <sz val="10.0"/>
      </rPr>
      <t>nº 039410</t>
    </r>
    <r>
      <rPr>
        <rFont val="Calibri"/>
        <color theme="1"/>
        <sz val="10.0"/>
      </rPr>
      <t xml:space="preserve"> localizado nas proximidades do Hotel Araçá Ltda. Adquirido do Senhor Hugo Ferri.</t>
    </r>
  </si>
  <si>
    <r>
      <rPr>
        <rFont val="Calibri"/>
        <color rgb="FF000000"/>
        <sz val="10.0"/>
      </rPr>
      <t xml:space="preserve">Loteamento Caminhos do Sol – Família Boff, localizado na cidade de Caxias do Sul – RS.
Área Vendável do Loteamento em lotes: 231.218,09m².
ESTIMATIVA DE 612 LOTES.
CUSTO TOTAL DA OBRA: R$ 21.163.000,00
BURITI HOLDING SUL PARTICIPAÇÕES LTDA. = 50,00%
SIVIERO EMPREENDIMENTOS IMOBILIÁRIOS LTDA. = 10,00% = 61
PROPRIETÁRIOS DA ÁREA DE TERRAS DO LOTEAMENTO = 40,00%
</t>
    </r>
    <r>
      <rPr>
        <rFont val="Calibri"/>
        <color rgb="FFCC4125"/>
        <sz val="10.0"/>
      </rPr>
      <t>Conforme contrato firmado com a empresa BURITI, este Loteamento está em fase de execução inicial, como compromisso assumido para implantar na sua totalidade o empreendimento, que caso os custos excederem ao contratado, a empresa Siviero Empreendimentos Imobiliários Ltda. deverá arcar com os mesmos.</t>
    </r>
  </si>
  <si>
    <t>Um veículo ônibus PLACA IAZ 0281 – MERCEDES BENZ, ano 1993, no valor comercial de R$ 70.000,00 (está quitado) – carro que fazia a Linha de Cotiporã.</t>
  </si>
  <si>
    <r>
      <rPr>
        <rFont val="Calibri"/>
        <color theme="1"/>
        <sz val="10.0"/>
      </rPr>
      <t xml:space="preserve">Um lote urbano nº 10 – Quadra nº 38, com área de 360,00m², devidamente registrado no Ofício de Registro de Imóveis da Comarca de Capão da Canoa – RS, sob Matrícula nº 11.990, com a Inscrição Imobiliária nº 360.0038.010.000 e Código de Imóvel </t>
    </r>
    <r>
      <rPr>
        <rFont val="Calibri"/>
        <b/>
        <color theme="1"/>
        <sz val="10.0"/>
      </rPr>
      <t>nº 039411</t>
    </r>
    <r>
      <rPr>
        <rFont val="Calibri"/>
        <color theme="1"/>
        <sz val="10.0"/>
      </rPr>
      <t xml:space="preserve"> localizado nas proximidades do Hotel Araçá Ltda. Adquirido do Senhor Hugo Ferri.</t>
    </r>
  </si>
  <si>
    <t>Um veículo ônibus PLACA ISS 7019 – SCANIA / MPOLO PARADISO, ano 2011, no valor comercial de R$ 588.000,00.</t>
  </si>
  <si>
    <t>Empresa deverá arcar com os custos de execução, caso o valor exceder o contrato.
Não podemos abrir mão de todo o empreendimento pelo "possível" erro no orçamento da execução apresentado à Buriti.
Eles tem expectativa de receber 61 lotes.</t>
  </si>
  <si>
    <r>
      <rPr>
        <rFont val="Calibri"/>
        <color rgb="FF000000"/>
        <sz val="10.0"/>
      </rPr>
      <t xml:space="preserve">Loteamento Vale das Colinas – Famílias Piccoli + Gasparin + Zanrosso, localizado na cidade de Caxias do Sul – RS.
Área Vendável do Loteamento em lotes: 159.307,14m².
ESTIMATIVA DE 356 LOTES
CUSTO TOTAL DA OBRA: R$ 17.800.000,00
MULTA ESTIMADA EM 20,00% DO CUSTO DO LOTEAMENTO
VALOR VENAL DOS IMÓVEIS: R$ 39.743.378,00
BURITI HOLDING SUL PARTICIPAÇÕES LTDA. = 50,00%
SIVIERO EMPREENDIMENTOS IMOBILIÁRIOS LTDA. = 10,00% = 35
PROPRIETÁRIOS DA ÁREA DE TERRAS DO LOTEAMENTO = 40,00%
</t>
    </r>
    <r>
      <rPr>
        <rFont val="Calibri"/>
        <color rgb="FFCC4125"/>
        <sz val="10.0"/>
      </rPr>
      <t>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Caso o LOTEAMENTO não for executado, a empresa SIVIERO terá o ônus da MULTA contratual e DESPESAS de desfazimento das Escrituras Públicas e Registros Imobiliários (impostos e taxas).</t>
    </r>
  </si>
  <si>
    <r>
      <rPr>
        <rFont val="Calibri"/>
        <color theme="1"/>
        <sz val="10.0"/>
      </rPr>
      <t xml:space="preserve">Um lote urbano nº 11 – Quadra nº 38, com área de 360,00m², devidamente registrado no Ofício de Registro de Imóveis da Comarca de Capão da Canoa – RS, sob Matrícula nº 43.389, com a Inscrição Imobiliária nº 360.0038.011.000 e Código de Imóvel </t>
    </r>
    <r>
      <rPr>
        <rFont val="Calibri"/>
        <b/>
        <color theme="1"/>
        <sz val="10.0"/>
      </rPr>
      <t>nº 039412</t>
    </r>
    <r>
      <rPr>
        <rFont val="Calibri"/>
        <color theme="1"/>
        <sz val="10.0"/>
      </rPr>
      <t xml:space="preserve"> localizado nas proximidades do Hotel Araçá Ltda. Adquirido do Senhor Hugo Ferri.</t>
    </r>
  </si>
  <si>
    <r>
      <rPr>
        <rFont val="Calibri"/>
        <color theme="1"/>
        <sz val="10.0"/>
      </rPr>
      <t xml:space="preserve">Um lote urbano nº 12 – Quadra nº 38, com área de 360,00m², devidamente registrado no Ofício de Registro de Imóveis da Comarca de Capão da Canoa – RS, sob Matrícula nº 29.803, com a Inscrição Imobiliária nº 360.0038.012.000 e Código de Imóvel </t>
    </r>
    <r>
      <rPr>
        <rFont val="Calibri"/>
        <b/>
        <color theme="1"/>
        <sz val="10.0"/>
      </rPr>
      <t>nº 039413</t>
    </r>
    <r>
      <rPr>
        <rFont val="Calibri"/>
        <color theme="1"/>
        <sz val="10.0"/>
      </rPr>
      <t xml:space="preserve"> localizado nas proximidades do Hotel Araçá Ltda. Adquirido do Senhor Hugo Ferri.</t>
    </r>
  </si>
  <si>
    <t xml:space="preserve">Observações: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
O BALANÇO PATRIMONIAL E CONTÁBIL ESTÁ PRONTO E CONFERIDO, PELA ESCRITA CONTÁBIL NESSA DATA, QUE NÃO CORRESPONDE À REALIDADE FÁTICA DA EMPRESA.
EMPRESA BAIXADA EM 08 DE ABRIL DE 2024, CONFORME CERTIDÃO.................
É necessário fazer a rescisão do Contrato Particular das Quotas Societárias e dar baixa dos
lançamentos na Declaração do Imposto de Renda das Pessoas Físicas, junto à Receita Federal.
Observações: 
O valor real acima apontado não é líquido, à medida que:
a)  O valor patrimonial lançado sofrerá redução pela regularização dos imóveis, o que se estima numa redução de 0,00% (ZERO POR CENTO) do valor acima apontado,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
c)  Existe pendente um PROCESSO JUDICIAL referente a venda do Ônibus IXO 6000, acordado pelo valor de R$ 115.000,00, sendo pagos de forma parcelada: R$ 20.000,00 (Despesas judiciais e advocatícias) e o saldo em parcelas de R$ 5.000,00, cada, a contar de novembro de 2024.  </t>
  </si>
  <si>
    <t>Valor da multa: -R$ 3,560,000.00
Despesas: -R$ 651,035.00
TOTAL: -R$4,211,035.00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</si>
  <si>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r>
      <rPr>
        <rFont val="Calibri"/>
        <color rgb="FF000000"/>
        <sz val="10.0"/>
      </rPr>
      <t xml:space="preserve">Loteamento Vista da Colina – Famílias Zanandréa + Fioreze, localizado na cidade de Caxias do Sul.
Área Vendável do Loteamento em lotes: 159.307,14m².
ESTIMATIVA DE 242 LOTES.
CUSTO TOTAL DA OBRA: R$ 12.100.000,00
MULTA ESTIMADA EM 20,00% DO CUSTO DO LOTEAMENTO
VALOR VENAL DOS IMÓVEIS: R$ 20.960.000,00
BURITI HOLDING SUL PARTICIPAÇÕES LTDA. = 50,00%
SIVIERO EMPREENDIMENTOS IMOBILIÁRIOS LTDA. = 10,00% = 24
PROPRIETÁRIOS DA ÁREA DE TERRAS DO LOTEAMENTO = 40,00%
</t>
    </r>
    <r>
      <rPr>
        <rFont val="Calibri"/>
        <color rgb="FFCC4125"/>
        <sz val="10.0"/>
      </rPr>
      <t>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Caso o LOTEAMENTO não for executado, a empresa SIVIERO terá o ônus da MULTA contratual e DESPESAS de desfazimento das Escrituras Públicas e Registros Imobiliários (impostos e taxas).</t>
    </r>
  </si>
  <si>
    <r>
      <rPr>
        <rFont val="Calibri"/>
        <color theme="1"/>
        <sz val="10.0"/>
      </rPr>
      <t xml:space="preserve">Um lote urbano nº 13 – Quadra nº 38, com área de 360,00m², devidamente registrado no Ofício de Registro de Imóveis da Comarca de Capão da Canoa – RS, sob Matrícula nº 30.294, com a Inscrição Imobiliária nº 360.0038.013.000 e Código de Imóvel </t>
    </r>
    <r>
      <rPr>
        <rFont val="Calibri"/>
        <b/>
        <color theme="1"/>
        <sz val="10.0"/>
      </rPr>
      <t>nº 039414</t>
    </r>
    <r>
      <rPr>
        <rFont val="Calibri"/>
        <color theme="1"/>
        <sz val="10.0"/>
      </rPr>
      <t xml:space="preserve"> localizado nas proximidades do Hotel Araçá Ltda. Adquirido do Senhor Hugo Ferri.</t>
    </r>
  </si>
  <si>
    <r>
      <rPr>
        <rFont val="Calibri"/>
        <color theme="1"/>
        <sz val="10.0"/>
      </rPr>
      <t xml:space="preserve">Um lote urbano nº 14 – Quadra nº 38, com área de 360,00m², devidamente registrado no Ofício de Registro de Imóveis da Comarca de Capão da Canoa – RS, sob Matrícula nº 29.802, com a Inscrição Imobiliária nº 360.0038.014.000 e Código de Imóvel </t>
    </r>
    <r>
      <rPr>
        <rFont val="Calibri"/>
        <b/>
        <color theme="1"/>
        <sz val="10.0"/>
      </rPr>
      <t>nº 039415</t>
    </r>
    <r>
      <rPr>
        <rFont val="Calibri"/>
        <color theme="1"/>
        <sz val="10.0"/>
      </rPr>
      <t xml:space="preserve"> localizado nas proximidades do Hotel Araçá Ltda. Adquirido do Senhor Hugo Ferri.</t>
    </r>
  </si>
  <si>
    <t>Valor da multa: -R$ 2,566,900.00
Despesas: -R$ 108,000.00
TOTAL: -R$2,664,900.00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</si>
  <si>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r>
      <rPr>
        <rFont val="Calibri"/>
        <color theme="1"/>
        <sz val="10.0"/>
      </rPr>
      <t xml:space="preserve">Um lote urbano nº 15 – Quadra nº 38, com área de 360,00m², devidamente registrado no Ofício de Registro de Imóveis da Comarca de Capão da Canoa – RS, sob Matrícula nº 33.003, com a Inscrição Imobiliária nº 360.0038.015.000 e Código de Imóvel </t>
    </r>
    <r>
      <rPr>
        <rFont val="Calibri"/>
        <b/>
        <color theme="1"/>
        <sz val="10.0"/>
      </rPr>
      <t>nº 039416</t>
    </r>
    <r>
      <rPr>
        <rFont val="Calibri"/>
        <color theme="1"/>
        <sz val="10.0"/>
      </rPr>
      <t xml:space="preserve"> localizado nas proximidades do Hotel Araçá Ltda. Adquirido do Senhor Hugo Ferri.</t>
    </r>
  </si>
  <si>
    <r>
      <rPr>
        <rFont val="Calibri"/>
        <color rgb="FF000000"/>
        <sz val="10.0"/>
      </rPr>
      <t xml:space="preserve">Loteamento das Famílias – Pedrotti + Andreis + Lorandi, localizado na cidade de Caxias do Sul – RS.
Área Vendável do Loteamento em lotes: 135.105,50m².
ESTIMATIVA DE 242 LOTES.
CUSTO TOTAL DA OBRA: R$ 12.100.000,00
MULTA ESTIMADA EM 20,00% DO CUSTO DO LOTEAMENTO
VALOR VENAL DOS IMÓVEIS: R$ 11.403.230,00
BURITI HOLDING SUL PARTICIPAÇÕES LTDA. = 50,00%
SIVIERO EMPREENDIMENTOS IMOBILIÁRIOS LTDA. = 10,00% = 24
PROPRIETÁRIOS DA ÁREA DE TERRAS DO LOTEAMENTO = 40,00%
</t>
    </r>
    <r>
      <rPr>
        <rFont val="Calibri"/>
        <color rgb="FFCC4125"/>
        <sz val="10.0"/>
      </rPr>
      <t>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Caso o LOTEAMENTO não for executado, a empresa SIVIERO terá o ônus da MULTA contratual e DESPESAS de desfazimento das Escrituras Públicas e Registros Imobiliários (impostos e taxas).</t>
    </r>
  </si>
  <si>
    <r>
      <rPr>
        <rFont val="Calibri"/>
        <color theme="1"/>
        <sz val="10.0"/>
      </rPr>
      <t xml:space="preserve">Um lote urbano nº 27 – Quadra nº 38, com área de 360,00m², devidamente registrado no Ofício de Registro de Imóveis da Comarca de Capão da Canoa – RS, sob Matrícula nº 73.482, com a Inscrição Imobiliária nº 360.0038.027.000 e Código de Imóvel </t>
    </r>
    <r>
      <rPr>
        <rFont val="Calibri"/>
        <b/>
        <color theme="1"/>
        <sz val="10.0"/>
      </rPr>
      <t>nº 039426</t>
    </r>
    <r>
      <rPr>
        <rFont val="Calibri"/>
        <color theme="1"/>
        <sz val="10.0"/>
      </rPr>
      <t xml:space="preserve"> localizado nas proximidades do Hotel Araçá Ltda. Lote Estacionamento do Bigode.</t>
    </r>
  </si>
  <si>
    <t>Valor da multa: -R$ 2,280,646.00
Despesas: -R$ 308,000.00
TOTAL: -R$2,588,646.00"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</si>
  <si>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r>
      <rPr>
        <rFont val="Calibri"/>
        <color rgb="FF000000"/>
        <sz val="10.0"/>
      </rPr>
      <t xml:space="preserve">Loteamento da Família Cecconello, localizado na cidade de Caxias do Sul – RS.
Área total de 130.446,00m².
ESTIMATIVA DE 130 LOTES.
CUSTO TOTAL DA OBRA: R$ 6.500.000,00
MULTA ESTIMADA EM 20,00% DO CUSTO DO LOTEAMENTO
HECTA EMPREENDIMENTOS IMOBILIÁRIOS LTDA. = 50,00% = 65
PROPRIETÁRIOS ÁREA TERRAS DO LOTEAMENTO = 50,00% = 65
Neste Loteamento, a empresa Siviero Empreendimentos Imobiliários Ltda.  tem adquirido 2,0 hectares de terras, pelo valor de R$ 600.000,00, em 06 de fevereiro de 2014.
</t>
    </r>
    <r>
      <rPr>
        <rFont val="Calibri"/>
        <color rgb="FFCC4125"/>
        <sz val="10.0"/>
      </rPr>
      <t>Não tem ainda nenhuma definição quanto a execução do Loteamento e sequer projeto que possa nortear um quantitativo de lotes.</t>
    </r>
    <r>
      <rPr>
        <rFont val="Calibri"/>
        <color rgb="FF000000"/>
        <sz val="10.0"/>
      </rPr>
      <t xml:space="preserve">
</t>
    </r>
  </si>
  <si>
    <r>
      <rPr>
        <rFont val="Calibri"/>
        <color theme="1"/>
        <sz val="10.0"/>
      </rPr>
      <t xml:space="preserve">Um lote urbano nº 28 – Quadra nº 38, com área de 360,00m², devidamente registrado no Ofício de Registro de Imóveis da Comarca de Capão da Canoa – RS, sob Matrícula nº 73.482, com a Inscrição Imobiliária nº 360.0038.028.000 e Código de Imóvel </t>
    </r>
    <r>
      <rPr>
        <rFont val="Calibri"/>
        <b/>
        <color theme="1"/>
        <sz val="10.0"/>
      </rPr>
      <t>nº 039427</t>
    </r>
    <r>
      <rPr>
        <rFont val="Calibri"/>
        <color theme="1"/>
        <sz val="10.0"/>
      </rPr>
      <t xml:space="preserve"> localizado nas proximidades do Hotel Araçá Ltda. Lote Estacionamento do Bigode.</t>
    </r>
  </si>
  <si>
    <t>Valor da multa: R$ 1,300,000.00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</si>
  <si>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r>
      <rPr>
        <rFont val="Calibri"/>
        <color rgb="FF000000"/>
        <sz val="10.0"/>
      </rPr>
      <t xml:space="preserve">Loteamento Bonetto, localizado na cidade de Farroupilha – RS.
Área total de 48.400,00m².
ESTIMATIVA DE 61 LOTES.
SIVIERO EMPREENDIMENTOS IMOBILIÁRIOS LTDA. =50,00% =30,5
PROPRIETÁRIOS ÁREA TERRAS DO LOTEAMENTO = 50,00% = 30,5
CUSTO TOTAL DA OBRA: R$ 3.660.000,00
MULTA ESTIMADA EM 20,00% DO CUSTO DO LOTEAMENTO + DANO MORAL DE R$ 50.000,00 (EXPECTATIVA FRUSTRADA)
</t>
    </r>
    <r>
      <rPr>
        <rFont val="Calibri"/>
        <color rgb="FFCC4125"/>
        <sz val="10.0"/>
      </rPr>
      <t>Área de terras passível de caracterização de APP – Área de Preservação Permanente, em parte da mesma, conforme norma ambiental na cidade de Farroupilha, podendo inviabilizar a implantação do Loteamento.</t>
    </r>
  </si>
  <si>
    <t>Valor da multa: R$ 782,000.00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</si>
  <si>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r>
      <rPr>
        <rFont val="Calibri"/>
        <color rgb="FF000000"/>
        <sz val="10.0"/>
      </rPr>
      <t xml:space="preserve">Loteamento Pasqual, localizado na cidade de Farroupilha – RS.
Área total de 85.005,88m² = ESTIMATIVA DE 29 LOTES.
SIVIERO EMPREENDIMENTOS IMOBILIÁRIOS LTDA. =50,00%=14,5
PROPRIETÁRIOS ÁREA TERRAS DO LOTEAMENTO = 50,00% = 14,5
CUSTO TOTAL DA OBRA: R$ 7.250.000,00
MULTA ESTIMADA EM 20,00% DO CUSTO DO LOTEAMENTO + DANO MORAL DE R$ 50.000,00 (EXPECTATIVA FRUSTRADA)
</t>
    </r>
    <r>
      <rPr>
        <rFont val="Calibri"/>
        <color rgb="FFCC4125"/>
        <sz val="10.0"/>
      </rPr>
      <t>Área de terras passível de caracterização de APP – Área de Preservação Permanente, em parte da mesma, conforme norma ambiental na cidade de Farroupilha, podendo inviabilizar a implantação do Loteamento</t>
    </r>
    <r>
      <rPr>
        <rFont val="Calibri"/>
        <color rgb="FF000000"/>
        <sz val="10.0"/>
      </rPr>
      <t>.</t>
    </r>
  </si>
  <si>
    <r>
      <rPr>
        <rFont val="Calibri"/>
        <color theme="1"/>
        <sz val="10.0"/>
      </rPr>
      <t xml:space="preserve">Um lote urbano nº 15 – Quadra nº 37, com área de 360,00m², devidamente registrado no Ofício de Registro de Imóveis da Comarca de Capão da Canoa – RS, sob Matrícula nº 86.669, com a Inscrição Imobiliária nº 360.0037.015.000.000 e Código de Imóvel </t>
    </r>
    <r>
      <rPr>
        <rFont val="Calibri"/>
        <b/>
        <color theme="1"/>
        <sz val="10.0"/>
      </rPr>
      <t>nº 39394</t>
    </r>
    <r>
      <rPr>
        <rFont val="Calibri"/>
        <color theme="1"/>
        <sz val="10.0"/>
      </rPr>
      <t>, localizado nas proximidades do Hotel Araçá Ltda. – Lateral do Hotel.</t>
    </r>
  </si>
  <si>
    <t>Valor da multa: R$ 1,500,000.00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</si>
  <si>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r>
      <rPr>
        <rFont val="Calibri"/>
        <color rgb="FF000000"/>
        <sz val="10.0"/>
      </rPr>
      <t xml:space="preserve">Loteamento Industrial Dr. Letti, localizado na cidade de Farroupilha – RS.
Área total de 64.475,25m² = ESTIMATIVA DE ??? LOTES.
SIVIERO EMPREENDIMENTOS IMOBILIÁRIOS LTDA. = 50,00% = ???
PROPRIETÁRIOS ÁREA TERRAS DO LOTEAMENTO = 50,00% = ???
CUSTO TOTAL DA OBRA: R$ 8.000.000,00
MULTA ESTIMADA EM 20,00% DO CUSTO DO LOTEAMENTO + DANO MORAL DE R$ 50.000,00 (EXPECTATIVA FRUSTRADA)
Não tem ainda nenhuma definição quanto a execução do Loteamento e sequer projeto que possa nortear um quantitativo de lotes.
</t>
    </r>
    <r>
      <rPr>
        <rFont val="Calibri"/>
        <color rgb="FFCC4125"/>
        <sz val="10.0"/>
      </rPr>
      <t>Área de terras passível de caracterização de APP – Área de Preservação Permanente, em parte da mesma, conforme norma ambiental na cidade de Farroupilha, podendo inviabilizar a implantação do Loteamento.</t>
    </r>
  </si>
  <si>
    <t>Valor da multa: R$ 1,650,000.00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</si>
  <si>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r>
      <rPr>
        <rFont val="Calibri"/>
        <color theme="1"/>
        <sz val="10.0"/>
      </rPr>
      <t xml:space="preserve">Um lote urbano nº 17 – Quadra nº 37, com área de 360,00m², devidamente registrado no Ofício de Registro de Imóveis da Comarca de Osório – RS, sob Matrícula nº 124.906, com a Inscrição Imobiliária nº 360.0037.017.000.000 e Código de Imóvel </t>
    </r>
    <r>
      <rPr>
        <rFont val="Calibri"/>
        <b/>
        <color theme="1"/>
        <sz val="10.0"/>
      </rPr>
      <t>nº 39396</t>
    </r>
    <r>
      <rPr>
        <rFont val="Calibri"/>
        <color theme="1"/>
        <sz val="10.0"/>
      </rPr>
      <t>, localizado nas proximidades do Hotel Araçá Ltda. – Lateral do Hotel.</t>
    </r>
  </si>
  <si>
    <t>Loteamento Sol Nascente III, localizado na cidade de Antônio Prado – RS.
Área de 91.790,14m²     +     Área de 59.052,18m².
Área total de 150.842,32m² = ESTIMATIVA DE ??? LOTES.
SIVIERO EMPREENDIMENTOS IMOBILIÁRIOS LTDA. = 55,00% = ???
PROPRIETÁRIOS ÁREA TERRAS DO LOTEAMENTO = 45,00% = ???
CUSTO TOTAL DA OBRA: R$ 5.040.000,00
MULTA ESTIMADA EM 20,00% DO CUSTO DO LOTEAMENTO + DANO MORAL DE R$ 50.000,00 (EXPECTATIVA FRUSTRADA)
Não tem ainda nenhuma definição quanto a execução do Loteamento e sequer projeto que possa nortear um quantitativo de lotes.</t>
  </si>
  <si>
    <t>Valor da multa: R$ 1,058,000.00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</si>
  <si>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t>Lotes de terceiros passíveis de indenização por caracterização ambiental na cidade de Farroupilha</t>
  </si>
  <si>
    <t>Não podem ser descontados do patrimônio se apenas passíveis de indenização. Podemos deixar lotes em garantia caso a indenização aconteça de fato.</t>
  </si>
  <si>
    <t>Loteamento Firminio Dalzóchio, localizado na cidade de Farroupilha – RS, num saldo de 03 lotes.</t>
  </si>
  <si>
    <t>RÁDIO  COMUNIDADE PRINCESA DOS VALES FM LTDA</t>
  </si>
  <si>
    <t>Comparar esses valores com o que a Siviero recebeu na venda deles. Não faz sentido avaliar todos pelo preço atual de mercado.</t>
  </si>
  <si>
    <t>Valor médio dos lotes por loteamento</t>
  </si>
  <si>
    <t>Lote:9 | Quadra:0910 | valor:R$ 130,000.00</t>
  </si>
  <si>
    <t>Fonte: aba 11.Empreendimentos, item 11.1.6 (loteamentos executados e registrados). 2018 = valor apresentado no estudo de 2018. Out/2025 = coluna "outubro 2025", contando só lotes com valor atribuído (ficam fora os lotes de APP, vendidos e da Família Siviero, que estão com valor zero).</t>
  </si>
  <si>
    <t>Nº</t>
  </si>
  <si>
    <t>Cidade</t>
  </si>
  <si>
    <t>Valor total 2018</t>
  </si>
  <si>
    <t>Valor médio/lote 2018</t>
  </si>
  <si>
    <t>Lote:3 | Quadra:1292 | valor:R$ 135,000.00</t>
  </si>
  <si>
    <t>Lotes com valor out/2025</t>
  </si>
  <si>
    <t>Valor total out/2025</t>
  </si>
  <si>
    <t>Valor médio/lote out/2025</t>
  </si>
  <si>
    <t>Menor valor out/2025</t>
  </si>
  <si>
    <t>Maior valor out/2025</t>
  </si>
  <si>
    <t>Variação do valor médio</t>
  </si>
  <si>
    <t>Sol Nascente I</t>
  </si>
  <si>
    <t>Lote:9 | Quadra:0910 | valor:R$ 135,000.00</t>
  </si>
  <si>
    <t>Antônio Prado</t>
  </si>
  <si>
    <t>Inventário 11 (lotes de terceiros): Lote 004, Quadra 1292, R$ 135.000,00. A planilha repete Lote 9 / Quadra 0910 (já na linha 832). Valor igual.</t>
  </si>
  <si>
    <t>Loteamento Jardim Itália I – II – III, localizado na cidade de Farroupilha – RS, num saldo de 05 lotes.</t>
  </si>
  <si>
    <t>mesmo patrimônio</t>
  </si>
  <si>
    <t>Lote:7 | Quadra:1741 | valor:R$ 193,000.00</t>
  </si>
  <si>
    <t>Uma sala comercial nº 311 – ESTÚDIO – localizada na Avenida Osvaldo Aranha, nº 1395, Sala nº 311, Bairro Palugana, do Edifício Centro Comercial e Profissional Comendador José de Mello, na cidade de Veranópolis – RS. Área total de 94,51m². Imóvel devidamente registrado no Ofício de Registro de Imóveis da Comarca de Veranópolis – RS, sob Matrícula nº 11.382. Adquirida pelo valor de R$ 100.000,00.</t>
  </si>
  <si>
    <t>Lote:9 | Quadra:1741 | valor:R$ 193,000.01</t>
  </si>
  <si>
    <t>Lote:1| Quadra:1747 | valor:R$ 200,000.00</t>
  </si>
  <si>
    <t>Lote:2| Quadra:1747 | valor:R$ 200,000.00</t>
  </si>
  <si>
    <t>Lote:9| Quadra:1747 | valor:R$ 200,000.00</t>
  </si>
  <si>
    <t>Loteamento Perini, localizado na cidade de Farroupilha – RS, num saldo de 04 lotes.</t>
  </si>
  <si>
    <t>Móveis, instalações e utensílios.</t>
  </si>
  <si>
    <t>Equipamentos instalados no ESTÚDIO, como: computadores, telefones, demais equipamentos eletrônicos e de transmissão.
Considerado o canal FM 96.1 + a concessão junto ao Ministério das Comunicações e clientes.</t>
  </si>
  <si>
    <t>Lote:11| Quadra:1469 | valor:R$ 160,000.00</t>
  </si>
  <si>
    <t>Antena de transmissão, casa de equipamentos e gerador (não considerado o imóvel onde estão instalados estes itens.</t>
  </si>
  <si>
    <t>Lote:12| Quadra:1469 | valor:R$ 160,000.00</t>
  </si>
  <si>
    <t>Lote:18| Quadra:1469 | valor:R$ 160,000.00</t>
  </si>
  <si>
    <t>Lote:19| Quadra:1469 | valor:R$ 160,000.00</t>
  </si>
  <si>
    <t>Um BOX de estacionamento de carro, localizado na Avenida Osvaldo Aranha, nº 1395, Sala nº 311, Bairro Palugana, do Edifício Centro Comercial e Profissional Comendador José de Mello, na cidade de Veranópolis – RS. Área de 17,28², devidamente Registrado no Ofício de Registro de Imóveis da Comarca de Veranópolis – RS, sob Matrícula nº 11.324.</t>
  </si>
  <si>
    <r>
      <rPr>
        <rFont val="Calibri"/>
        <color theme="1"/>
        <sz val="10.0"/>
      </rPr>
      <t xml:space="preserve">Um veículo caminhão basculante, marca VW = </t>
    </r>
    <r>
      <rPr>
        <rFont val="Calibri"/>
        <b/>
        <color theme="1"/>
        <sz val="10.0"/>
      </rPr>
      <t>PLACA IUV 8D25</t>
    </r>
    <r>
      <rPr>
        <rFont val="Calibri"/>
        <color theme="1"/>
        <sz val="10.0"/>
      </rPr>
      <t>, cor branca, ano 2013, adquirido da empresa Dalfovo. | valor: R$ 198.000,00</t>
    </r>
  </si>
  <si>
    <t>Loteamento Primavera, localizado na cidade de Farroupilha – RS, num saldo de 04 lotes.</t>
  </si>
  <si>
    <t>Um veículo carro FOX, marca-modelo VOLKS, combustível gasolina/álcool, ano 2011, modelo 2011, cor predominante preta, placa IRO 2562, emplacado na cidade de Veranópolis – RS.</t>
  </si>
  <si>
    <t>Boito</t>
  </si>
  <si>
    <t>Nova Prata</t>
  </si>
  <si>
    <t>Lote:5| Quadra:1199 | valor:R$ 166,000.00</t>
  </si>
  <si>
    <t>Um veículo TOYOTA / BANDEIRANTE, marca-modelo TOYOTA, combustível diesel, ano 1980, modelo 1980, cor predominante verde, placa IHW 0285, emplacado na cidade de Veranópolis – RS.</t>
  </si>
  <si>
    <r>
      <rPr>
        <rFont val="Calibri"/>
        <color theme="1"/>
        <sz val="10.0"/>
      </rPr>
      <t xml:space="preserve">Um veículo caminhão basculante, marca VW = PLACA </t>
    </r>
    <r>
      <rPr>
        <rFont val="Calibri"/>
        <b/>
        <color theme="1"/>
        <sz val="10.0"/>
      </rPr>
      <t>IUV 8D09</t>
    </r>
    <r>
      <rPr>
        <rFont val="Calibri"/>
        <color theme="1"/>
        <sz val="10.0"/>
      </rPr>
      <t>, cor branca, ano 2013, adquirido da empresa Dalfovo. | valor: R$ 198.000,00</t>
    </r>
  </si>
  <si>
    <t>Lote:6| Quadra:1199 | valor:R$ 166,000.00</t>
  </si>
  <si>
    <t>Lote:10| Quadra:1199 | valor:R$ 166,000.00</t>
  </si>
  <si>
    <t>Observações: 
O valor do canal da concessão da Rádio foi estimado por algumas informações verbais, no passado, do Senhor Élcio Siviero, com referência ao valor comercial da mesma – canal de concessão e outorga do mesmo junto ao Ministério das Comunicações.
A antena de transmissão está instalada em um lote urbano localizado na Rodovia BR 470, ao lado da Abastecedora de Combustíveis Siviero Ltda., devidamente registrado no Ofício de Registro de Imóveis da Comarca de Veranópolis, sob Matrícula nº 3.751, com área de 7.200,00m², de propriedade da empresa Siviero Empreendimentos Imobiliários Ltda., HAVENDO UM CUSTO PARA O DESLOCAMENTO DA ANTENA (DESMONTAGEM E MONTAGEM + CASA DE TRANSMISSÃO + INSTALAÇÃO ELÉTRICA, ETC) E O CUSTO PARA A AQUISIÇÃO DE UM TERRENO APROPRIADO PARA TAL FINALIDADE.
O valor real acima apontado não é líquido, à medida que:
a) O valor patrimonial lançado sofrerá redução pela regularização dos imóveis, o que se estima numa redução de 8,0% (OITO POR CENTO) do valor acima apontado,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t>
  </si>
  <si>
    <t>Lote:11| Quadra:1199 | valor:R$ 166,000.00</t>
  </si>
  <si>
    <r>
      <rPr>
        <rFont val="Calibri"/>
        <color theme="1"/>
        <sz val="10.0"/>
      </rPr>
      <t xml:space="preserve">Um veículo caminhão basculante, marca MERCEDES BENZ, L1620 = </t>
    </r>
    <r>
      <rPr>
        <rFont val="Calibri"/>
        <b/>
        <color theme="1"/>
        <sz val="10.0"/>
      </rPr>
      <t>PLACA ILQ 1739</t>
    </r>
    <r>
      <rPr>
        <rFont val="Calibri"/>
        <color theme="1"/>
        <sz val="10.0"/>
      </rPr>
      <t>, cor cinza, ano 2003. | valor: R$ 98.000,00</t>
    </r>
  </si>
  <si>
    <t>Loteamento Industrial Vicentino, localizado na cidade de Farroupilha – RS, num saldo de 10 lotes.</t>
  </si>
  <si>
    <r>
      <rPr>
        <rFont val="Calibri"/>
        <color theme="1"/>
        <sz val="10.0"/>
      </rPr>
      <t xml:space="preserve">Um veículo caminhão basculante, marca MERCEDES BENZ, = </t>
    </r>
    <r>
      <rPr>
        <rFont val="Calibri"/>
        <b/>
        <color theme="1"/>
        <sz val="10.0"/>
      </rPr>
      <t>PLACA IBP 3873</t>
    </r>
    <r>
      <rPr>
        <rFont val="Calibri"/>
        <color theme="1"/>
        <sz val="10.0"/>
      </rPr>
      <t>, cor vermelha, ano 1990. | valor: R$ 53.000,00</t>
    </r>
  </si>
  <si>
    <r>
      <rPr>
        <rFont val="Calibri"/>
        <color theme="1"/>
        <sz val="10.0"/>
      </rPr>
      <t xml:space="preserve">Um veículo caminhão SCANIA = </t>
    </r>
    <r>
      <rPr>
        <rFont val="Calibri"/>
        <b/>
        <color theme="1"/>
        <sz val="10.0"/>
      </rPr>
      <t>PLACA IIQ 0751</t>
    </r>
    <r>
      <rPr>
        <rFont val="Calibri"/>
        <color theme="1"/>
        <sz val="10.0"/>
      </rPr>
      <t>, cor laranja, ano 1963. | valor: R$ 28.000,00</t>
    </r>
  </si>
  <si>
    <t>Lote:3| Quadra:1301| valor:R$ 1,355,000.00</t>
  </si>
  <si>
    <r>
      <rPr>
        <rFont val="Calibri"/>
        <color theme="1"/>
        <sz val="10.0"/>
      </rPr>
      <t xml:space="preserve">Um semirreboque RANDON = PLACA </t>
    </r>
    <r>
      <rPr>
        <rFont val="Calibri"/>
        <b/>
        <color theme="1"/>
        <sz val="10.0"/>
      </rPr>
      <t>IHP 6632</t>
    </r>
    <r>
      <rPr>
        <rFont val="Calibri"/>
        <color theme="1"/>
        <sz val="10.0"/>
      </rPr>
      <t>, cor amarelo, ano 1990. | valor: R$ 25.000,00</t>
    </r>
  </si>
  <si>
    <t>Lote:4| Quadra:1301| valor:R$ 1,355,000.00</t>
  </si>
  <si>
    <t>Lote:4| Quadra:1302| valor:R$ 1,355,000.00</t>
  </si>
  <si>
    <r>
      <rPr>
        <rFont val="Calibri"/>
        <color theme="1"/>
        <sz val="10.0"/>
      </rPr>
      <t xml:space="preserve">Um veículo Mercedinha, marca MERCEDES BENZ, L608 = </t>
    </r>
    <r>
      <rPr>
        <rFont val="Calibri"/>
        <b/>
        <color theme="1"/>
        <sz val="10.0"/>
      </rPr>
      <t>PLACA BWF 0672</t>
    </r>
    <r>
      <rPr>
        <rFont val="Calibri"/>
        <color theme="1"/>
        <sz val="10.0"/>
      </rPr>
      <t>, cor vermelha, ano 1979. | valor: R$ 20.000,00</t>
    </r>
  </si>
  <si>
    <t>Lote:9| Quadra:1302| valor:R$ 1,355,000.00</t>
  </si>
  <si>
    <t>Passo Fundo</t>
  </si>
  <si>
    <t>Lote:10| Quadra:1302| valor:R$ 1,355,000.00</t>
  </si>
  <si>
    <t>Lote:11| Quadra:1302| valor:R$ 1,355,000.00</t>
  </si>
  <si>
    <r>
      <rPr>
        <rFont val="Calibri"/>
        <color theme="1"/>
        <sz val="10.0"/>
      </rPr>
      <t xml:space="preserve">Um veículo caminhão basculante, marca MERCEDES BENZ, L1316 = </t>
    </r>
    <r>
      <rPr>
        <rFont val="Calibri"/>
        <b/>
        <color theme="1"/>
        <sz val="10.0"/>
      </rPr>
      <t>PLACA IHZ 0172</t>
    </r>
    <r>
      <rPr>
        <rFont val="Calibri"/>
        <color theme="1"/>
        <sz val="10.0"/>
      </rPr>
      <t>, cor vermelha, ano 1984. | valor: R$ 50.000,00</t>
    </r>
  </si>
  <si>
    <t>Lote:1| Quadra:1303| valor:R$ 1,355,000.00</t>
  </si>
  <si>
    <t>Lote:12| Quadra:1303| valor:R$ 1,355,000.00</t>
  </si>
  <si>
    <r>
      <rPr>
        <rFont val="Calibri"/>
        <color theme="1"/>
        <sz val="10.0"/>
      </rPr>
      <t xml:space="preserve">Um veículo caminhão basculante, marca MERCDES BENZ = </t>
    </r>
    <r>
      <rPr>
        <rFont val="Calibri"/>
        <b/>
        <color theme="1"/>
        <sz val="10.0"/>
      </rPr>
      <t>PLACA IHW 8294</t>
    </r>
    <r>
      <rPr>
        <rFont val="Calibri"/>
        <color theme="1"/>
        <sz val="10.0"/>
      </rPr>
      <t>, cor grená, ano 1974. | valor: R$ 30.000,00</t>
    </r>
  </si>
  <si>
    <t>Lote:14| Quadra:1303| valor:R$ 1,355,000.00</t>
  </si>
  <si>
    <t>Lote:16| Quadra:1303| valor:R$ 1,355,000.00</t>
  </si>
  <si>
    <r>
      <rPr>
        <rFont val="Calibri"/>
        <color theme="1"/>
        <sz val="10.0"/>
      </rPr>
      <t xml:space="preserve">Um veículo caminhão, marca SCÂNIA = </t>
    </r>
    <r>
      <rPr>
        <rFont val="Calibri"/>
        <b/>
        <color theme="1"/>
        <sz val="10.0"/>
      </rPr>
      <t>PLACA IHK 2435</t>
    </r>
    <r>
      <rPr>
        <rFont val="Calibri"/>
        <color theme="1"/>
        <sz val="10.0"/>
      </rPr>
      <t>, cor laranja, ano 1967. | valor: R$ 0.000,00</t>
    </r>
  </si>
  <si>
    <t>Descrição de compromissos à pagar em obras finais em execução em Loteamento</t>
  </si>
  <si>
    <r>
      <rPr>
        <rFont val="Calibri"/>
        <color theme="1"/>
        <sz val="10.0"/>
      </rPr>
      <t xml:space="preserve">Uma camionete TOYOTA HILUX, cor preta, ano 2018 = </t>
    </r>
    <r>
      <rPr>
        <rFont val="Calibri"/>
        <b/>
        <color theme="1"/>
        <sz val="10.0"/>
      </rPr>
      <t>PLACA IYJ 8I14</t>
    </r>
    <r>
      <rPr>
        <rFont val="Calibri"/>
        <color theme="1"/>
        <sz val="10.0"/>
      </rPr>
      <t>. | valor: R$ 188.000,00</t>
    </r>
  </si>
  <si>
    <r>
      <rPr>
        <rFont val="Calibri"/>
        <b/>
        <color rgb="FF000000"/>
        <sz val="10.0"/>
      </rPr>
      <t>Loteamento Colina do Retiro II, localizado na cidade de Veranópolis – RS.</t>
    </r>
    <r>
      <rPr>
        <rFont val="Calibri"/>
        <color rgb="FF000000"/>
        <sz val="10.0"/>
      </rPr>
      <t xml:space="preserve">
Conclusão da pavimentação das ruas do Sistema Viário + conclusão e instalação da elevatória para abastecimento de água, conforme as normas da CORSAN e projeto aprovado pela concessionária + limpeza de toda a área do Loteamento para entrega definitiva junto ao Município de Veranópolis + implantação do projeto de arborização + instalação da rede de iluminação pública, o que importam num custo estimado destes serviços em aproximadamente R$ 3.800.000,00 (Três milhões e oitocentos mil reais) – Para conclusão destes serviços estão em garantia hipotecária junto ao Município de Veranópolis, LOTES do próprio Loteamento, de propriedade da empresa e da Família Frainer.
</t>
    </r>
  </si>
  <si>
    <r>
      <rPr>
        <rFont val="Calibri"/>
        <color theme="1"/>
        <sz val="10.0"/>
      </rPr>
      <t xml:space="preserve">Um veículo caminhão, marca SCÂNIA = </t>
    </r>
    <r>
      <rPr>
        <rFont val="Calibri"/>
        <b/>
        <color theme="1"/>
        <sz val="10.0"/>
      </rPr>
      <t>PLACA IIX 8288</t>
    </r>
    <r>
      <rPr>
        <rFont val="Calibri"/>
        <color theme="1"/>
        <sz val="10.0"/>
      </rPr>
      <t>, cor laranja, ano 1963. | valor: R$ 30.000,00</t>
    </r>
  </si>
  <si>
    <t>Apenas confirmar se a avaliação dos lotes aumentarão depois desse investimento.</t>
  </si>
  <si>
    <t>Fracionamento Simioni</t>
  </si>
  <si>
    <t>11.2.4</t>
  </si>
  <si>
    <t>Veranópolis</t>
  </si>
  <si>
    <t>Demais compromissos a pagar em obras, empréstimos, prestação de serviços, pagamento de honorários, acertos, multas ambientais, processos administrativos, etc., devidamente elencados nas OBSERVAÇÕES, nos itens “1” ao “24”.</t>
  </si>
  <si>
    <r>
      <rPr>
        <rFont val="Calibri"/>
        <color theme="1"/>
        <sz val="10.0"/>
      </rPr>
      <t xml:space="preserve">Um carro automóvel FORD, cor vermelha, ano 1929 = </t>
    </r>
    <r>
      <rPr>
        <rFont val="Calibri"/>
        <b/>
        <color theme="1"/>
        <sz val="10.0"/>
      </rPr>
      <t>PLACA IKR 3B22</t>
    </r>
    <r>
      <rPr>
        <rFont val="Calibri"/>
        <color theme="1"/>
        <sz val="10.0"/>
      </rPr>
      <t xml:space="preserve"> – FUBICA. | valor: R$ 40.000,00</t>
    </r>
  </si>
  <si>
    <r>
      <rPr>
        <rFont val="Calibri"/>
        <color theme="1"/>
        <sz val="10.0"/>
      </rPr>
      <t xml:space="preserve">Uma camionete FORD RANGER, cor prata, ano 2010 = </t>
    </r>
    <r>
      <rPr>
        <rFont val="Calibri"/>
        <b/>
        <color theme="1"/>
        <sz val="10.0"/>
      </rPr>
      <t>PLACA NPQ OI67</t>
    </r>
    <r>
      <rPr>
        <rFont val="Calibri"/>
        <color theme="1"/>
        <sz val="10.0"/>
      </rPr>
      <t>. | valor: R$ 67.000,00</t>
    </r>
  </si>
  <si>
    <r>
      <rPr>
        <rFont val="Calibri"/>
        <color theme="1"/>
        <sz val="10.0"/>
      </rPr>
      <t xml:space="preserve">Um veículo JEEP COMPASS = </t>
    </r>
    <r>
      <rPr>
        <rFont val="Calibri"/>
        <b/>
        <color theme="1"/>
        <sz val="10.0"/>
      </rPr>
      <t>PLACA GHX 9I84</t>
    </r>
    <r>
      <rPr>
        <rFont val="Calibri"/>
        <color theme="1"/>
        <sz val="10.0"/>
      </rPr>
      <t>, cor cinza, ano 2022. | valor: R$ 150.000,00</t>
    </r>
  </si>
  <si>
    <r>
      <rPr>
        <rFont val="Calibri"/>
        <color rgb="FF000000"/>
        <sz val="10.0"/>
      </rPr>
      <t xml:space="preserve">Conforme </t>
    </r>
    <r>
      <rPr>
        <rFont val="Calibri"/>
        <b/>
        <color rgb="FF000000"/>
        <sz val="10.0"/>
      </rPr>
      <t>INSTRUMENTO PARTICULAR DE COMPRA E VENDA DE QUOTAS DE CAPITAL, NA SOCIEDADE DE EMPRESAS DE RESPONSABILIDADE LIMITADA</t>
    </r>
    <r>
      <rPr>
        <rFont val="Calibri"/>
        <color rgb="FF000000"/>
        <sz val="10.0"/>
      </rPr>
      <t xml:space="preserve">, datado de 28 de agosto de 2025, o Sócio </t>
    </r>
    <r>
      <rPr>
        <rFont val="Calibri"/>
        <b/>
        <color rgb="FF000000"/>
        <sz val="10.0"/>
      </rPr>
      <t>ROVÍLIO SIVIERO</t>
    </r>
    <r>
      <rPr>
        <rFont val="Calibri"/>
        <color rgb="FF000000"/>
        <sz val="10.0"/>
      </rPr>
      <t xml:space="preserve">,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t>
    </r>
    <r>
      <rPr>
        <rFont val="Calibri"/>
        <b/>
        <color rgb="FF000000"/>
        <sz val="10.0"/>
      </rPr>
      <t>Maristela Pretto Siviero</t>
    </r>
    <r>
      <rPr>
        <rFont val="Calibri"/>
        <color rgb="FF000000"/>
        <sz val="10.0"/>
      </rPr>
      <t xml:space="preserve">, brasileira, professora, filha de Alberto José Pretto e de Iracema Antônia Pretto, inscrita no CPF/MF sob nº 260.949.670/20 e portadora da Carteira de Identidade nº 22.827.317-1, emitida pela SSP – SC, </t>
    </r>
    <r>
      <rPr>
        <rFont val="Calibri"/>
        <b/>
        <color rgb="FF000000"/>
        <sz val="10.0"/>
      </rPr>
      <t>efetuaram a VENDA</t>
    </r>
    <r>
      <rPr>
        <rFont val="Calibri"/>
        <color rgb="FF000000"/>
        <sz val="10.0"/>
      </rPr>
      <t xml:space="preserve"> das quotas que lhes pertenciam à empresa, diluídas em partes iguais aos demais sócios remanescentes.
As cotas de capital do sócio Rovílio Siviero, que correspondem ao percentual de </t>
    </r>
    <r>
      <rPr>
        <rFont val="Calibri"/>
        <b/>
        <color rgb="FF000000"/>
        <sz val="10.0"/>
      </rPr>
      <t>2,00% (Dois por cento)</t>
    </r>
    <r>
      <rPr>
        <rFont val="Calibri"/>
        <color rgb="FF000000"/>
        <sz val="10.0"/>
      </rPr>
      <t xml:space="preserve"> nas empresas – </t>
    </r>
    <r>
      <rPr>
        <rFont val="Calibri"/>
        <b/>
        <color rgb="FF000000"/>
        <sz val="10.0"/>
      </rPr>
      <t>Siviero Empreendimentos Imobiliários Ltda., Abastecedora de Combustíveis Siviero Ltda., Transportadora Irmãos Siviero Ltda.</t>
    </r>
    <r>
      <rPr>
        <rFont val="Calibri"/>
        <color rgb="FF000000"/>
        <sz val="10.0"/>
      </rPr>
      <t xml:space="preserve"> e de </t>
    </r>
    <r>
      <rPr>
        <rFont val="Calibri"/>
        <b/>
        <color rgb="FF000000"/>
        <sz val="10.0"/>
      </rPr>
      <t>1,00% (Um por cento)</t>
    </r>
    <r>
      <rPr>
        <rFont val="Calibri"/>
        <color rgb="FF000000"/>
        <sz val="10.0"/>
      </rPr>
      <t xml:space="preserve"> nas empresas – </t>
    </r>
    <r>
      <rPr>
        <rFont val="Calibri"/>
        <b/>
        <color rgb="FF000000"/>
        <sz val="10.0"/>
      </rPr>
      <t>Turismo Siviero Ltda.</t>
    </r>
    <r>
      <rPr>
        <rFont val="Calibri"/>
        <color rgb="FF000000"/>
        <sz val="10.0"/>
      </rPr>
      <t xml:space="preserve"> e Siviero Transportes Ltda., sobre o valor total do patrimônio da empresas, foram devidamente acertadas, anteriormente ao presente ato, sendo acertadas através do pagamento através de imóveis – lotes – e parte em dinheiro, no total de R$ 3.440.082,00 (Três milhões, quatrocentos e quarenta mil e oitenta e dois reais), da seguinte forma:
03 (Três) lotes localizados no Condomínio Morada dos Ipês I, no Município de Passo Fundo:
Lote nº 13         –         Quadra nº 02         –         R$ 500.000,00.                        PAGO
Lote nº 10         –         Quadra nº 02         –         R$ 587.510,00.                        PAGO
Lote nº 07         –         Quadra nº 04         –         R$ 432.072,00.                        PAGO
02 (Dois lotes localizados no Loteamento Nossa Senhora da Saúde, no Município de Guaporé:
Lote nº 12         –         Quadra nº 237         –         R$ 75.000,00.                        PAGO
Lote nº 15         –         Quadra nº 252         –         R$ 60.000,00.                        PAGO
R$ 110.000,00 (Cento e dez mil reais), pagos em espécie.
R$ 25.500,00 (Vinte e cinco mil reais), pagos em espécie.
03 (Três) lotes localizados no Condomínio Morada dos Ipês II, no Município de Passo Fundo:
</t>
    </r>
    <r>
      <rPr>
        <rFont val="Calibri"/>
        <b/>
        <color rgb="FF980000"/>
        <sz val="10.0"/>
      </rPr>
      <t>Lote nº ....         –         Quadra nº ....         –         R$ 550.000,00.                        À PAGAR
Lote nº ....         –         Quadra nº ....         –         R$ 550.000,00.                        À PAGAR
Lote nº ....         –         Quadra nº ....         –         R$ 550.000,00.                        À PAGAR</t>
    </r>
    <r>
      <rPr>
        <rFont val="Calibri"/>
        <b/>
        <color rgb="FF000000"/>
        <sz val="10.0"/>
      </rPr>
      <t xml:space="preserve">
</t>
    </r>
    <r>
      <rPr>
        <rFont val="Calibri"/>
        <b/>
        <color rgb="FF980000"/>
        <sz val="10.0"/>
      </rPr>
      <t>R$ 1.650.000,00</t>
    </r>
    <r>
      <rPr>
        <rFont val="Calibri"/>
        <color rgb="FF000000"/>
        <sz val="10.0"/>
      </rPr>
      <t xml:space="preserve">
</t>
    </r>
  </si>
  <si>
    <r>
      <rPr>
        <rFont val="Calibri"/>
        <color theme="1"/>
        <sz val="10.0"/>
      </rPr>
      <t xml:space="preserve">Um veículo DODGE = </t>
    </r>
    <r>
      <rPr>
        <rFont val="Calibri"/>
        <b/>
        <color theme="1"/>
        <sz val="10.0"/>
      </rPr>
      <t>PLACA IQJ 5001</t>
    </r>
    <r>
      <rPr>
        <rFont val="Calibri"/>
        <color theme="1"/>
        <sz val="10.0"/>
      </rPr>
      <t>, cor azul, ano 1978.
VENDIDO PELO VALOR DE R$ 30.000,00, EM TROCA DE PALANQUES E POSTES DE MADEIRA.</t>
    </r>
  </si>
  <si>
    <r>
      <rPr>
        <rFont val="Calibri"/>
        <color theme="1"/>
        <sz val="10.0"/>
      </rPr>
      <t xml:space="preserve">Rovílio tinha direito à 2% das empresas Empreendimentos, Abastecedora e Transportadora. Ele recebeu </t>
    </r>
    <r>
      <rPr>
        <rFont val="Calibri"/>
        <b/>
        <color theme="1"/>
        <sz val="10.0"/>
      </rPr>
      <t>R$ 3,440,082.00</t>
    </r>
    <r>
      <rPr>
        <rFont val="Calibri"/>
        <color theme="1"/>
        <sz val="10.0"/>
      </rPr>
      <t xml:space="preserve"> 
A mesma avaliação feita pelo levantamento deles totaliza o valor abaixo:
                   Siviero Emp. Imob. Ltda.:            R$ 2,017,480.55 
        Abastecedora de Combustíveis:            R$    193,228.28 
         Transportadora Irmãos Siviero:    </t>
    </r>
    <r>
      <rPr>
        <rFont val="Calibri"/>
        <color theme="1"/>
        <sz val="10.0"/>
        <u/>
      </rPr>
      <t xml:space="preserve">        R$     327,499.72 
</t>
    </r>
    <r>
      <rPr>
        <rFont val="Calibri"/>
        <color theme="1"/>
        <sz val="10.0"/>
      </rPr>
      <t xml:space="preserve">                                                     </t>
    </r>
    <r>
      <rPr>
        <rFont val="Calibri"/>
        <b/>
        <color theme="1"/>
        <sz val="10.0"/>
      </rPr>
      <t>TOTAL            R$ 2,538,208.55</t>
    </r>
    <r>
      <rPr>
        <rFont val="Calibri"/>
        <color theme="1"/>
        <sz val="10.0"/>
      </rPr>
      <t xml:space="preserve"> 
A avaliação que eles fizeram está </t>
    </r>
    <r>
      <rPr>
        <rFont val="Calibri"/>
        <b/>
        <color theme="1"/>
        <sz val="10.0"/>
      </rPr>
      <t>36.53% abaixo</t>
    </r>
    <r>
      <rPr>
        <rFont val="Calibri"/>
        <color theme="1"/>
        <sz val="10.0"/>
      </rPr>
      <t xml:space="preserve"> do acerto com Rovílio</t>
    </r>
  </si>
  <si>
    <r>
      <rPr>
        <rFont val="Calibri"/>
        <color theme="1"/>
        <sz val="10.0"/>
      </rPr>
      <t xml:space="preserve">Um semirreboque ARTESANAL = </t>
    </r>
    <r>
      <rPr>
        <rFont val="Calibri"/>
        <b/>
        <color theme="1"/>
        <sz val="10.0"/>
      </rPr>
      <t>PLACA IIH 6326</t>
    </r>
    <r>
      <rPr>
        <rFont val="Calibri"/>
        <color theme="1"/>
        <sz val="10.0"/>
      </rPr>
      <t>, cor branca, ano 1986. | valor: R$ 20.000,00</t>
    </r>
  </si>
  <si>
    <t>Solar Norte I e II</t>
  </si>
  <si>
    <r>
      <rPr>
        <rFont val="Calibri"/>
        <color theme="1"/>
        <sz val="10.0"/>
      </rPr>
      <t xml:space="preserve">Existe em tramitação uma infração ambiental aplicada sobre a área de terras do </t>
    </r>
    <r>
      <rPr>
        <rFont val="Calibri"/>
        <b/>
        <color theme="1"/>
        <sz val="10.0"/>
      </rPr>
      <t>LOTEAMENTO PERINI</t>
    </r>
    <r>
      <rPr>
        <rFont val="Calibri"/>
        <color theme="1"/>
        <sz val="10.0"/>
      </rPr>
      <t xml:space="preserve">, de </t>
    </r>
    <r>
      <rPr>
        <rFont val="Calibri"/>
        <b/>
        <color theme="1"/>
        <sz val="10.0"/>
      </rPr>
      <t>Farroupilha</t>
    </r>
    <r>
      <rPr>
        <rFont val="Calibri"/>
        <color theme="1"/>
        <sz val="10.0"/>
      </rPr>
      <t xml:space="preserve">, em discussão de forma judicial, no valor aproximado de R$ 5.000.000,00 (Cinco milhões de reais).
</t>
    </r>
    <r>
      <rPr>
        <rFont val="Calibri"/>
        <b/>
        <color rgb="FF980000"/>
        <sz val="10.0"/>
      </rPr>
      <t>R$ 5.000.000,00</t>
    </r>
  </si>
  <si>
    <r>
      <rPr>
        <rFont val="Calibri"/>
        <color theme="1"/>
        <sz val="10.0"/>
      </rPr>
      <t xml:space="preserve">Em trâmite, o Processo Judicial do Ministério Público de Farroupilha, que questionas uma </t>
    </r>
    <r>
      <rPr>
        <rFont val="Calibri"/>
        <b/>
        <color theme="1"/>
        <sz val="10.0"/>
      </rPr>
      <t>FONTE DE ÁGUA</t>
    </r>
    <r>
      <rPr>
        <rFont val="Calibri"/>
        <color theme="1"/>
        <sz val="10.0"/>
      </rPr>
      <t xml:space="preserve"> na área de terras do </t>
    </r>
    <r>
      <rPr>
        <rFont val="Calibri"/>
        <b/>
        <color theme="1"/>
        <sz val="10.0"/>
      </rPr>
      <t>LOTEAMENTO DALZÓCHIO</t>
    </r>
    <r>
      <rPr>
        <rFont val="Calibri"/>
        <color theme="1"/>
        <sz val="10.0"/>
      </rPr>
      <t xml:space="preserve">, em discussão de forma judicial desde meados dos anos 2006, ainda sem acordo dentre MINISTÉRIO PÚBLICO x MUNICÍPIO DE FARROUPILHA x SIVIERO x FAMÍLIA DALZÓCHIO, no valor aproximado de R$ 2.200.000,00 (Dois milhões e duzentos mil reais).
</t>
    </r>
    <r>
      <rPr>
        <rFont val="Calibri"/>
        <b/>
        <color rgb="FF980000"/>
        <sz val="10.0"/>
      </rPr>
      <t>R$ 2.200.000,00</t>
    </r>
  </si>
  <si>
    <r>
      <rPr>
        <rFont val="Calibri"/>
        <color theme="1"/>
        <sz val="10.0"/>
      </rPr>
      <t xml:space="preserve">Um veículo camionete, marca </t>
    </r>
    <r>
      <rPr>
        <rFont val="Calibri"/>
        <b/>
        <color theme="1"/>
        <sz val="10.0"/>
      </rPr>
      <t>FORD, F1000</t>
    </r>
    <r>
      <rPr>
        <rFont val="Calibri"/>
        <color theme="1"/>
        <sz val="10.0"/>
      </rPr>
      <t xml:space="preserve"> TURBO XL = </t>
    </r>
    <r>
      <rPr>
        <rFont val="Calibri"/>
        <b/>
        <color theme="1"/>
        <sz val="10.0"/>
      </rPr>
      <t>PLACA IIO 5901</t>
    </r>
    <r>
      <rPr>
        <rFont val="Calibri"/>
        <color theme="1"/>
        <sz val="10.0"/>
      </rPr>
      <t>, cor prata, ano 1998 – Pedro Siviero.</t>
    </r>
  </si>
  <si>
    <r>
      <rPr>
        <rFont val="Calibri"/>
        <color theme="1"/>
        <sz val="10.0"/>
      </rPr>
      <t xml:space="preserve">No </t>
    </r>
    <r>
      <rPr>
        <rFont val="Calibri"/>
        <b/>
        <color theme="1"/>
        <sz val="10.0"/>
      </rPr>
      <t>Loteamento Jardim Itália</t>
    </r>
    <r>
      <rPr>
        <rFont val="Calibri"/>
        <color theme="1"/>
        <sz val="10.0"/>
      </rPr>
      <t xml:space="preserve">, de Farroupilha está em trâmite um </t>
    </r>
    <r>
      <rPr>
        <rFont val="Calibri"/>
        <b/>
        <color theme="1"/>
        <sz val="10.0"/>
      </rPr>
      <t>Processo Judicial</t>
    </r>
    <r>
      <rPr>
        <rFont val="Calibri"/>
        <color theme="1"/>
        <sz val="10.0"/>
      </rPr>
      <t xml:space="preserve"> impetrado pelo </t>
    </r>
    <r>
      <rPr>
        <rFont val="Calibri"/>
        <b/>
        <color theme="1"/>
        <sz val="10.0"/>
      </rPr>
      <t>Ministério Público</t>
    </r>
    <r>
      <rPr>
        <rFont val="Calibri"/>
        <color theme="1"/>
        <sz val="10.0"/>
      </rPr>
      <t xml:space="preserve"> referente ao trecho da canalização – </t>
    </r>
    <r>
      <rPr>
        <rFont val="Calibri"/>
        <b/>
        <color theme="1"/>
        <sz val="10.0"/>
      </rPr>
      <t>área de APP</t>
    </r>
    <r>
      <rPr>
        <rFont val="Calibri"/>
        <color theme="1"/>
        <sz val="10.0"/>
      </rPr>
      <t>.</t>
    </r>
  </si>
  <si>
    <r>
      <rPr>
        <rFont val="Calibri"/>
        <color theme="1"/>
        <sz val="10.0"/>
      </rPr>
      <t xml:space="preserve">No </t>
    </r>
    <r>
      <rPr>
        <rFont val="Calibri"/>
        <b/>
        <color theme="1"/>
        <sz val="10.0"/>
      </rPr>
      <t>Loteamento San Marino</t>
    </r>
    <r>
      <rPr>
        <rFont val="Calibri"/>
        <color theme="1"/>
        <sz val="10.0"/>
      </rPr>
      <t xml:space="preserve">, de Farroupilha, tem pendente a </t>
    </r>
    <r>
      <rPr>
        <rFont val="Calibri"/>
        <b/>
        <color theme="1"/>
        <sz val="10.0"/>
      </rPr>
      <t>construção da Estação de Tratamento de Esgoto – ETE</t>
    </r>
    <r>
      <rPr>
        <rFont val="Calibri"/>
        <color theme="1"/>
        <sz val="10.0"/>
      </rPr>
      <t xml:space="preserve">, para atendimento ao acordado como o Município de Farroupilha. A empresa tem vigente este compromisso, que até esta data ainda está passível da elaboração do projeto, aprovação pelos órgãos competentes, execução da obra, doação de um lote para a instalação da ETE, dentre outros custos, ainda não estimados, em virtude do tamanho que deverá ser necessária sua construção e, posterior aceite também pelos órgãos competentes responsáveis pelo seu uso, manutenção e conservação.
5.1)         Valor do terreno: </t>
    </r>
    <r>
      <rPr>
        <rFont val="Calibri"/>
        <b/>
        <color theme="1"/>
        <sz val="10.0"/>
      </rPr>
      <t>R$ 230.000,00</t>
    </r>
    <r>
      <rPr>
        <rFont val="Calibri"/>
        <color theme="1"/>
        <sz val="10.0"/>
      </rPr>
      <t xml:space="preserve">
5.2)         Valor do custo aproximado para a construção da ETE: </t>
    </r>
    <r>
      <rPr>
        <rFont val="Calibri"/>
        <b/>
        <color theme="1"/>
        <sz val="10.0"/>
      </rPr>
      <t>R$ 300.000,00</t>
    </r>
    <r>
      <rPr>
        <rFont val="Calibri"/>
        <color theme="1"/>
        <sz val="10.0"/>
      </rPr>
      <t xml:space="preserve">
</t>
    </r>
    <r>
      <rPr>
        <rFont val="Calibri"/>
        <b/>
        <color rgb="FF980000"/>
        <sz val="10.0"/>
      </rPr>
      <t xml:space="preserve">        TOTAL: R$ 530.000,00 (QUINHENTOS E TRINTA MIL REAIS).</t>
    </r>
  </si>
  <si>
    <t>Qual terreno (algum dos 8 da última relação)?
Não tem nenhum terreno de R$230.000.00</t>
  </si>
  <si>
    <r>
      <rPr>
        <rFont val="Calibri"/>
        <color theme="1"/>
        <sz val="10.0"/>
      </rPr>
      <t xml:space="preserve">Um veículo camionete, marca </t>
    </r>
    <r>
      <rPr>
        <rFont val="Calibri"/>
        <b/>
        <color theme="1"/>
        <sz val="10.0"/>
      </rPr>
      <t>FORD, F1000</t>
    </r>
    <r>
      <rPr>
        <rFont val="Calibri"/>
        <color theme="1"/>
        <sz val="10.0"/>
      </rPr>
      <t xml:space="preserve"> 4x4 = PLACA </t>
    </r>
    <r>
      <rPr>
        <rFont val="Calibri"/>
        <b/>
        <color theme="1"/>
        <sz val="10.0"/>
      </rPr>
      <t>IHP 6607</t>
    </r>
    <r>
      <rPr>
        <rFont val="Calibri"/>
        <color theme="1"/>
        <sz val="10.0"/>
      </rPr>
      <t>, cor prata, ano 1994 – Válter Siviero.</t>
    </r>
  </si>
  <si>
    <t>Lotes que existiam em 2018 e não constam em out/2025</t>
  </si>
  <si>
    <r>
      <rPr>
        <rFont val="Calibri"/>
        <color theme="1"/>
        <sz val="10.0"/>
      </rPr>
      <t xml:space="preserve">Está em trâmite, basicamente com decisão já proferido pelo Ministério Público, com acato da Juíza da decisão, sobre uma área de </t>
    </r>
    <r>
      <rPr>
        <rFont val="Calibri"/>
        <b/>
        <color theme="1"/>
        <sz val="10.0"/>
      </rPr>
      <t>AAP em 07 (sete) lotes no Loteamento Lago Negro</t>
    </r>
    <r>
      <rPr>
        <rFont val="Calibri"/>
        <color theme="1"/>
        <sz val="10.0"/>
      </rPr>
      <t>. Com esta caracterização de APP, a empresa fez a</t>
    </r>
    <r>
      <rPr>
        <rFont val="Calibri"/>
        <b/>
        <color theme="1"/>
        <sz val="10.0"/>
      </rPr>
      <t xml:space="preserve"> indenização de 02 lotes para a Família Candiago e Terceiro, objeto de Dação em Pagamento</t>
    </r>
    <r>
      <rPr>
        <rFont val="Calibri"/>
        <color theme="1"/>
        <sz val="10.0"/>
      </rPr>
      <t xml:space="preserve">.
Carece o cumprimento do PRAD, sua execução e pagamento de todas as custas processuais e honorários, estimada a importância de aproximadamente </t>
    </r>
    <r>
      <rPr>
        <rFont val="Calibri"/>
        <b/>
        <color rgb="FF980000"/>
        <sz val="10.0"/>
      </rPr>
      <t>R$ 80.000,00 (Oitenta mil reais)</t>
    </r>
    <r>
      <rPr>
        <rFont val="Calibri"/>
        <color theme="1"/>
        <sz val="10.0"/>
      </rPr>
      <t>.</t>
    </r>
  </si>
  <si>
    <r>
      <rPr>
        <rFont val="Calibri"/>
        <color theme="1"/>
        <sz val="10.0"/>
      </rPr>
      <t xml:space="preserve">Em fase final de cálculos de atualização de valores, pelo Ministério Público de Farroupilha, na área de terras da </t>
    </r>
    <r>
      <rPr>
        <rFont val="Calibri"/>
        <b/>
        <color theme="1"/>
        <sz val="10.0"/>
      </rPr>
      <t>Família Acordi</t>
    </r>
    <r>
      <rPr>
        <rFont val="Calibri"/>
        <color theme="1"/>
        <sz val="10.0"/>
      </rPr>
      <t xml:space="preserve">, há uma pendência a ser paga pela empresa, conforme acordo </t>
    </r>
    <r>
      <rPr>
        <rFont val="Calibri"/>
        <b/>
        <color theme="1"/>
        <sz val="10.0"/>
      </rPr>
      <t>já firmado e já pago o valor principal da multa.</t>
    </r>
    <r>
      <rPr>
        <rFont val="Calibri"/>
        <color theme="1"/>
        <sz val="10.0"/>
      </rPr>
      <t xml:space="preserve">
Carece ainda para conclusão do Processo, o pagamento da </t>
    </r>
    <r>
      <rPr>
        <rFont val="Calibri"/>
        <b/>
        <color theme="1"/>
        <sz val="10.0"/>
      </rPr>
      <t>atualização do valor pago e firmar um TAC junto ao Ministério Público para cumprimento de um PRAD.</t>
    </r>
    <r>
      <rPr>
        <rFont val="Calibri"/>
        <color theme="1"/>
        <sz val="10.0"/>
      </rPr>
      <t xml:space="preserve">
A multa que reportava um valor de aproximadamente R$ 1.000.000,00 foi reduzida para aproximadamente R$ 80.000,00 (já pagos) e é este valor quer deverá ser atualizado.
A redução do valor foi justificada pelo mesmo critério adotado pelo Município de Farroupilha, donde com desconto pagou-se uma multa de aproximadamente R$ 70.000,00 (já quitada).
Carece o cumprimento do PRAD, sua execução final e pagamento de todas as custas processuais e honorários, estimada a importância de aproximadamente </t>
    </r>
    <r>
      <rPr>
        <rFont val="Calibri"/>
        <b/>
        <color rgb="FF980000"/>
        <sz val="10.0"/>
      </rPr>
      <t>R$ 100.000,00 (Cem mil reais).</t>
    </r>
  </si>
  <si>
    <t>Lista montada cruzando a aba 11.Empreendimentos (inventário de 2018 e lista de outubro 2025) com o arquivo 17 (lotes vendidos de jan/2018 a out/2025, rev. 13/08/2026) e o arquivo 18 (lotes vendidos e pagamentos de Válter Siviero), ambos da pasta "2026-08-13 — [siviero] respostas docs". O inventário de 2018 só informa a quantidade de lotes por loteamento, por isso o resumo compara essa quantidade com os lotes identificados.</t>
  </si>
  <si>
    <r>
      <rPr>
        <rFont val="Calibri"/>
        <color theme="1"/>
        <sz val="10.0"/>
      </rPr>
      <t xml:space="preserve">Um veículo </t>
    </r>
    <r>
      <rPr>
        <rFont val="Calibri"/>
        <b/>
        <color theme="1"/>
        <sz val="10.0"/>
      </rPr>
      <t>GOL</t>
    </r>
    <r>
      <rPr>
        <rFont val="Calibri"/>
        <color theme="1"/>
        <sz val="10.0"/>
      </rPr>
      <t xml:space="preserve">, marca VW 1.6 = </t>
    </r>
    <r>
      <rPr>
        <rFont val="Calibri"/>
        <b/>
        <color theme="1"/>
        <sz val="10.0"/>
      </rPr>
      <t>PLACA IQS 7696</t>
    </r>
    <r>
      <rPr>
        <rFont val="Calibri"/>
        <color theme="1"/>
        <sz val="10.0"/>
      </rPr>
      <t>, cor cinza, ano 2010 – João Lunelli.</t>
    </r>
  </si>
  <si>
    <t>É necessário transmitir todas as ESCRITURAS PÚBLICAS dos IMÓVEIS pertencentes aos SÓCIOS DA EMPRESA, onde implicará, conforme o caso da transmissão, na tributação de impostos no percentual de 5,93% (PIS-COFINS-IRPJ-CSLL), calculados sobre o valor declarado na escritura, que se houver a aplicação do adicional de 10,00%, totaliza-se um percentual de 7,00% (Sete por cento).</t>
  </si>
  <si>
    <t>Resumo por loteamento</t>
  </si>
  <si>
    <r>
      <rPr>
        <rFont val="Calibri"/>
        <color theme="1"/>
        <sz val="10.0"/>
      </rPr>
      <t xml:space="preserve">Neste rol de custas, devem-se levar em consideração como custo da empresa, àquelas áreas rurais que estão adquiridas por contrato, e que por algum motivo particular de cada negócio, ainda não foram escrituradas em nome da empresa. É necessário, em algumas instruir processo de fracionamento ou desmembramento, levantamento topográfico georreferenciado, delimitar a área, etc. Carece num custo aproximado de </t>
    </r>
    <r>
      <rPr>
        <rFont val="Calibri"/>
        <b/>
        <color rgb="FF980000"/>
        <sz val="10.0"/>
      </rPr>
      <t>R$ 250.000,00 (Duzentos e cinquenta mil reais).</t>
    </r>
  </si>
  <si>
    <t>Quais áreas:
Fazenda São Crispin?
Áreas de compensação?</t>
  </si>
  <si>
    <r>
      <rPr>
        <rFont val="Calibri"/>
        <color theme="1"/>
        <sz val="10.0"/>
      </rPr>
      <t xml:space="preserve">Um veículo </t>
    </r>
    <r>
      <rPr>
        <rFont val="Calibri"/>
        <b/>
        <color theme="1"/>
        <sz val="10.0"/>
      </rPr>
      <t>caminhão, marca SCÂNIA</t>
    </r>
    <r>
      <rPr>
        <rFont val="Calibri"/>
        <color theme="1"/>
        <sz val="10.0"/>
      </rPr>
      <t xml:space="preserve"> = </t>
    </r>
    <r>
      <rPr>
        <rFont val="Calibri"/>
        <b/>
        <color theme="1"/>
        <sz val="10.0"/>
      </rPr>
      <t>PLACA IIX 8288</t>
    </r>
    <r>
      <rPr>
        <rFont val="Calibri"/>
        <color theme="1"/>
        <sz val="10.0"/>
      </rPr>
      <t>, cor laranja, ano 1963. | valor: R$ 30.000,00</t>
    </r>
  </si>
  <si>
    <t>Considerar, que a empresa ainda tem um passivo de imóveis vendidos, ou por contrato de compra e venda, ou como o compromisso de transmiti-los na forma de dação em pagamento, que ainda não foram transmitidas, incidindo neste caso a aplicação do percentual dos impostos devidos calculados sobre o valor declarado na Escritura de Compra e Venda.</t>
  </si>
  <si>
    <t>Lotes out/2025</t>
  </si>
  <si>
    <t>Redução 2018 → 2025</t>
  </si>
  <si>
    <t>Lotes na lista</t>
  </si>
  <si>
    <t>Na lista com data anterior a 2018</t>
  </si>
  <si>
    <t>Diferença (lista − redução)</t>
  </si>
  <si>
    <r>
      <rPr>
        <rFont val="Calibri"/>
        <b/>
        <color theme="1"/>
        <sz val="10.0"/>
      </rPr>
      <t>Sobre a venda</t>
    </r>
    <r>
      <rPr>
        <rFont val="Calibri"/>
        <color theme="1"/>
        <sz val="10.0"/>
      </rPr>
      <t xml:space="preserve"> – valor declarado na Escritura Pública de Compra e Venda – deve ser considerado um custo de 7,00% (Sete por cento) de impostos: PIS – COFINS – IRPJ – CSLL.</t>
    </r>
  </si>
  <si>
    <r>
      <rPr>
        <rFont val="Calibri"/>
        <b/>
        <color theme="1"/>
        <sz val="10.0"/>
      </rPr>
      <t>Sobre a venda</t>
    </r>
    <r>
      <rPr>
        <rFont val="Calibri"/>
        <color theme="1"/>
        <sz val="10.0"/>
      </rPr>
      <t xml:space="preserve"> – valor do negócio da venda – deve ser considerado um custo de 6,00% (Seis por cento) de comissão. </t>
    </r>
  </si>
  <si>
    <t>Aditivo Medianeira</t>
  </si>
  <si>
    <r>
      <rPr>
        <rFont val="Calibri"/>
        <b/>
        <color theme="1"/>
        <sz val="10.0"/>
      </rPr>
      <t>CELESTINO ROSSI - Arquiteto</t>
    </r>
    <r>
      <rPr>
        <rFont val="Calibri"/>
        <color theme="1"/>
        <sz val="10.0"/>
      </rPr>
      <t xml:space="preserve"> – A empresa deverá fazer um acerto pelos serviços prestados pelo Arquiteto Celestino Rossi, na elaboração de </t>
    </r>
    <r>
      <rPr>
        <rFont val="Calibri"/>
        <b/>
        <color theme="1"/>
        <sz val="10.0"/>
      </rPr>
      <t>Projetos Urbanísticos e Complementares</t>
    </r>
    <r>
      <rPr>
        <rFont val="Calibri"/>
        <color theme="1"/>
        <sz val="10.0"/>
      </rPr>
      <t xml:space="preserve">, retificação de áreas e registro, em Loteamentos nas cidades de Veranópolis, Farroupilha e Caxias do Sul, donde o </t>
    </r>
    <r>
      <rPr>
        <rFont val="Calibri"/>
        <b/>
        <color theme="1"/>
        <sz val="10.0"/>
      </rPr>
      <t>acerto combinado é através de lotes</t>
    </r>
    <r>
      <rPr>
        <rFont val="Calibri"/>
        <color theme="1"/>
        <sz val="10.0"/>
      </rPr>
      <t xml:space="preserve"> para cada Loteamento, conforme está estabelecido nos acordos firmados dentre as partes. O valor dos honorários equivale a 03 (três) lotes urbanos, no valor global de </t>
    </r>
    <r>
      <rPr>
        <rFont val="Calibri"/>
        <b/>
        <color rgb="FF980000"/>
        <sz val="10.0"/>
      </rPr>
      <t>R$ 600.000,00 (Seiscentos mil reais).</t>
    </r>
  </si>
  <si>
    <r>
      <rPr>
        <rFont val="Calibri"/>
        <b/>
        <color theme="1"/>
        <sz val="10.0"/>
      </rPr>
      <t>SOLAR SERRA PLACAS SOLARES – MÁRIO BORDIGNON –</t>
    </r>
    <r>
      <rPr>
        <rFont val="Calibri"/>
        <color theme="1"/>
        <sz val="10.0"/>
      </rPr>
      <t xml:space="preserve">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t>
    </r>
    <r>
      <rPr>
        <rFont val="Calibri"/>
        <b/>
        <color rgb="FF980000"/>
        <sz val="10.0"/>
      </rPr>
      <t>R$ 150.000,00 (Cento e cinquenta mil reais)</t>
    </r>
    <r>
      <rPr>
        <rFont val="Calibri"/>
        <color theme="1"/>
        <sz val="10.0"/>
      </rPr>
      <t xml:space="preserve">, representados por </t>
    </r>
    <r>
      <rPr>
        <rFont val="Calibri"/>
        <b/>
        <color theme="1"/>
        <sz val="10.0"/>
      </rPr>
      <t>01 LOTE URBANO</t>
    </r>
    <r>
      <rPr>
        <rFont val="Calibri"/>
        <color theme="1"/>
        <sz val="10.0"/>
      </rPr>
      <t>, a escolher em um dos Loteamentos, em Veranópolis, da empresa, para cumprimento ao estabelecido nos acordos firmados dentre as partes.</t>
    </r>
  </si>
  <si>
    <r>
      <rPr>
        <rFont val="Calibri"/>
        <b/>
        <color theme="1"/>
        <sz val="10.0"/>
      </rPr>
      <t>ALEXANDRE SUSIN –</t>
    </r>
    <r>
      <rPr>
        <rFont val="Calibri"/>
        <color theme="1"/>
        <sz val="10.0"/>
      </rPr>
      <t xml:space="preserve"> A empresa deverá fazer o pagamento do </t>
    </r>
    <r>
      <rPr>
        <rFont val="Calibri"/>
        <b/>
        <color theme="1"/>
        <sz val="10.0"/>
      </rPr>
      <t>acerto final,</t>
    </r>
    <r>
      <rPr>
        <rFont val="Calibri"/>
        <color theme="1"/>
        <sz val="10.0"/>
      </rPr>
      <t xml:space="preserve"> conforme acordos celebrados, restando ainda a entrega de </t>
    </r>
    <r>
      <rPr>
        <rFont val="Calibri"/>
        <b/>
        <color theme="1"/>
        <sz val="10.0"/>
      </rPr>
      <t>06 lotes</t>
    </r>
    <r>
      <rPr>
        <rFont val="Calibri"/>
        <color theme="1"/>
        <sz val="10.0"/>
      </rPr>
      <t xml:space="preserve">, para o pleno cumprimento dos acordos firmados e mais o acerto dos valores, que deverão ser pagos como forma de comissão pela intermediação dos contratos firmados com a empresa BURITI, no valor de aproximadamente                             </t>
    </r>
    <r>
      <rPr>
        <rFont val="Calibri"/>
        <b/>
        <color rgb="FF980000"/>
        <sz val="10.0"/>
      </rPr>
      <t>R$ 1.200.000,00 (Hum milhão e duzentos mil reais).</t>
    </r>
  </si>
  <si>
    <r>
      <rPr>
        <rFont val="Calibri"/>
        <b/>
        <color theme="1"/>
        <sz val="10.0"/>
      </rPr>
      <t>LOTEAMENTO RESERVA FALAVIGNA - Flores da Cunha</t>
    </r>
    <r>
      <rPr>
        <rFont val="Calibri"/>
        <color theme="1"/>
        <sz val="10.0"/>
      </rPr>
      <t xml:space="preserve"> – Conclusão da pavimentação das ruas do Sistema Viário + conclusão das obras do parque + construção da galeria para escoamento pluvial, o que importam num custo estimado em aproximadamente </t>
    </r>
    <r>
      <rPr>
        <rFont val="Calibri"/>
        <b/>
        <color rgb="FF980000"/>
        <sz val="10.0"/>
      </rPr>
      <t>R$ 2.000.000,00 (Dois milhões de reais)</t>
    </r>
    <r>
      <rPr>
        <rFont val="Calibri"/>
        <color theme="1"/>
        <sz val="10.0"/>
      </rPr>
      <t xml:space="preserve"> – Para conclusão destes serviços estão em garantia hipotecária junto ao Município de Flores da Cunha, LOTES do próprio Loteamento, de propriedade da empresa e da Família Falavigna. Para a </t>
    </r>
    <r>
      <rPr>
        <rFont val="Calibri"/>
        <b/>
        <color theme="1"/>
        <sz val="10.0"/>
      </rPr>
      <t>construção da galeria</t>
    </r>
    <r>
      <rPr>
        <rFont val="Calibri"/>
        <color theme="1"/>
        <sz val="10.0"/>
      </rPr>
      <t xml:space="preserve"> são necessários o valor de aproximadamente </t>
    </r>
    <r>
      <rPr>
        <rFont val="Calibri"/>
        <b/>
        <color theme="1"/>
        <sz val="10.0"/>
      </rPr>
      <t>R$ 1.200.000,00 (Hum milhão e duzentos mil reais)</t>
    </r>
    <r>
      <rPr>
        <rFont val="Calibri"/>
        <color theme="1"/>
        <sz val="10.0"/>
      </rPr>
      <t xml:space="preserve"> e para a conclusão dos demais </t>
    </r>
    <r>
      <rPr>
        <rFont val="Calibri"/>
        <b/>
        <color theme="1"/>
        <sz val="10.0"/>
      </rPr>
      <t>serviços de urbanismo e infraestrutura no PARQUE</t>
    </r>
    <r>
      <rPr>
        <rFont val="Calibri"/>
        <color theme="1"/>
        <sz val="10.0"/>
      </rPr>
      <t xml:space="preserve">, mais o valor aproximado de </t>
    </r>
    <r>
      <rPr>
        <rFont val="Calibri"/>
        <b/>
        <color theme="1"/>
        <sz val="10.0"/>
      </rPr>
      <t>R$ 800.000,00 (Oitocentos mil reais)</t>
    </r>
    <r>
      <rPr>
        <rFont val="Calibri"/>
        <color theme="1"/>
        <sz val="10.0"/>
      </rPr>
      <t>.</t>
    </r>
  </si>
  <si>
    <t>Os Loteamentos dados em garantia constam na última relação?</t>
  </si>
  <si>
    <t>11.2.5</t>
  </si>
  <si>
    <t>Empréstimos / Financiamentos</t>
  </si>
  <si>
    <t>Os 3 lotes do arquivo 18 (5/C, 6/C e 8/F, de 04/12/2018) provavelmente já estavam fora da contagem de 2018. O mesmo registro cita os lotes 1/A e 2/A, que ainda constam em out/2025.</t>
  </si>
  <si>
    <r>
      <rPr>
        <rFont val="Calibri"/>
        <b/>
        <color theme="1"/>
        <sz val="10.0"/>
      </rPr>
      <t>LUIS CARLOS MERCALI –</t>
    </r>
    <r>
      <rPr>
        <rFont val="Calibri"/>
        <color theme="1"/>
        <sz val="10.0"/>
      </rPr>
      <t xml:space="preserve"> A empresa tem um valor de </t>
    </r>
    <r>
      <rPr>
        <rFont val="Calibri"/>
        <b/>
        <color rgb="FF980000"/>
        <sz val="10.0"/>
      </rPr>
      <t>R$ 200.000,00 (Duzentos mil reais)</t>
    </r>
    <r>
      <rPr>
        <rFont val="Calibri"/>
        <color theme="1"/>
        <sz val="10.0"/>
      </rPr>
      <t>, tomados por empréstimo desde junho de 2020, aos juros de 1,00%, ao mês.</t>
    </r>
  </si>
  <si>
    <r>
      <rPr>
        <rFont val="Calibri"/>
        <b/>
        <color theme="1"/>
        <sz val="10.0"/>
      </rPr>
      <t>INES TREVISAN PICCOLI</t>
    </r>
    <r>
      <rPr>
        <rFont val="Calibri"/>
        <color theme="1"/>
        <sz val="10.0"/>
      </rPr>
      <t xml:space="preserve"> – A empresa tem um valor de </t>
    </r>
    <r>
      <rPr>
        <rFont val="Calibri"/>
        <b/>
        <color rgb="FF980000"/>
        <sz val="10.0"/>
      </rPr>
      <t>R$ 350.000,00 (Trezentos e cinquenta mil reais)</t>
    </r>
    <r>
      <rPr>
        <rFont val="Calibri"/>
        <color theme="1"/>
        <sz val="10.0"/>
      </rPr>
      <t>, tomados por empréstimo desde dezembro de 2021, aos juros de 1,00%, ao mês.</t>
    </r>
  </si>
  <si>
    <r>
      <rPr>
        <rFont val="Calibri"/>
        <b/>
        <color theme="1"/>
        <sz val="10.0"/>
      </rPr>
      <t>SAMIR TREVISAN PICCOLI</t>
    </r>
    <r>
      <rPr>
        <rFont val="Calibri"/>
        <color theme="1"/>
        <sz val="10.0"/>
      </rPr>
      <t xml:space="preserve"> – A empresa tem um valor de </t>
    </r>
    <r>
      <rPr>
        <rFont val="Calibri"/>
        <b/>
        <color rgb="FF980000"/>
        <sz val="10.0"/>
      </rPr>
      <t>R$ 1.150.000,00 (Hum milhão, cento e cinquenta mil reais)</t>
    </r>
    <r>
      <rPr>
        <rFont val="Calibri"/>
        <color theme="1"/>
        <sz val="10.0"/>
      </rPr>
      <t>, tomados por empréstimo desde dezembro de 2021, aos juros de 1,00%, ao mês.</t>
    </r>
  </si>
  <si>
    <r>
      <rPr>
        <rFont val="Calibri"/>
        <b/>
        <color theme="1"/>
        <sz val="10.0"/>
      </rPr>
      <t xml:space="preserve">BANCO CATERPILAR FINANCIAL – </t>
    </r>
    <r>
      <rPr>
        <rFont val="Calibri"/>
        <color theme="1"/>
        <sz val="10.0"/>
      </rPr>
      <t xml:space="preserve">Uma Escavadeira Hidráulica, ano 2024, modelo 320, CATERPILLAR, adquirida com pagamento de forma parcelada, restando ainda em </t>
    </r>
    <r>
      <rPr>
        <rFont val="Calibri"/>
        <b/>
        <color theme="1"/>
        <sz val="10.0"/>
      </rPr>
      <t>31 de julho de 2025</t>
    </r>
    <r>
      <rPr>
        <rFont val="Calibri"/>
        <color theme="1"/>
        <sz val="10.0"/>
      </rPr>
      <t xml:space="preserve">, a quantidade de </t>
    </r>
    <r>
      <rPr>
        <rFont val="Calibri"/>
        <b/>
        <color theme="1"/>
        <sz val="10.0"/>
      </rPr>
      <t>33 (Trinta e três) parcelas</t>
    </r>
    <r>
      <rPr>
        <rFont val="Calibri"/>
        <color theme="1"/>
        <sz val="10.0"/>
      </rPr>
      <t xml:space="preserve">, no valor de R$ 10.534,91 (Dez mil, quinhentos e trinta e quatro reais e noventa e um centavos), cada, perfazendo um total ainda a ser quitado de </t>
    </r>
    <r>
      <rPr>
        <rFont val="Calibri"/>
        <b/>
        <color rgb="FF980000"/>
        <sz val="10.0"/>
      </rPr>
      <t>R$ 347.652,03 (Trezentos e quarenta e sete mil, seiscentos e cinquenta e dois reais e três centavos)</t>
    </r>
    <r>
      <rPr>
        <rFont val="Calibri"/>
        <color theme="1"/>
        <sz val="10.0"/>
      </rPr>
      <t>, com vencimento da última parcela no dia 18 de abril de 2028.</t>
    </r>
  </si>
  <si>
    <t>Inventário 11: R$ 347.652,00 na tabela; planilha -347.652,03 (diferença de R$ 0,03; o texto do inventário cita centavos).</t>
  </si>
  <si>
    <t>O arquivo 17 lista 30 vendas para 29 lotes em 2018, e o lote O01/2 saiu entre dez/2024 e out/2025 sem registro de venda. A aba 11.Empreendimentos já pede para verificar quantos lotes a Siviero recebeu.</t>
  </si>
  <si>
    <t>Dívida assumida em 2024 sobre uma escavadeira. Quem sai da empresa deve pagar apenas o percentual de depreciação até a cisão. Não o valor das parcelas.
Qual valor total da escavadeira? Valor já pago é uma suposição, deve ser verificado.</t>
  </si>
  <si>
    <t>Colina do Retiro I</t>
  </si>
  <si>
    <r>
      <rPr>
        <rFont val="Calibri"/>
        <b/>
        <color theme="1"/>
        <sz val="10.0"/>
      </rPr>
      <t>PARANÁ EQUIPAMENTOS S/A –</t>
    </r>
    <r>
      <rPr>
        <rFont val="Calibri"/>
        <color theme="1"/>
        <sz val="10.0"/>
      </rPr>
      <t xml:space="preserve"> Um Trator de Esteira, ano 2021, modelo D6N XL, CATERPILLAR, adquirido com pagamento de forma parcelada, no valor total de </t>
    </r>
    <r>
      <rPr>
        <rFont val="Calibri"/>
        <b/>
        <color theme="1"/>
        <sz val="10.0"/>
      </rPr>
      <t>R$ 450.000,00 (Quatrocentos e cinquenta mil reais)</t>
    </r>
    <r>
      <rPr>
        <rFont val="Calibri"/>
        <color theme="1"/>
        <sz val="10.0"/>
      </rPr>
      <t xml:space="preserve">, com entrada já paga no valor de R$ 130.000,00 (Cento e trinta mil reais), restando ainda em </t>
    </r>
    <r>
      <rPr>
        <rFont val="Calibri"/>
        <b/>
        <color theme="1"/>
        <sz val="10.0"/>
      </rPr>
      <t>31 de outubro de 2025</t>
    </r>
    <r>
      <rPr>
        <rFont val="Calibri"/>
        <color theme="1"/>
        <sz val="10.0"/>
      </rPr>
      <t xml:space="preserve">, à pagar a quantidade de </t>
    </r>
    <r>
      <rPr>
        <rFont val="Calibri"/>
        <b/>
        <color theme="1"/>
        <sz val="10.0"/>
      </rPr>
      <t>12 (Doze) parcelas, no valor de R$ 26.666,67 (Vinte e seis mil, seiscentos e sessenta e seis reais e sessenta e sete centavos)</t>
    </r>
    <r>
      <rPr>
        <rFont val="Calibri"/>
        <color theme="1"/>
        <sz val="10.0"/>
      </rPr>
      <t xml:space="preserve">, cada, perfazendo um total ainda a ser quitado de </t>
    </r>
    <r>
      <rPr>
        <rFont val="Calibri"/>
        <b/>
        <color rgb="FF980000"/>
        <sz val="10.0"/>
      </rPr>
      <t>R$ 320.000,00 (Trezentos e vinte mil reais), com vencimento da última parcela no dia 10 de outubro de 2026</t>
    </r>
    <r>
      <rPr>
        <rFont val="Calibri"/>
        <color theme="1"/>
        <sz val="10.0"/>
      </rPr>
      <t>.</t>
    </r>
  </si>
  <si>
    <t>idem Item 20</t>
  </si>
  <si>
    <t>11.2.6</t>
  </si>
  <si>
    <t>2018: PLANILHA DE  INVESTIMENTOS</t>
  </si>
  <si>
    <t>Falta 1 lote: o 2/7 foi vendido à Solar Serra em 24/04/2024 (arquivo 17), mas ainda consta em out/2025.</t>
  </si>
  <si>
    <t>Salvador (Alberto Salvador) – Femaçã II</t>
  </si>
  <si>
    <t>As 2 vendas anteriores a 2018 (1992 e 2006) provavelmente estão entre os 4 lotes vendidos já descontados em 2018. A aba de origem tem ainda uma linha "lotx (vendido)" sem identificação. Os 6 lotes da Família Siviero continuam em out/2025.</t>
  </si>
  <si>
    <t>Colina do Retiro II</t>
  </si>
  <si>
    <t>Os lotes 1/7, 12/8 e 15/8 aparecem como saída na aba de origem, sem registro de venda. Duas vendas são de 2006 e 2009.</t>
  </si>
  <si>
    <t>Industrial Pedra Lisa</t>
  </si>
  <si>
    <t>1 lote a mais que a redução; 4 das vendas têm data anterior a 2018.</t>
  </si>
  <si>
    <t>Monte Vêneto</t>
  </si>
  <si>
    <t>Carlos Barbosa</t>
  </si>
  <si>
    <r>
      <rPr>
        <rFont val="Calibri"/>
        <color theme="1"/>
        <sz val="10.0"/>
      </rPr>
      <t xml:space="preserve">Uma Retroescavadeira CASE 580L, ano 2001, </t>
    </r>
    <r>
      <rPr>
        <rFont val="Calibri"/>
        <b/>
        <color theme="1"/>
        <sz val="10.0"/>
      </rPr>
      <t>PLACA IKI 4827</t>
    </r>
    <r>
      <rPr>
        <rFont val="Calibri"/>
        <color theme="1"/>
        <sz val="10.0"/>
      </rPr>
      <t>. | valor: R$ 60.000,00</t>
    </r>
  </si>
  <si>
    <t>Baldasso</t>
  </si>
  <si>
    <t>O arquivo 17 lista 12 vendas para uma redução de 10. O inventário de 2018 fala em 15 lotes, de um total de 34.</t>
  </si>
  <si>
    <t>Colina do Basalto</t>
  </si>
  <si>
    <t>Carnevalli</t>
  </si>
  <si>
    <t>Barbiero</t>
  </si>
  <si>
    <t>Araçá</t>
  </si>
  <si>
    <t>Nova Araçá</t>
  </si>
  <si>
    <t>O arquivo 17 cita o lote 30/C, mas informa que ele não foi vendido.</t>
  </si>
  <si>
    <t>Dalla Costa</t>
  </si>
  <si>
    <t>Nova Bassano</t>
  </si>
  <si>
    <t>As 2 vendas são de 2014 e 2017, para uma redução de 1 lote.</t>
  </si>
  <si>
    <t>Lago Negro</t>
  </si>
  <si>
    <t>Gramado</t>
  </si>
  <si>
    <t>O arquivo 17 lista 46 saídas (12 delas em 2018) para uma redução de 22. O inventário de 2018 indicava 35 lotes; a aba usa 27, sem 7 lotes de APP e 1 em processo. Os 2 lotes do arquivo 18 são de 2017.</t>
  </si>
  <si>
    <t>Perini</t>
  </si>
  <si>
    <t>Farroupilha</t>
  </si>
  <si>
    <t>San Marino</t>
  </si>
  <si>
    <t>Faltam 3 lotes sem registro de saída. A contagem de 2018 (30) já desconta 3 lotes de possível APP.</t>
  </si>
  <si>
    <t>Firminio Dalzóchio</t>
  </si>
  <si>
    <t>Primavera</t>
  </si>
  <si>
    <r>
      <rPr>
        <rFont val="Calibri"/>
        <color theme="1"/>
        <sz val="10.0"/>
      </rPr>
      <t xml:space="preserve">Um lote urbano, localizado na Avenida Pinheiro Machado, Bairro Centro – Casa da Nina – Casa onde mora o Senhor Rubens Baldissera. Área de 330,00m², devidamente Registrado no Ofício de Registro de Imóveis da Comarca de Veranópolis – RS, sob Matrícula nº </t>
    </r>
    <r>
      <rPr>
        <rFont val="Calibri"/>
        <b/>
        <color theme="1"/>
        <sz val="10.0"/>
      </rPr>
      <t>1.597</t>
    </r>
    <r>
      <rPr>
        <rFont val="Calibri"/>
        <color theme="1"/>
        <sz val="10.0"/>
      </rPr>
      <t>. | valor: R$ 150.000,00</t>
    </r>
  </si>
  <si>
    <t>Vila Vicenza</t>
  </si>
  <si>
    <r>
      <rPr>
        <rFont val="Calibri"/>
        <color theme="1"/>
        <sz val="10.0"/>
      </rPr>
      <t xml:space="preserve">Um lote urbano com casa, localizado na Avenida Dr. José Montaury, Bairro São Pelegrino – Casa da Nona – onde morava a Senhora Geni Siviero Mattiuz. 14,50m X 25,00m = área de 362,50m², devidamente Registrado no Ofício de Registro de Imóveis da Comarca de Veranópolis – RS, sob Matrícula nº </t>
    </r>
    <r>
      <rPr>
        <rFont val="Calibri"/>
        <b/>
        <color theme="1"/>
        <sz val="10.0"/>
      </rPr>
      <t>1.335</t>
    </r>
    <r>
      <rPr>
        <rFont val="Calibri"/>
        <color theme="1"/>
        <sz val="10.0"/>
      </rPr>
      <t>. | valor: R$ 220.000,00</t>
    </r>
  </si>
  <si>
    <t>Industrial Vicentino</t>
  </si>
  <si>
    <r>
      <rPr>
        <rFont val="Calibri"/>
        <color theme="1"/>
        <sz val="10.0"/>
      </rPr>
      <t xml:space="preserve">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t>
    </r>
    <r>
      <rPr>
        <rFont val="Calibri"/>
        <b/>
        <color theme="1"/>
        <sz val="10.0"/>
      </rPr>
      <t>9</t>
    </r>
    <r>
      <rPr>
        <rFont val="Calibri"/>
        <color theme="1"/>
        <sz val="10.0"/>
      </rPr>
      <t>. | valor: R$ 850.000,00</t>
    </r>
  </si>
  <si>
    <t>Jardim Itália I – II – III</t>
  </si>
  <si>
    <r>
      <rPr>
        <rFont val="Calibri"/>
        <color theme="1"/>
        <sz val="10.0"/>
      </rPr>
      <t xml:space="preserve">Um lote urbano, localizado na Rua General Flores da Cunha, que era do Mercali, na subida para o Bairro Femaçã – Hipotecado em favor da Receita Estadual – Dívida do ICMS. 13,00m X 20,00m = área de 260,00m², devidamente Registrado no Ofício de Registro de Imóveis da Comarca de Veranópolis – RS, sob Matrícula nº </t>
    </r>
    <r>
      <rPr>
        <rFont val="Calibri"/>
        <b/>
        <color theme="1"/>
        <sz val="10.0"/>
      </rPr>
      <t>1.053</t>
    </r>
    <r>
      <rPr>
        <rFont val="Calibri"/>
        <color theme="1"/>
        <sz val="10.0"/>
      </rPr>
      <t>. | valor: R$ 60.000,00</t>
    </r>
  </si>
  <si>
    <r>
      <rPr>
        <rFont val="Calibri"/>
        <color theme="1"/>
        <sz val="10.0"/>
      </rPr>
      <t xml:space="preserve">Um lote urbano, localizado na Avenida Osvaldo Aranha, esquina com a Rua Eduardo Duarte, alugado para o Sr. Paulinho, das baterias. 23,00m X 15,00m = área de 345,00m², devidamente Registrado no Ofício de Registro de Imóveis da Comarca de Veranópolis – RS, sob Matrícula nº </t>
    </r>
    <r>
      <rPr>
        <rFont val="Calibri"/>
        <b/>
        <color theme="1"/>
        <sz val="10.0"/>
      </rPr>
      <t>1.507</t>
    </r>
    <r>
      <rPr>
        <rFont val="Calibri"/>
        <color theme="1"/>
        <sz val="10.0"/>
      </rPr>
      <t>. | valor: R$ 850.000,00</t>
    </r>
  </si>
  <si>
    <t>Altos da Julieta I – II</t>
  </si>
  <si>
    <r>
      <rPr>
        <rFont val="Calibri"/>
        <color theme="1"/>
        <sz val="10.0"/>
      </rPr>
      <t xml:space="preserve">Um lote urbano, localizado na Rua General Flores da Cunha, Bairro Centro, na cidade de Veranópolis – RS, adquirido da Família Dal Ponte, denominado de lote nº 0092, da quadra nº 020, zona nº 02, distrito nº 01, com área de 750,00m², devidamente registrado no Ofício de Registro de Imóveis da Comarca de Veranópolis, sob Matrícula nº </t>
    </r>
    <r>
      <rPr>
        <rFont val="Calibri"/>
        <b/>
        <color theme="1"/>
        <sz val="10.0"/>
      </rPr>
      <t>3.788</t>
    </r>
    <r>
      <rPr>
        <rFont val="Calibri"/>
        <color theme="1"/>
        <sz val="10.0"/>
      </rPr>
      <t>. | valor: R$ 1.010.000,00</t>
    </r>
  </si>
  <si>
    <t>O arquivo 17 lista 41 saídas para uma redução de 30. A contagem de 2018 era aproximada: cerca de 20 lotes em cada etapa (de 47 e 42 lotes no total).</t>
  </si>
  <si>
    <t>Monte Vêneto I – II</t>
  </si>
  <si>
    <t>Cotiporã</t>
  </si>
  <si>
    <r>
      <rPr>
        <rFont val="Calibri"/>
        <color theme="1"/>
        <sz val="10.0"/>
      </rPr>
      <t xml:space="preserve">Um lote urbano, localizado na cidade de Bento Gonçalves – RS, denominado de lote nº 569/46 – Quadra 216 /D – Cadastro na P. M. de Bento Gonçalves sob nº </t>
    </r>
    <r>
      <rPr>
        <rFont val="Calibri"/>
        <b/>
        <color theme="1"/>
        <sz val="10.0"/>
      </rPr>
      <t>13082200</t>
    </r>
    <r>
      <rPr>
        <rFont val="Calibri"/>
        <color theme="1"/>
        <sz val="10.0"/>
      </rPr>
      <t>, no LOTEAMENTO OURO VERDE II. Área de .........m², Registrado no Ofício de Registro de Imóveis da Comarca de Bento Gonçalves – RS, sob Matrícula nº ........... | valor: R$ 159.000,00</t>
    </r>
  </si>
  <si>
    <t>1 lote a mais que a redução; 2 vendas têm data anterior a 2018. O lote 6/4, vendido em 28/03/2025, ainda consta em out/2025 e não entra na lista.</t>
  </si>
  <si>
    <t>Nossa Senhora da Saúde</t>
  </si>
  <si>
    <t>Guaporé</t>
  </si>
  <si>
    <r>
      <rPr>
        <rFont val="Calibri"/>
        <color theme="1"/>
        <sz val="10.0"/>
      </rPr>
      <t xml:space="preserve">Um lote urbano, localizado na cidade de Bento Gonçalves – RS, denominado de lote nº 188/62 – Quadra 163/G – Cadastro na P. M. de Bento Gonçalves sob nº </t>
    </r>
    <r>
      <rPr>
        <rFont val="Calibri"/>
        <b/>
        <color theme="1"/>
        <sz val="10.0"/>
      </rPr>
      <t>12482700</t>
    </r>
    <r>
      <rPr>
        <rFont val="Calibri"/>
        <color theme="1"/>
        <sz val="10.0"/>
      </rPr>
      <t>, no LOTEAMENTO VERONA. Área de .........m², Registrado no Ofício de Registro de Imóveis da Comarca de Bento Gonçalves – RS, sob Matrícula nº ........... | valor: R$ 100.000,00</t>
    </r>
  </si>
  <si>
    <t>Alto das Graças I</t>
  </si>
  <si>
    <t>Caxias do Sul</t>
  </si>
  <si>
    <r>
      <rPr>
        <rFont val="Calibri"/>
        <color theme="1"/>
        <sz val="10.0"/>
      </rPr>
      <t xml:space="preserve">Um lote urbano, localizado na Rua Bento Gonçalves, Bairro São Pelegrino – Fundos da Casa da Nona – adquirido de Michelle Tedesco, medindo: 12,50m X 30,00m = área de 375,00m², devidamente Registrado no Ofício de Registro de Imóveis da Comarca de Veranópolis – RS, sob Matrícula nº </t>
    </r>
    <r>
      <rPr>
        <rFont val="Calibri"/>
        <b/>
        <color theme="1"/>
        <sz val="10.0"/>
      </rPr>
      <t>2325</t>
    </r>
    <r>
      <rPr>
        <rFont val="Calibri"/>
        <color theme="1"/>
        <sz val="10.0"/>
      </rPr>
      <t>. | valor: R$ 220.000,00</t>
    </r>
  </si>
  <si>
    <t>O arquivo 17 lista 47 saídas (7 antes de 2018) e o arquivo 18 mais 12 lotes consignados a Válter Siviero, para uma redução de 37. Em 2018 a Siviero tinha 51 dos 102 lotes (50%).</t>
  </si>
  <si>
    <t>Família Falavigna</t>
  </si>
  <si>
    <t>Flores da Cunha</t>
  </si>
  <si>
    <t>Inclui o lote 28/322, vendido em 2026 mas já fora da lista de out/2025. O lote 8/876, vendido em 2026, ainda consta em out/2025 e não entra.</t>
  </si>
  <si>
    <t>Reserva Paradiso</t>
  </si>
  <si>
    <t>Não existia em 2018: o lote 623/104 foi recebido em 19/09/2025 e vendido em 07/01/2026.</t>
  </si>
  <si>
    <t>Cichelero</t>
  </si>
  <si>
    <t>Princesa dos Vales</t>
  </si>
  <si>
    <t>Baú</t>
  </si>
  <si>
    <t>1 das 2 vendas é de 2017.</t>
  </si>
  <si>
    <t>Delta – Nilumar</t>
  </si>
  <si>
    <t>Femaçã</t>
  </si>
  <si>
    <t>Irmãos Boff</t>
  </si>
  <si>
    <t>A única venda "Boff" do arquivo 17 (lote 16/C) pode ser deste loteamento ou do lote urbano do Loteamento Boff (item 11.1.3, A.2).</t>
  </si>
  <si>
    <t>Prata</t>
  </si>
  <si>
    <t>As 2 saídas são de 1994 e 2001 (contratos que em 2018 ainda não tinham a cadeia completa).</t>
  </si>
  <si>
    <t>Sol Nascente II</t>
  </si>
  <si>
    <t>Viero</t>
  </si>
  <si>
    <r>
      <rPr>
        <rFont val="Calibri"/>
        <color theme="1"/>
        <sz val="10.0"/>
      </rPr>
      <t xml:space="preserve">Um apartamento residencial denominado de </t>
    </r>
    <r>
      <rPr>
        <rFont val="Calibri"/>
        <b/>
        <color theme="1"/>
        <sz val="10.0"/>
      </rPr>
      <t>nº 303, do Edifício BOA ESPERANÇA</t>
    </r>
    <r>
      <rPr>
        <rFont val="Calibri"/>
        <color theme="1"/>
        <sz val="10.0"/>
      </rPr>
      <t xml:space="preserve">, localizado na Rua Eduardo Reginato, n° 48, Bairro Valverde, na cidade de Veranópolis – RS, adquirido do Senhor Valmir Antônio Sottili. Área de 89,73m², devidamente Registrado no Ofício de Registro de Imóveis da Comarca de Veranópolis – RS, sob </t>
    </r>
    <r>
      <rPr>
        <rFont val="Calibri"/>
        <b/>
        <color theme="1"/>
        <sz val="10.0"/>
      </rPr>
      <t>Matrícula nº 17.399</t>
    </r>
    <r>
      <rPr>
        <rFont val="Calibri"/>
        <color theme="1"/>
        <sz val="10.0"/>
      </rPr>
      <t>, adquirido por R$ 85.000,00.</t>
    </r>
  </si>
  <si>
    <t>Lotes urbanos (item 11.1.3)</t>
  </si>
  <si>
    <t>Veranópolis e Bento Gonçalves</t>
  </si>
  <si>
    <r>
      <rPr>
        <rFont val="Calibri"/>
        <color theme="1"/>
        <sz val="10.0"/>
      </rPr>
      <t xml:space="preserve">Móveis, materiais diversos (mesas, cadeiras, telefone, impressora, etc...), informática e outros equipamentos instalados no </t>
    </r>
    <r>
      <rPr>
        <rFont val="Calibri"/>
        <b/>
        <color theme="1"/>
        <sz val="10.0"/>
      </rPr>
      <t>Escritório da empresa Siviero, na cidade de Caxias do Sul – RS, na Rua Feijó Júnior, nº 318 – Sala nº 01</t>
    </r>
    <r>
      <rPr>
        <rFont val="Calibri"/>
        <color theme="1"/>
        <sz val="10.0"/>
      </rPr>
      <t>, Bairro São Pelegrino – SALA ALUGADA.
- E, no decorrer do ano de 2018, foi transferido o Escritório para outra Sala, de propriedade do Senhor Válter Siviero.
- Os móveis e divisórias instalados no Escritório permaneceram, como forma de pagamento pelas obras de conservação da sala.
- Mesas e cadeiras foram transferidas para uma casa localizada no Loteamento Zanandréa.
- Impressoras e computadores foram para o novo endereço.</t>
    </r>
  </si>
  <si>
    <t>Saíram 4 lotes (A.1 a A.4) e entrou 1 (lote 0092/020, recebido da Família Dal Ponte em 2025).</t>
  </si>
  <si>
    <t>Lotes com registro de venda que não entram na lista</t>
  </si>
  <si>
    <t>Lote</t>
  </si>
  <si>
    <t>Quadra</t>
  </si>
  <si>
    <t>Data da venda</t>
  </si>
  <si>
    <t>Destinatário</t>
  </si>
  <si>
    <t>Motivo</t>
  </si>
  <si>
    <t>Fonte</t>
  </si>
  <si>
    <t>Situação em out/2025</t>
  </si>
  <si>
    <t>Solar Serra Ltda.</t>
  </si>
  <si>
    <t>Vendido como pagamento das placas solares do Hotel Araçá, mas ainda consta na lista de out/2025.</t>
  </si>
  <si>
    <t>Arquivo 17, linha 60</t>
  </si>
  <si>
    <t>Consta em out/2025 (aba 11.Empreendimentos, linha 151)</t>
  </si>
  <si>
    <t>Mateus Bortoncello</t>
  </si>
  <si>
    <t>Vendido a prazo em 60 vezes, mas ainda consta na lista de out/2025.</t>
  </si>
  <si>
    <t>Arquivo 17, linha 224</t>
  </si>
  <si>
    <t>Consta em out/2025 (aba 11.Empreendimentos, linha 528)</t>
  </si>
  <si>
    <t>A</t>
  </si>
  <si>
    <t>Válter Siviero (empresas Hecta, VMC e Urban)</t>
  </si>
  <si>
    <t>Citado no pagamento de 3 salas comerciais e 3 box em Caxias do Sul, mas ainda consta na lista de out/2025.</t>
  </si>
  <si>
    <t>Arquivo 18, item 5</t>
  </si>
  <si>
    <t>Consta em out/2025 (aba 11.Empreendimentos, linha 97)</t>
  </si>
  <si>
    <t>Consta em out/2025 (aba 11.Empreendimentos, linha 98)</t>
  </si>
  <si>
    <t>008</t>
  </si>
  <si>
    <t>876</t>
  </si>
  <si>
    <t>Fabiano Nunes Vanin</t>
  </si>
  <si>
    <t>Vendido depois de out/2025; ainda existia em out/2025.</t>
  </si>
  <si>
    <t>Arquivo 17, linha 382</t>
  </si>
  <si>
    <t>Consta em out/2025 (aba 11.Empreendimentos, linha 617)</t>
  </si>
  <si>
    <t>C</t>
  </si>
  <si>
    <t>Siviero Empreendimentos Imobiliários Ltda.</t>
  </si>
  <si>
    <t>O arquivo 17 informa que o lote não foi vendido e continua com a Siviero.</t>
  </si>
  <si>
    <t>Arquivo 17, linha 2</t>
  </si>
  <si>
    <t>Consta em out/2025 (aba 11.Empreendimentos, linha 395)</t>
  </si>
  <si>
    <t>623</t>
  </si>
  <si>
    <t>104</t>
  </si>
  <si>
    <t>Recebido de Gerson Fernando Fattori; vendido à Instaladora Líder Ltda. em 07/01/2026</t>
  </si>
  <si>
    <t>Lote recebido em 2025 como pagamento de lote do Industrial Vicentino; não existia em 2018.</t>
  </si>
  <si>
    <t>Arquivo 17, linhas 64 e 65</t>
  </si>
  <si>
    <t>Consta em out/2025 (aba 11.Empreendimentos, linha 636)</t>
  </si>
  <si>
    <r>
      <rPr>
        <rFont val="Calibri"/>
        <color theme="1"/>
        <sz val="10.0"/>
      </rPr>
      <t xml:space="preserve">Uma área de terras urbanas, denominada de LOTE Nº 1054, com área total de 16.913,9670m², ou 1,6 hectares, localizada no Município de Veranópolis – RS, próximo a Abastecedora de Combustíveis Siviero Ltda., adquirida do Senhor MOACIR ZANINI, área esta registrada sob Matrícula nº.: 17.038.
</t>
    </r>
    <r>
      <rPr>
        <rFont val="Calibri"/>
        <b/>
        <color theme="1"/>
        <sz val="10.0"/>
      </rPr>
      <t>Matrícula nº 17.038</t>
    </r>
    <r>
      <rPr>
        <rFont val="Calibri"/>
        <color theme="1"/>
        <sz val="10.0"/>
      </rPr>
      <t xml:space="preserve"> = 1,60 hectares.
95,00 metros de frente. | valor: R$ 900.000,00</t>
    </r>
  </si>
  <si>
    <t>Lista de lotes</t>
  </si>
  <si>
    <t>Data da saída</t>
  </si>
  <si>
    <t>Forma / observação da fonte</t>
  </si>
  <si>
    <t>Ponto de conferência</t>
  </si>
  <si>
    <t>B</t>
  </si>
  <si>
    <t>Clóvis Pedro Zulian</t>
  </si>
  <si>
    <t>Vendidos, como forma de acerto pela Divisão Lotes pela participação nas despesas e custos na implantação dos Loteamentos (Fracionamentos) Sol Nascente I e II, de Antônio Prado, conforme Termo de Acordo.</t>
  </si>
  <si>
    <t>Arquivo 17, linha 77</t>
  </si>
  <si>
    <t>Pagamento de 3 salas comerciais e 3 box em Caxias do Sul.</t>
  </si>
  <si>
    <t>Consta só na planilha do Válter (arquivo 18); os lotes 1/A e 2/A, do mesmo registro, ainda constam em out/2025</t>
  </si>
  <si>
    <t>D</t>
  </si>
  <si>
    <t>Arquivo 17, linha 78</t>
  </si>
  <si>
    <r>
      <rPr>
        <rFont val="Calibri"/>
        <color theme="1"/>
        <sz val="10.0"/>
      </rPr>
      <t xml:space="preserve">Um terreno – lote urbano, localizado na Rodovia BR 470, ao lado da Abastecedora de Combustíveis Siviero Ltda., devidamente registrado no Ofício de Registro de Imóveis da Comarca de Veranópolis, sob </t>
    </r>
    <r>
      <rPr>
        <rFont val="Calibri"/>
        <b/>
        <color theme="1"/>
        <sz val="10.0"/>
      </rPr>
      <t>Matrícula nº 3.751</t>
    </r>
    <r>
      <rPr>
        <rFont val="Calibri"/>
        <color theme="1"/>
        <sz val="10.0"/>
      </rPr>
      <t>, com área de 7.200,00m², onde está instalada a ANTENA de TRANSMISSÃO da RÁDIO, ao valor de mercado considerado sua localização e referência comercial = R$ 992,78, ao metro quadrado. | valor: R$ 7.148.016,00</t>
    </r>
  </si>
  <si>
    <t>Cassiano Damiani</t>
  </si>
  <si>
    <t>Vendido à vista, sendo R$ 67.000,00 em permuta veículo GM/S10 – JID 4877.</t>
  </si>
  <si>
    <t>Arquivo 17, linha 76</t>
  </si>
  <si>
    <t>F</t>
  </si>
  <si>
    <t>001</t>
  </si>
  <si>
    <t>Marcelo Colussi Girardi</t>
  </si>
  <si>
    <t>Vendido à prazo, em 03x, com parte em permuta de um carro JEEP COMMANDER – ano 2023 – RXZ 7I62, pelo valor de R$ 230.000,00.</t>
  </si>
  <si>
    <t>Arquivo 17, linha 294</t>
  </si>
  <si>
    <t>002</t>
  </si>
  <si>
    <t>Gelson Ferrareze</t>
  </si>
  <si>
    <t>Vendido à prazo, em 07x.</t>
  </si>
  <si>
    <t>Arquivo 17, linha 295</t>
  </si>
  <si>
    <t>005</t>
  </si>
  <si>
    <t>Lucas Simionato Tonello</t>
  </si>
  <si>
    <t>Arquivo 17, linha 296</t>
  </si>
  <si>
    <t>006</t>
  </si>
  <si>
    <t>Vinícius Canello Kuhn</t>
  </si>
  <si>
    <t>Vendido à prazo, em 11x.</t>
  </si>
  <si>
    <t>Arquivo 17, linha 297</t>
  </si>
  <si>
    <r>
      <rPr>
        <rFont val="Calibri"/>
        <color theme="1"/>
        <sz val="10.0"/>
      </rPr>
      <t xml:space="preserve">Um terreno urbano, com a área de 4.986,00m², localizado na Rodovia BR 470, Km 175,4, no Bairro São Pelegrino, devidamente registrado no Ofício de Registro de Imóveis da Comarca de Veranópolis, sob </t>
    </r>
    <r>
      <rPr>
        <rFont val="Calibri"/>
        <b/>
        <color theme="1"/>
        <sz val="10.0"/>
      </rPr>
      <t>Matrícula nº 3.754</t>
    </r>
    <r>
      <rPr>
        <rFont val="Calibri"/>
        <color theme="1"/>
        <sz val="10.0"/>
      </rPr>
      <t>, localizado na lateral da Abastecedora de Combustíveis Siviero Ltda., onde estava instalada a SERRARIA, considerado o valor de R$ 992,78, ao metro quadrado, conforme sua localização e referência comercial. | valor: R$ 4.950.000,00</t>
    </r>
  </si>
  <si>
    <t>009</t>
  </si>
  <si>
    <t>Jones Somacal</t>
  </si>
  <si>
    <t>Vendido à prazo, em 20x.</t>
  </si>
  <si>
    <t>Arquivo 17, linha 298</t>
  </si>
  <si>
    <t>010</t>
  </si>
  <si>
    <t>Rovílio Siviero</t>
  </si>
  <si>
    <t>Vendido, como forma de pagamento das quotas de capital que possui nas empresas do Grupo Empresarial Siviero, conforme contrato datado de 25 de agosto de 2025.</t>
  </si>
  <si>
    <t>Arquivo 17, linha 299</t>
  </si>
  <si>
    <t>013</t>
  </si>
  <si>
    <t>Arquivo 17, linha 300</t>
  </si>
  <si>
    <t>015</t>
  </si>
  <si>
    <t>Auri de Oliveira e outros</t>
  </si>
  <si>
    <t>Arquivo 17, linha 301</t>
  </si>
  <si>
    <t>O01</t>
  </si>
  <si>
    <t>2</t>
  </si>
  <si>
    <t>Marcado como saída na aba 11.Empreendimentos</t>
  </si>
  <si>
    <t>Aba 11.Empreendimentos, linha 119</t>
  </si>
  <si>
    <t>Sem registro de venda nos arquivos 17 e 18</t>
  </si>
  <si>
    <r>
      <rPr>
        <rFont val="Calibri"/>
        <color theme="1"/>
        <sz val="10.0"/>
      </rPr>
      <t xml:space="preserve">Um imóvel urbano, com a área de 4.792,03m², localizado na Rodovia BR 470, Km 175,4, no Bairro Valverde, devidamente registrado no Ofício de Registro de Imóveis da Comarca de Veranópolis, sob a </t>
    </r>
    <r>
      <rPr>
        <rFont val="Calibri"/>
        <b/>
        <color theme="1"/>
        <sz val="10.0"/>
      </rPr>
      <t>Matrícula nº 29.954</t>
    </r>
    <r>
      <rPr>
        <rFont val="Calibri"/>
        <color theme="1"/>
        <sz val="10.0"/>
      </rPr>
      <t xml:space="preserve"> – (oriunda da unificação das </t>
    </r>
    <r>
      <rPr>
        <rFont val="Calibri"/>
        <b/>
        <color theme="1"/>
        <sz val="10.0"/>
      </rPr>
      <t>Matrículas nº 17.409 e 6.136</t>
    </r>
    <r>
      <rPr>
        <rFont val="Calibri"/>
        <color theme="1"/>
        <sz val="10.0"/>
      </rPr>
      <t>), ao lado da empresa Oleoplan S/A, considerado o valor de R$ 2.000,00, ao metro quadrado, conforme sua localização e referência comercial.
= R$ 9.584.060,00.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t>
    </r>
  </si>
  <si>
    <t>Matheus Rizzotto</t>
  </si>
  <si>
    <t>Vendido à prazo, em 02x.</t>
  </si>
  <si>
    <t>Arquivo 17, linha 302</t>
  </si>
  <si>
    <t>Jeferson Alecsander Rigo</t>
  </si>
  <si>
    <t>Vendido à vista.</t>
  </si>
  <si>
    <t>Arquivo 17, linha 303</t>
  </si>
  <si>
    <t>Diego Flores Theis</t>
  </si>
  <si>
    <t>Vendido à prazo, em 21x.</t>
  </si>
  <si>
    <t>Arquivo 17, linha 304</t>
  </si>
  <si>
    <t>Erna Sandra Gorski</t>
  </si>
  <si>
    <t>Vendido à vista, com parte em permuta de um apartamento, na cidade de Passo Fundo, pelo valor de R$ 130.000,00.</t>
  </si>
  <si>
    <t>Arquivo 17, linha 305</t>
  </si>
  <si>
    <t>Dhejota Móveis Ltda.</t>
  </si>
  <si>
    <t>Vendido, como forma de pagamento dos móveis para o mobiliário instalados na casa do Condomínio Morada dos Ipês II, em Passo Fundo, sede social do condomínio, no valor de R$ 287.959,00 e a diferença de R$ 61.460,40, paga em 02 parcelas.</t>
  </si>
  <si>
    <t>Arquivo 17, linha 306</t>
  </si>
  <si>
    <t>Structura Corretora COMISSÃO Diego Resende Bortolin</t>
  </si>
  <si>
    <t>Vendido, no pagamento da COMISSÃO pela intermediação imobiliária do contrato do Loteamento com a Família Zanella para a implantação do Condomínio Morada dos Ipês I e II, em Passo Fundo, num total de 05 lotes.</t>
  </si>
  <si>
    <t>Arquivo 17, linha 307</t>
  </si>
  <si>
    <t>Rodrigo Formariz</t>
  </si>
  <si>
    <t>Vendido à prazo, em 16x, com parte em permuta do paisagismo interno do Condomínio Morada dos Ipês, no valor de R$ 150.000,00.</t>
  </si>
  <si>
    <t>Arquivo 17, linha 308</t>
  </si>
  <si>
    <t>003</t>
  </si>
  <si>
    <t>Paulo Pires Freitas</t>
  </si>
  <si>
    <t>Vendido à prazo, em 05x.</t>
  </si>
  <si>
    <t>Arquivo 17, linha 309</t>
  </si>
  <si>
    <t>004</t>
  </si>
  <si>
    <t>Luiz Fernando Klaus</t>
  </si>
  <si>
    <t>Arquivo 17, linha 310</t>
  </si>
  <si>
    <t>007</t>
  </si>
  <si>
    <t>Structura Corretora COMISSÃO -Rovílio Siviero (Vendido por R$ 432.072,00)</t>
  </si>
  <si>
    <t>Arquivo 17, linha 311</t>
  </si>
  <si>
    <t>Raul Martini</t>
  </si>
  <si>
    <t>Arquivo 17, linha 312</t>
  </si>
  <si>
    <t>011</t>
  </si>
  <si>
    <t>Júlia Gonçalves</t>
  </si>
  <si>
    <t>Arquivo 17, linha 313</t>
  </si>
  <si>
    <t>012</t>
  </si>
  <si>
    <t>Leandro Capelesso</t>
  </si>
  <si>
    <t>Vendido à prazo, em 05x, com parte em permuta de um carro pelo valor de R$ 75.000,00 e reparceladas as parcelas para viabilizar o pagamento em 21x.</t>
  </si>
  <si>
    <t>Arquivo 17, linha 314</t>
  </si>
  <si>
    <t>Structura Corretora COMISSÃO - ALPHA CITY Diego Resende Bortolin Juliano Pretto</t>
  </si>
  <si>
    <t>Vendido, no pagamento da COMISSÃO pela intermediação imobiliária do contrato do Loteamento com a Família Zanella para a implantação do Condomínio Morada dos Ipês II, em Passo Fundo, num total de 05 lotes.</t>
  </si>
  <si>
    <t>Arquivo 17, linha 315</t>
  </si>
  <si>
    <t>Leandro Milleo Matos</t>
  </si>
  <si>
    <t>Arquivo 17, linha 316</t>
  </si>
  <si>
    <t>Ricardo Colnaghi</t>
  </si>
  <si>
    <t>Vendido à prazo, em 04x.</t>
  </si>
  <si>
    <t>Arquivo 17, linha 317</t>
  </si>
  <si>
    <t>Jovane Rambo</t>
  </si>
  <si>
    <t>Arquivo 17, linha 318</t>
  </si>
  <si>
    <t>Structura Corretora COMISSÃO Juliano Pretto</t>
  </si>
  <si>
    <t>Arquivo 17, linha 319</t>
  </si>
  <si>
    <t>Antônio Luiz Piazza</t>
  </si>
  <si>
    <t>Arquivo 17, linha 320</t>
  </si>
  <si>
    <t>Osmar Tonin</t>
  </si>
  <si>
    <t>Arquivo 17, linha 321</t>
  </si>
  <si>
    <t>Juliano Pretto Elton Sobiesiak</t>
  </si>
  <si>
    <t>Vendido, como forma de pagamento de DAÇÃO EM PAGAMENTO, referente a aquisição de uma área de terras doada para o Município de Passo Fundo, para compensação de áreas para as 02 (duas) fases do Condomínio Morada dos Ipês II, em Passo Fundo, num total de 03 (três) lotes dentro do Condomínio, em parceria com a Família Zanella.</t>
  </si>
  <si>
    <t>Arquivo 17, linha 322</t>
  </si>
  <si>
    <t>Marcos Cezar Ratti</t>
  </si>
  <si>
    <t>Vendido à prazo em 06x, sendo que a importância de R$ 80.669,00 forma pagos todos os móveis para mobília da Sede Social do Condomínio Morada dos Ipês I e II, de Passo Fundo, para a empresa Essencial Indústria e Comércio de Móveis Ltda.</t>
  </si>
  <si>
    <t>Arquivo 17, linha 323</t>
  </si>
  <si>
    <t>Lucas Fabrício</t>
  </si>
  <si>
    <t>Vendido à prazo, em 60x.</t>
  </si>
  <si>
    <t>Arquivo 17, linha 138</t>
  </si>
  <si>
    <t>Lindolfo Lago</t>
  </si>
  <si>
    <t>Vendido, como forma de pagamento pela aquisição de uma área de 3.100,00m² junto com a área da FAMÍLIA LAGO, em Sapopema, pelo valor total de R$ 350.000,00.</t>
  </si>
  <si>
    <t>Arquivo 17, linha 137</t>
  </si>
  <si>
    <r>
      <rPr>
        <rFont val="Calibri"/>
        <color theme="1"/>
        <sz val="10.0"/>
      </rPr>
      <t xml:space="preserve">Uma área de terras rurais, denominada de PARTES DOS LOTES RURAIS Nº 05, 06 e 76/A, com área total de 3,4 hectares, localizada na Linha Tomás Flores e Linha Afonso Pena, no Município de Veranópolis – RS, adquirida da Senhora ERMELINDA MOSSI REMOR, área esta registrada sob Matrícula nº.:
</t>
    </r>
    <r>
      <rPr>
        <rFont val="Calibri"/>
        <b/>
        <color theme="1"/>
        <sz val="10.0"/>
      </rPr>
      <t>Matrícula nº 14.443, 14.444, 14.576</t>
    </r>
    <r>
      <rPr>
        <rFont val="Calibri"/>
        <color theme="1"/>
        <sz val="10.0"/>
      </rPr>
      <t xml:space="preserve"> = 3,4 hectares.
Cadastrada no CCIR – Receita Federal sob nº 6.206.801-6.
90,00 metros de frente. | valor: R$ 1.200.000,00</t>
    </r>
  </si>
  <si>
    <t>Luciano Bertocco</t>
  </si>
  <si>
    <t>Vendido à vista, como forma de acerto em pagamento prestação de serviços.</t>
  </si>
  <si>
    <t>Arquivo 17, linha 135</t>
  </si>
  <si>
    <t>Sérgio Dias Lannes</t>
  </si>
  <si>
    <t>Arquivo 17, linha 136</t>
  </si>
  <si>
    <t>HZ Comércio de Carnes</t>
  </si>
  <si>
    <t>Vendido à prazo.</t>
  </si>
  <si>
    <t>Arquivo 17, linha 62</t>
  </si>
  <si>
    <t>Irineu Siviero</t>
  </si>
  <si>
    <t>Vendido, como forma de devolução o de empréstimo e pagamento de juros.</t>
  </si>
  <si>
    <t>Arquivo 17, linha 58</t>
  </si>
  <si>
    <t>Arquivo 17, linha 59</t>
  </si>
  <si>
    <t>Agustinho Dall Agnol</t>
  </si>
  <si>
    <t>Arquivo 17, linha 61</t>
  </si>
  <si>
    <t>Data anterior a 2018</t>
  </si>
  <si>
    <t>Maicon A. Mikoaski</t>
  </si>
  <si>
    <t>Arquivo 17, linha 141</t>
  </si>
  <si>
    <r>
      <rPr>
        <rFont val="Calibri"/>
        <color theme="1"/>
        <sz val="10.0"/>
      </rPr>
      <t xml:space="preserve">Uma área de terras URBANAS, denominada de UM IMÓVEL URBANO, com a denominação administrativa de lote nº 0292, da quadra nº 009, zona 12, distrito 01, com área total de 4,0 hectares, conforme Registro e área medida, com 40.027,41m², localizada na Linha Tomaz Flores, Estrada Velha da Vacaria, no Município de Veranópolis – RS, na localidade de Sapopema, próxima ao CTG Rincão da Roça Reúna, adquirida da FAMÍLIA LAGO, área registrada sob </t>
    </r>
    <r>
      <rPr>
        <rFont val="Calibri"/>
        <b/>
        <color theme="1"/>
        <sz val="10.0"/>
      </rPr>
      <t>Matrícula nº.: 33.516</t>
    </r>
  </si>
  <si>
    <t>Arquivo 17, linha 142</t>
  </si>
  <si>
    <t>Leonel Antônio Taffarel</t>
  </si>
  <si>
    <t>Vendido à prazo, em 10x.</t>
  </si>
  <si>
    <t>Arquivo 17, linha 139</t>
  </si>
  <si>
    <t>Arquivo 17, linha 140</t>
  </si>
  <si>
    <t>Guilherme e Eliza Benatto</t>
  </si>
  <si>
    <t>Permutado, com um lote no Loteamento Colina do Retiro II.</t>
  </si>
  <si>
    <t>Arquivo 17, linha 143</t>
  </si>
  <si>
    <r>
      <rPr>
        <rFont val="Calibri"/>
        <color theme="1"/>
        <sz val="10.0"/>
      </rPr>
      <t xml:space="preserve">Uma área de terras rurais, denominada de PARTE DO LOTE RURAL Nº 14, da linha Dr. Júlio de Castilhos, com área total de 7,5 hectares, ou 75.550,00m², localizada no Município de Veranópolis – RS, na localidade de Santa Rita, adquirida da FAMÍLIA SANGALI – VALDIR SANGALI, área registrada sob Matrícula nº.: 4.194.
</t>
    </r>
    <r>
      <rPr>
        <rFont val="Calibri"/>
        <b/>
        <color theme="1"/>
        <sz val="10.0"/>
      </rPr>
      <t>Matrícula nº 4.194</t>
    </r>
    <r>
      <rPr>
        <rFont val="Calibri"/>
        <color theme="1"/>
        <sz val="10.0"/>
      </rPr>
      <t xml:space="preserve"> = 7,5 hectares, adquirida pelo valor de R$ 50.000,00. | valor: R$ 280.000,00</t>
    </r>
  </si>
  <si>
    <t>Elias Patrício Dall’Agnol</t>
  </si>
  <si>
    <t>Arquivo 17, linha 144</t>
  </si>
  <si>
    <t>Guilherme Reisdorfer</t>
  </si>
  <si>
    <t>Vendido, como forma de pagamento prestação serviços– Licenciamentos Ambientais.</t>
  </si>
  <si>
    <t>Arquivo 17, linha 145</t>
  </si>
  <si>
    <t>Família Dal Ponte</t>
  </si>
  <si>
    <t>Vendido à vista, com permuta de outro imóvel, valor de R$ 1.010.000,00.</t>
  </si>
  <si>
    <t>Arquivo 17, linha 147</t>
  </si>
  <si>
    <t>Arquivo 17, linha 148</t>
  </si>
  <si>
    <t>Vitor Diniz Sott</t>
  </si>
  <si>
    <t>Arquivo 17, linha 146</t>
  </si>
  <si>
    <r>
      <rPr>
        <rFont val="Calibri"/>
        <color theme="1"/>
        <sz val="10.0"/>
      </rPr>
      <t xml:space="preserve">Uma área de terras rurais, denominada de PARTE DO LOTE RURAL Nº 12, com área total de 13,0 hectares, localizada na Linha Júlio de Castilhos, no Município de Veranópolis – RS, adquirida da FAMÍLIA SANGALI, área registrada sob Matrícula nº.: 3.062.
</t>
    </r>
    <r>
      <rPr>
        <rFont val="Calibri"/>
        <b/>
        <color theme="1"/>
        <sz val="10.0"/>
      </rPr>
      <t>Matrícula nº 3.062</t>
    </r>
    <r>
      <rPr>
        <rFont val="Calibri"/>
        <color theme="1"/>
        <sz val="10.0"/>
      </rPr>
      <t xml:space="preserve"> = 13,0 hectares X 40.000,00
Cadastrada no CCIR – Receita Federal sob nº 2.481.950-6
</t>
    </r>
  </si>
  <si>
    <t>Selvino Menin – Albino Menin</t>
  </si>
  <si>
    <t>Arquivo 17, linha 29</t>
  </si>
  <si>
    <t>Leonildo Marinello</t>
  </si>
  <si>
    <t>Arquivo 17, linha 30</t>
  </si>
  <si>
    <t>Arquivo 17, linha 31</t>
  </si>
  <si>
    <t>Também marcado como saída na aba 11.Empreendimentos (linha 205)</t>
  </si>
  <si>
    <t>Araceli Siviero</t>
  </si>
  <si>
    <t>Lote Família Adélia Siviero</t>
  </si>
  <si>
    <t>Arquivo 17, linha 32</t>
  </si>
  <si>
    <t>Inês Ansolin Pessutto</t>
  </si>
  <si>
    <t>Vendido, como forma pagamento área terras em Vila Azul, valor de R$ 714.000,00.</t>
  </si>
  <si>
    <t>Arquivo 17, linha 33</t>
  </si>
  <si>
    <t>Rogério Binda</t>
  </si>
  <si>
    <t>Arquivo 17, linha 34</t>
  </si>
  <si>
    <t>Arquivo 17, linha 35</t>
  </si>
  <si>
    <r>
      <rPr>
        <rFont val="Calibri"/>
        <color theme="1"/>
        <sz val="10.0"/>
      </rPr>
      <t xml:space="preserve">Uma área de terras rurais, denominada de PARTE DO LOTE RURAL LETRA B, com área total de 1,8 hectares, ou 18.326,89m², localizada na Linha Carlos Gomes, no Município de Veranópolis – RS, na localidade de Vila Azul, adquirida da FAMÍLIA FOGALI, área esta registrada sob Matrícula nº.: 14.945.
</t>
    </r>
    <r>
      <rPr>
        <rFont val="Calibri"/>
        <b/>
        <color theme="1"/>
        <sz val="10.0"/>
      </rPr>
      <t>Matrícula nº 14.945</t>
    </r>
    <r>
      <rPr>
        <rFont val="Calibri"/>
        <color theme="1"/>
        <sz val="10.0"/>
      </rPr>
      <t xml:space="preserve"> = 1,8 hectares, adquirida pelo valor de R$ 305.000,00. | valor: R$ 1.000.000,00</t>
    </r>
  </si>
  <si>
    <t>Gilberto de Castro Júnior</t>
  </si>
  <si>
    <t>Arquivo 17, linha 36</t>
  </si>
  <si>
    <t>Arquivo 17, linha 37</t>
  </si>
  <si>
    <t>Volmir Marinello</t>
  </si>
  <si>
    <t>Arquivo 17, linha 38</t>
  </si>
  <si>
    <t>Arquivo 17, linha 39</t>
  </si>
  <si>
    <t>Prefeitura de Veranópolis</t>
  </si>
  <si>
    <t>Doação conforme Lei.</t>
  </si>
  <si>
    <t>Arquivo 17, linha 40</t>
  </si>
  <si>
    <t>Marcos Vinicius Dalazen</t>
  </si>
  <si>
    <t>Arquivo 17, linha 41</t>
  </si>
  <si>
    <t>Idair Gilberto Picetti</t>
  </si>
  <si>
    <t>Arquivo 17, linha 12</t>
  </si>
  <si>
    <r>
      <rPr>
        <rFont val="Calibri"/>
        <color theme="1"/>
        <sz val="10.0"/>
      </rPr>
      <t xml:space="preserve">Uma área de terras rurais, denominada de PARTE DO LOTE RURAL nº 73, da Linha Tomaz Flores, Vila Azul, no Município de Veranópolis, registrada na </t>
    </r>
    <r>
      <rPr>
        <rFont val="Calibri"/>
        <b/>
        <color theme="1"/>
        <sz val="10.0"/>
      </rPr>
      <t>Matrícula nº 30.390</t>
    </r>
    <r>
      <rPr>
        <rFont val="Calibri"/>
        <color theme="1"/>
        <sz val="10.0"/>
      </rPr>
      <t>, do Ofício de Registro de Imóveis da Comarca de Veranópolis – RS, com área de 202.435,22m², adquirida da FAMÍLIA ANSOLIN, adquirida a área total, da seguinte forma:
área de 6,0 hectares = 60.000,00m², pelo valor de R$ 525.000,00, do Senhor Antônio Ansolin.
área de 7,0 hectares = 70.519,78m², pelo valor de R$ 586.666,00, do Senhor Antônio Ansolin.
área de 4,9 hectares = 49.787,44m², pelo valor de R$ 714.000,00, da Senhora Inês Ansolin Pessutto.
área de 0,67 hectares = 6.700,00m², pelo valor de R$ 388.000,00, do Senhor Ivo José Frainer.
área de 0,2 hectares = 2.128,00m², pelo valor de R$ 50.000,00, do Senhor Antônio Ansolin.
área pertencente ao Senhor Antônio Ansolin.....................2,0 hectares = 20.000,00m².
Área da empresa Siviero Empreendimentos Imobiliários Ltda. é de 18,2 hectares = 182.435,22m². | valor: R$ 2.263.666,00</t>
    </r>
  </si>
  <si>
    <t>Também marcado como saída na aba 11.Empreendimentos (linha 312)</t>
  </si>
  <si>
    <t>1</t>
  </si>
  <si>
    <t>7</t>
  </si>
  <si>
    <t>Marcado como saída na aba 11.Empreendimentos (Não consta no inventário 2025 atualizado)</t>
  </si>
  <si>
    <t>Aba 11.Empreendimentos, linha 313</t>
  </si>
  <si>
    <t>8</t>
  </si>
  <si>
    <t>Aba 11.Empreendimentos, linha 314</t>
  </si>
  <si>
    <t>Aba 11.Empreendimentos, linha 315</t>
  </si>
  <si>
    <t>Cristiano Lucchetta</t>
  </si>
  <si>
    <t>Julcimar Frainer, em troca de pavimentação.</t>
  </si>
  <si>
    <t>Arquivo 17, linha 10</t>
  </si>
  <si>
    <r>
      <rPr>
        <rFont val="Calibri"/>
        <color theme="1"/>
        <sz val="10.0"/>
      </rPr>
      <t xml:space="preserve">Uma área de terras rurais, denominadas de </t>
    </r>
    <r>
      <rPr>
        <rFont val="Calibri"/>
        <b/>
        <color theme="1"/>
        <sz val="10.0"/>
      </rPr>
      <t>LOTES RURAIS Nº 26 e 27</t>
    </r>
    <r>
      <rPr>
        <rFont val="Calibri"/>
        <color theme="1"/>
        <sz val="10.0"/>
      </rPr>
      <t>, CONDOMÍNIO HORIZONTAL, composto por chácaras, localizadas na Linha Tiradentes, na Barra do Jabuticaba, no Rio das Antas, no Município de Veranópolis – RS, composto por 25 (vinte e cinco) chácaras, sendo já vendidas 15 chácaras. Matrícula nº 36 = 10 chácaras. R$ 2.000,00 cada chácara.</t>
    </r>
  </si>
  <si>
    <t>Cesar Sebben</t>
  </si>
  <si>
    <t>Arquivo 17, linha 11</t>
  </si>
  <si>
    <t>Ivo José Frainer</t>
  </si>
  <si>
    <t>Vendido, como forma de pagamento na aquisição de 0,67 há de terras ao lado do Loteamento Industrial Pedra Lisa, pelo valor de R$ 388.000,00.</t>
  </si>
  <si>
    <t>Arquivo 17, linha 149</t>
  </si>
  <si>
    <t>Arquivo 17, linha 150</t>
  </si>
  <si>
    <t>Poletto Metalúrgica Ltda.</t>
  </si>
  <si>
    <t>Vendido à prazo, com permuta de 01 veículo por R$ 170.000,00 e a diferença em 06x.</t>
  </si>
  <si>
    <t>Arquivo 17, linha 155</t>
  </si>
  <si>
    <r>
      <rPr>
        <rFont val="Calibri"/>
        <color theme="1"/>
        <sz val="10.0"/>
      </rPr>
      <t xml:space="preserve">Uma área de terras rurais, denominada de PARTE DO LOTE RURAL Nº 89, com área total de 27,8 hectares, localizada na Linha Barão do Triunfo, no Município de Fagundes Varela – RS, adquirida do Senhor SÉRGIO BALDISSERA, área esta registrada sob </t>
    </r>
    <r>
      <rPr>
        <rFont val="Calibri"/>
        <b/>
        <color theme="1"/>
        <sz val="10.0"/>
      </rPr>
      <t>Matrícula nº.: 8.486.</t>
    </r>
    <r>
      <rPr>
        <rFont val="Calibri"/>
        <color theme="1"/>
        <sz val="10.0"/>
      </rPr>
      <t xml:space="preserve">
Matrícula nº 8.486 = 27,8 hectares X R$ 9.000,00
Cadastrada no CCIR – Receita Federal sob nº 2.481.951-4 | valor: R$ 250.200,00</t>
    </r>
  </si>
  <si>
    <t>Vendido à prazo, em 06x.</t>
  </si>
  <si>
    <t>Arquivo 17, linha 156</t>
  </si>
  <si>
    <t>Arquivo 17, linha 157</t>
  </si>
  <si>
    <t>Ind. Concretos Rivacci</t>
  </si>
  <si>
    <t>Vendido à vista, com permuta de um pavilhão pré fabricado (a entregar) e uma camionete I/Toyota Hilux e o valor em espécie de R$ 55.000,00.</t>
  </si>
  <si>
    <t>Arquivo 17, linha 151</t>
  </si>
  <si>
    <t>Arquivo 17, linha 152</t>
  </si>
  <si>
    <t>Estofados Bellagio Ltda.</t>
  </si>
  <si>
    <t>Vendido à prazo, em 08x.</t>
  </si>
  <si>
    <t>Arquivo 17, linha 154</t>
  </si>
  <si>
    <t>Antônio Ansolin</t>
  </si>
  <si>
    <t>Vendido, como forma de pagamento na aquisição de 7,0 há de terras ao lado do Loteamento Industrial Pedra Lisa, pelo valor de R$ 586.666,00.</t>
  </si>
  <si>
    <t>Arquivo 17, linha 153</t>
  </si>
  <si>
    <t>40</t>
  </si>
  <si>
    <t>Edmar Camillo</t>
  </si>
  <si>
    <t>Vendido à prazo, em 14x.</t>
  </si>
  <si>
    <t>Arquivo 17, linha 104</t>
  </si>
  <si>
    <t>60</t>
  </si>
  <si>
    <r>
      <rPr>
        <rFont val="Calibri"/>
        <color theme="1"/>
        <sz val="10.0"/>
      </rPr>
      <t xml:space="preserve">Uma área de terras rurais de MATO NATIVO, denominada de LOTE Nº 33, com área total de 15,1 hectares, localizada no Município de Cotiporã – RS, na Linha Júlio de Castilhos, adquirida do Senhor ARMELINDO CALZA, área esta registrada sob Matrícula nº.: 1.218. </t>
    </r>
    <r>
      <rPr>
        <rFont val="Calibri"/>
        <b/>
        <color theme="1"/>
        <sz val="10.0"/>
      </rPr>
      <t>Matrícula nº 1.218</t>
    </r>
    <r>
      <rPr>
        <rFont val="Calibri"/>
        <color theme="1"/>
        <sz val="10.0"/>
      </rPr>
      <t xml:space="preserve"> = 15,1 hectares X R$ 2.650,00</t>
    </r>
  </si>
  <si>
    <t>Arquivo 17, linha 105</t>
  </si>
  <si>
    <t>127</t>
  </si>
  <si>
    <t>Nadir Toffoli Chiomenti</t>
  </si>
  <si>
    <t>Arquivo 17, linha 107</t>
  </si>
  <si>
    <t>200</t>
  </si>
  <si>
    <t>Vendido à prazo, em 12x.</t>
  </si>
  <si>
    <t>Arquivo 17, linha 106</t>
  </si>
  <si>
    <t>290</t>
  </si>
  <si>
    <t>José Paulo Medeiros</t>
  </si>
  <si>
    <t>Arquivo 17, linha 108</t>
  </si>
  <si>
    <t>330</t>
  </si>
  <si>
    <t>Arquivo 17, linha 109</t>
  </si>
  <si>
    <t>350</t>
  </si>
  <si>
    <t>Fernando Luis Barth</t>
  </si>
  <si>
    <t>Arquivo 17, linha 110</t>
  </si>
  <si>
    <t>111</t>
  </si>
  <si>
    <t>48</t>
  </si>
  <si>
    <t>Arquivo 17, linha 111</t>
  </si>
  <si>
    <t>137</t>
  </si>
  <si>
    <t>Arquivo 17, linha 112</t>
  </si>
  <si>
    <t>92</t>
  </si>
  <si>
    <t>49</t>
  </si>
  <si>
    <t>Galvanotex Embalagens</t>
  </si>
  <si>
    <t>Arquivo 17, linha 113</t>
  </si>
  <si>
    <t>107</t>
  </si>
  <si>
    <t>Arquivo 17, linha 114</t>
  </si>
  <si>
    <t>146</t>
  </si>
  <si>
    <t>Arquivo 17, linha 115</t>
  </si>
  <si>
    <t>CVC Construções Ltda.</t>
  </si>
  <si>
    <t>Vendido, como forma de pagamento de pavimentação no Loteamento Monte Vêneto, de Cotiporã.</t>
  </si>
  <si>
    <t>Arquivo 17, linha 243</t>
  </si>
  <si>
    <t>Danusa Antônia Ceccato</t>
  </si>
  <si>
    <t>Vendido à vista, com permuta de um carro JEEP/COMPASS – IXP 2137 e o valor em espécie de R$ 24.000,00.</t>
  </si>
  <si>
    <t>Arquivo 17, linha 242</t>
  </si>
  <si>
    <t>Vendido, como forma de pagamento de pavimentação no Loteamento Colina do Retiro II, de Veranópolis.</t>
  </si>
  <si>
    <t>Arquivo 17, linha 248</t>
  </si>
  <si>
    <t>Lindomar A. dos Santos</t>
  </si>
  <si>
    <t>Arquivo 17, linha 247</t>
  </si>
  <si>
    <r>
      <rPr>
        <rFont val="Calibri"/>
        <color theme="1"/>
        <sz val="10.0"/>
      </rPr>
      <t xml:space="preserve">Uma área de terras rurais, denominada de PARTE DO LOTE RURAL LETRA “M”, com área total de 3,6 hectares, conforme contrato e área medida conforme croqui, com 33.742,78m², localizada na Linha Tomaz Flores, no Município de Veranópolis – RS, na localidade de Sapopema, próxima ao CTG Rincão da Roça Reiuna, adquirida da FAMÍLIA LAGO, área esta registrada sob </t>
    </r>
    <r>
      <rPr>
        <rFont val="Calibri"/>
        <b/>
        <color theme="1"/>
        <sz val="10.0"/>
      </rPr>
      <t>Matrícula nº.: 14.319</t>
    </r>
    <r>
      <rPr>
        <rFont val="Calibri"/>
        <color theme="1"/>
        <sz val="10.0"/>
      </rPr>
      <t>. Matrícula nº 14.319 = 3,6 hectares. | valor: R$ 900.000,00</t>
    </r>
  </si>
  <si>
    <t>Andrei Comunello</t>
  </si>
  <si>
    <t>Arquivo 17, linha 239</t>
  </si>
  <si>
    <t>Érica Basso</t>
  </si>
  <si>
    <t>Arquivo 17, linha 240</t>
  </si>
  <si>
    <t>Wellington Vanzeto</t>
  </si>
  <si>
    <t>Arquivo 17, linha 241</t>
  </si>
  <si>
    <t>Vendido, como forma de pagamento de pavimentação e acertos finais do Loteamento Industrial Pedra Lisa, de Veranópolis.</t>
  </si>
  <si>
    <t>Arquivo 17, linha 244</t>
  </si>
  <si>
    <t>E</t>
  </si>
  <si>
    <t>Jose A. Boeira dos Santos</t>
  </si>
  <si>
    <t>Arquivo 17, linha 245</t>
  </si>
  <si>
    <t>Arquivo 17, linha 246</t>
  </si>
  <si>
    <t>Vendido, como forma de pagamento de pavimentação no Loteamento Barbiero, de Nova Prata.</t>
  </si>
  <si>
    <t>Arquivo 17, linha 249</t>
  </si>
  <si>
    <t>Percentual referente à Pavimentação do Loteamento Carnevalli, de Nova Prata.</t>
  </si>
  <si>
    <t>Arquivo 17, linha 250</t>
  </si>
  <si>
    <t>Arquivo 17, linha 251</t>
  </si>
  <si>
    <t>G</t>
  </si>
  <si>
    <t>Arquivo 17, linha 252</t>
  </si>
  <si>
    <t>Giuliano Gasparin</t>
  </si>
  <si>
    <t>Arquivo 17, linha 42</t>
  </si>
  <si>
    <t>Rafael Mattiuz</t>
  </si>
  <si>
    <t>Vendido à prazo</t>
  </si>
  <si>
    <t>Arquivo 17, linha 43</t>
  </si>
  <si>
    <t>André Luiz Siviero</t>
  </si>
  <si>
    <t>Vendido, como forma de devolução de empréstimo e pagamento de juros.</t>
  </si>
  <si>
    <t>Arquivo 17, linha 44</t>
  </si>
  <si>
    <t>Banco Sicredi Nova Prata</t>
  </si>
  <si>
    <t>Arquivo 17, linha 45</t>
  </si>
  <si>
    <t>Valdecir Berlato</t>
  </si>
  <si>
    <t>Arquivo 17, linha 46</t>
  </si>
  <si>
    <t>Arquivo 17, linha 47</t>
  </si>
  <si>
    <t>Leticia Prescendo</t>
  </si>
  <si>
    <t>Arquivo 17, linha 48</t>
  </si>
  <si>
    <t>Arquivo 17, linha 49</t>
  </si>
  <si>
    <t>Paulo Rogério Belaver</t>
  </si>
  <si>
    <t>Arquivo 17, linha 50</t>
  </si>
  <si>
    <t>Jucimar Brocco</t>
  </si>
  <si>
    <t>Arquivo 17, linha 51</t>
  </si>
  <si>
    <t>Arquivo 17, linha 52</t>
  </si>
  <si>
    <t>Família Barbiero</t>
  </si>
  <si>
    <t>Vendido, acordo judicial danos atraso na execução do Loteamento.</t>
  </si>
  <si>
    <t>Arquivo 17, linha 53</t>
  </si>
  <si>
    <t>Arquivo 17, linha 54</t>
  </si>
  <si>
    <t>Hemar Artefatos Cimento</t>
  </si>
  <si>
    <t>Vendido, acerto com aquisição de tubos de concreto dos últimos 20 anos.</t>
  </si>
  <si>
    <t>Arquivo 17, linha 55</t>
  </si>
  <si>
    <t>Arquivo 17, linha 56</t>
  </si>
  <si>
    <t>Arquivo 17, linha 57</t>
  </si>
  <si>
    <t>Domício Mileski</t>
  </si>
  <si>
    <t>Proprietário dos lotes adquiridos e instalado um bar.</t>
  </si>
  <si>
    <t>Arquivo 17, linha 3</t>
  </si>
  <si>
    <t>Arquivo 17, linha 4</t>
  </si>
  <si>
    <t>Arnaldo Bariquello</t>
  </si>
  <si>
    <t>Arquivo 17, linha 183</t>
  </si>
  <si>
    <t>João Francisco de Almeida</t>
  </si>
  <si>
    <t>Arquivo 17, linha 184</t>
  </si>
  <si>
    <t>Lamartine Pizzani</t>
  </si>
  <si>
    <t>Arquivo 17, linha 185</t>
  </si>
  <si>
    <t>Tatiana Wickert Braun</t>
  </si>
  <si>
    <t>Arquivo 17, linha 186</t>
  </si>
  <si>
    <t>Elton Gomes Novais Junior</t>
  </si>
  <si>
    <t>Arquivo 17, linha 187</t>
  </si>
  <si>
    <t>Cristina Moraes Desessards</t>
  </si>
  <si>
    <t>Arquivo 17, linha 188</t>
  </si>
  <si>
    <t>Marcia Girardi Scopel</t>
  </si>
  <si>
    <t>Arquivo 17, linha 189</t>
  </si>
  <si>
    <t>Adriana Wasen</t>
  </si>
  <si>
    <t>Permuta, com o lote 20, da quadra 11B – APP – Loteamento Lago Negro.</t>
  </si>
  <si>
    <t>Arquivo 17, linha 190</t>
  </si>
  <si>
    <t>Moraes e Martinelli Ltda.</t>
  </si>
  <si>
    <t>Arquivo 17, linha 191</t>
  </si>
  <si>
    <t>Vanderson José Baumgratz</t>
  </si>
  <si>
    <t>Arquivo 17, linha 192</t>
  </si>
  <si>
    <t>Sergio Galuk</t>
  </si>
  <si>
    <t>Arquivo 17, linha 193</t>
  </si>
  <si>
    <t>Paulo Roberto Candiago</t>
  </si>
  <si>
    <t>Permuta, com o lote 18, da quadra 11B – APP – Loteamento Lago Negro.</t>
  </si>
  <si>
    <t>Arquivo 17, linha 194</t>
  </si>
  <si>
    <t>Também marcado como saída na aba 11.Empreendimentos (linha 411)</t>
  </si>
  <si>
    <t>Diego Oliveira da Silva</t>
  </si>
  <si>
    <t>Arquivo 17, linha 195</t>
  </si>
  <si>
    <t>Monica Noel Boff</t>
  </si>
  <si>
    <t>Arquivo 17, linha 196</t>
  </si>
  <si>
    <t>Luciane Maria Both</t>
  </si>
  <si>
    <t>Arquivo 17, linha 197</t>
  </si>
  <si>
    <t>Rafael Dezordi</t>
  </si>
  <si>
    <t>Arquivo 17, linha 198</t>
  </si>
  <si>
    <t>Izaías de Lima</t>
  </si>
  <si>
    <t>Arquivo 17, linha 199</t>
  </si>
  <si>
    <t>Ronei Alencar Ferronatto</t>
  </si>
  <si>
    <t>Arquivo 17, linha 200</t>
  </si>
  <si>
    <t>Elcir Luis Becker</t>
  </si>
  <si>
    <t>Arquivo 17, linha 201</t>
  </si>
  <si>
    <t>Jorge Ilmar Oberherr</t>
  </si>
  <si>
    <t>Vendido à prazo, em 05x</t>
  </si>
  <si>
    <t>Arquivo 17, linha 202</t>
  </si>
  <si>
    <t>Arquivo 17, linha 203</t>
  </si>
  <si>
    <t>Calçados Karyby Ltda.</t>
  </si>
  <si>
    <t>Arquivo 17, linha 204</t>
  </si>
  <si>
    <t>Diego Santos Spinola</t>
  </si>
  <si>
    <t>Arquivo 17, linha 205</t>
  </si>
  <si>
    <t>Arquivo 17, linha 206</t>
  </si>
  <si>
    <t>Arquivo 17, linha 207</t>
  </si>
  <si>
    <t>Rudimar Foss</t>
  </si>
  <si>
    <t>Vendido à prazo, em 05x, e com permuta de uma Toyota RAV4, ano 2014, pelo valor de R$ 70.000,00.</t>
  </si>
  <si>
    <t>Arquivo 17, linha 208</t>
  </si>
  <si>
    <t>Fruti Frango Adm Imóveis</t>
  </si>
  <si>
    <t>Arquivo 17, linha 209</t>
  </si>
  <si>
    <t>Anoar Luiz Dalberto</t>
  </si>
  <si>
    <t>Arquivo 17, linha 210</t>
  </si>
  <si>
    <t>Vendido à prazo, em 24x.</t>
  </si>
  <si>
    <t>Arquivo 17, linha 211</t>
  </si>
  <si>
    <t>Oneide Wiltgen</t>
  </si>
  <si>
    <t>Lote usado por Válter Siviero na troca por uma camionete Land Rover Discovery, transferida para a empresa Urban.</t>
  </si>
  <si>
    <t>Arquivo 18, item 1</t>
  </si>
  <si>
    <t>Consta só na planilha do Válter (arquivo 18); data anterior a 2018</t>
  </si>
  <si>
    <t>Virtual Participações</t>
  </si>
  <si>
    <t>Arquivo 17, linha 212</t>
  </si>
  <si>
    <t>Arquivo 17, linha 213</t>
  </si>
  <si>
    <t>Naira Reginato Lodetti</t>
  </si>
  <si>
    <t>Arquivo 17, linha 214</t>
  </si>
  <si>
    <t>Arquivo 17, linha 215</t>
  </si>
  <si>
    <t>Michael Schneider Flack</t>
  </si>
  <si>
    <t>Permuta, com o lote 15, da quadra 11B – APP – Loteamento Lago Negro.</t>
  </si>
  <si>
    <t>Arquivo 17, linha 216</t>
  </si>
  <si>
    <t>Mitra Diocese N. Hamburgo</t>
  </si>
  <si>
    <t>Arquivo 17, linha 171</t>
  </si>
  <si>
    <t>Arquivo 17, linha 172</t>
  </si>
  <si>
    <t>Fernando Maniezo</t>
  </si>
  <si>
    <t>Arquivo 17, linha 173</t>
  </si>
  <si>
    <t>Júlio Cesar dos Reis</t>
  </si>
  <si>
    <t>Arquivo 17, linha 174</t>
  </si>
  <si>
    <t>Henrique Pizetta</t>
  </si>
  <si>
    <t>Arquivo 17, linha 175</t>
  </si>
  <si>
    <t>Arquivo 17, linha 176</t>
  </si>
  <si>
    <t>Entre as Montanhas Ltda.</t>
  </si>
  <si>
    <t>Arquivo 17, linha 177</t>
  </si>
  <si>
    <t>Arquivo 17, linha 178</t>
  </si>
  <si>
    <t>11 A</t>
  </si>
  <si>
    <t>Gabriel Pedebos</t>
  </si>
  <si>
    <t>Arquivo 17, linha 179</t>
  </si>
  <si>
    <t>Claudia Nickel</t>
  </si>
  <si>
    <t>Vendido à prazo, em 03x.</t>
  </si>
  <si>
    <t>Arquivo 17, linha 180</t>
  </si>
  <si>
    <t>11 B</t>
  </si>
  <si>
    <t>Colório Comércio de Bebida</t>
  </si>
  <si>
    <t>Arquivo 17, linha 181</t>
  </si>
  <si>
    <t>Arquivo 17, linha 182</t>
  </si>
  <si>
    <t>1468</t>
  </si>
  <si>
    <t>Izeu Augusto Tumelero</t>
  </si>
  <si>
    <t>Arquivo 17, linha 15</t>
  </si>
  <si>
    <t>Marivânia Piccolo</t>
  </si>
  <si>
    <t>Arquivo 17, linha 16</t>
  </si>
  <si>
    <t>Ricardo e João Farina</t>
  </si>
  <si>
    <t>Processo Judicial Loteamento Industrial Vicentino</t>
  </si>
  <si>
    <t>Arquivo 17, linha 17</t>
  </si>
  <si>
    <t>1469</t>
  </si>
  <si>
    <t>Arquivo 17, linha 18</t>
  </si>
  <si>
    <t>Fernanda Sperafico</t>
  </si>
  <si>
    <t>Arquivo 17, linha 19</t>
  </si>
  <si>
    <t>Efetiva de Imóveis Ltda.</t>
  </si>
  <si>
    <t>Arquivo 17, linha 20</t>
  </si>
  <si>
    <t>Vendido à prazo. Diferença de área constatada do lote.</t>
  </si>
  <si>
    <t>Arquivo 17, linha 21</t>
  </si>
  <si>
    <t>557</t>
  </si>
  <si>
    <t>João Izaias Ramos</t>
  </si>
  <si>
    <t>Arquivo 17, linha 131</t>
  </si>
  <si>
    <t>Arquivo 17, linha 132</t>
  </si>
  <si>
    <t>Arquivo 17, linha 133</t>
  </si>
  <si>
    <t>1342</t>
  </si>
  <si>
    <t>Eduardo Rossim</t>
  </si>
  <si>
    <t>Arquivo 17, linha 116</t>
  </si>
  <si>
    <t>Natalina Schwaiser</t>
  </si>
  <si>
    <t>Acordo – Arlindo Píccoli – Loteamento Vale das Colinas. Dívida de R$ 270.000,00.</t>
  </si>
  <si>
    <t>Arquivo 17, linha 117</t>
  </si>
  <si>
    <t>Flávia Dorss</t>
  </si>
  <si>
    <t>Arquivo 17, linha 118</t>
  </si>
  <si>
    <t>Daniel Matias Graff</t>
  </si>
  <si>
    <t>Arquivo 17, linha 119</t>
  </si>
  <si>
    <t>Luis Filipe Severgnini</t>
  </si>
  <si>
    <t>Arquivo 17, linha 120</t>
  </si>
  <si>
    <t>1650</t>
  </si>
  <si>
    <t>Baruffi Advogados</t>
  </si>
  <si>
    <t>Vendido, honorários -Acordo Processo Judicial Indenizatório do Loteamento Industrial Vicentino – Família Farina.</t>
  </si>
  <si>
    <t>Arquivo 17, linha 121</t>
  </si>
  <si>
    <t>Arquivo 17, linha 122</t>
  </si>
  <si>
    <t>Yuri Turchetto</t>
  </si>
  <si>
    <t>Arquivo 17, linha 123</t>
  </si>
  <si>
    <t>Césio Verona</t>
  </si>
  <si>
    <t>Vendido, honorários referente Prestação de Serviços acordados realizados em Loteamentos.</t>
  </si>
  <si>
    <t>Arquivo 17, linha 124</t>
  </si>
  <si>
    <t>1672</t>
  </si>
  <si>
    <t>Cassiano Bernardi</t>
  </si>
  <si>
    <t>Arquivo 17, linha 125</t>
  </si>
  <si>
    <t>1673</t>
  </si>
  <si>
    <t>Huei Ju Lin</t>
  </si>
  <si>
    <t>Arquivo 17, linha 126</t>
  </si>
  <si>
    <t>Chen Ju Lin</t>
  </si>
  <si>
    <t>Arquivo 17, linha 127</t>
  </si>
  <si>
    <t>Arquivo 17, linha 128</t>
  </si>
  <si>
    <t>Vendido à vista</t>
  </si>
  <si>
    <t>Arquivo 17, linha 134</t>
  </si>
  <si>
    <t>Reolon Incorporadora</t>
  </si>
  <si>
    <t>Arquivo 17, linha 129</t>
  </si>
  <si>
    <t>1675</t>
  </si>
  <si>
    <t>Claure Ferri</t>
  </si>
  <si>
    <t>Arquivo 17, linha 130</t>
  </si>
  <si>
    <t>907</t>
  </si>
  <si>
    <t>Vendido, honorários -Acordo Processo Judicial Indenizatório do Loteamento Industrial Vicentino – Família Farina</t>
  </si>
  <si>
    <t>Arquivo 17, linha 97</t>
  </si>
  <si>
    <t>Lenio Cecconi</t>
  </si>
  <si>
    <t>Arquivo 17, linha 98</t>
  </si>
  <si>
    <t>909</t>
  </si>
  <si>
    <t>Vendido, como forma de Acordo Processo Judicial Indenizatório do Loteamento Industrial Vicentino.</t>
  </si>
  <si>
    <t>Arquivo 17, linha 99</t>
  </si>
  <si>
    <t>Arquivo 17, linha 100</t>
  </si>
  <si>
    <t>Arquivo 17, linha 101</t>
  </si>
  <si>
    <t>Arquivo 17, linha 102</t>
  </si>
  <si>
    <t>910</t>
  </si>
  <si>
    <t>Elisandro Belusso</t>
  </si>
  <si>
    <t>Vendido à prazo, em 48x.</t>
  </si>
  <si>
    <t>Arquivo 17, linha 103</t>
  </si>
  <si>
    <t>1199</t>
  </si>
  <si>
    <t>Safra – São Francisco Investimentos e Participações Ltda.</t>
  </si>
  <si>
    <t>Lote dado como parte da indenização pelo distrato do contrato de loteamento, conforme acordo judicial.</t>
  </si>
  <si>
    <t>Arquivo 17, linha 6</t>
  </si>
  <si>
    <t>Danrlei Picolotto Miranda</t>
  </si>
  <si>
    <t>O comprador está querendo rescindir o negócio de venda e compra do lote.</t>
  </si>
  <si>
    <t>Arquivo 17, linha 5</t>
  </si>
  <si>
    <t>1301</t>
  </si>
  <si>
    <t>Tecnofrut Agrícolas Ltda.</t>
  </si>
  <si>
    <t>Arquivo 17, linha 22</t>
  </si>
  <si>
    <t>Arquivo 17, linha 23</t>
  </si>
  <si>
    <t>Gerson Fernando Fattori</t>
  </si>
  <si>
    <t>Vendido à vista, com parte permuta de outro imóvel, no valor de R$ 500.000,00.</t>
  </si>
  <si>
    <t>Arquivo 17, linha 24</t>
  </si>
  <si>
    <t>1302</t>
  </si>
  <si>
    <t>Nilo Izeo Argenta</t>
  </si>
  <si>
    <t>Vendido à vista, com parte em carro, no valor de R$ 233.000,00.</t>
  </si>
  <si>
    <t>Arquivo 17, linha 25</t>
  </si>
  <si>
    <t>Alcides Basso Imóveis.</t>
  </si>
  <si>
    <t>Vendido, com permuta de 03 veículos – ônibus + R$ 552.000,00 em 60 parcelas, pagas pela Siviero = R$ 1.427.000,00.</t>
  </si>
  <si>
    <t>Arquivo 17, linha 26</t>
  </si>
  <si>
    <t>1303</t>
  </si>
  <si>
    <t>L. F. Transportes Ltda.</t>
  </si>
  <si>
    <t>Vendido à vista, com parte permuta de outro imóvel, valor de R$ 1.170.000,00.</t>
  </si>
  <si>
    <t>Arquivo 17, linha 27</t>
  </si>
  <si>
    <t>Vitaplas Plásticos Eireli</t>
  </si>
  <si>
    <t>Arquivo 17, linha 28</t>
  </si>
  <si>
    <t>1736</t>
  </si>
  <si>
    <t>Arquivo 17, linha 158</t>
  </si>
  <si>
    <t>Josemar Pedro Rusczyk</t>
  </si>
  <si>
    <t>Arquivo 17, linha 159</t>
  </si>
  <si>
    <t>1744</t>
  </si>
  <si>
    <t>Bona Incorporadora Ltda</t>
  </si>
  <si>
    <t>Vendido à vista, sendo R$ 140.000,00 em espécie e R$ 110.000,00 em permuta com caminhão entregue para Gilberto Portella.</t>
  </si>
  <si>
    <t>Arquivo 17, linha 160</t>
  </si>
  <si>
    <t>Arquivo 17, linha 161</t>
  </si>
  <si>
    <t>1747</t>
  </si>
  <si>
    <t>Erick de Almeida</t>
  </si>
  <si>
    <t>Vendido à prazo, em 15x.</t>
  </si>
  <si>
    <t>Arquivo 17, linha 162</t>
  </si>
  <si>
    <t>Ambitec Ambiental Ltda.</t>
  </si>
  <si>
    <t>Vendido, como forma de pagamento prestação de serviços – indenização distrato + o valor de R$ 15.000,00.</t>
  </si>
  <si>
    <t>Arquivo 17, linha 163</t>
  </si>
  <si>
    <t>Detonasul Ltda.</t>
  </si>
  <si>
    <t>Vendido, como forma de pagamento prestação de serviços – serviços de detonação.</t>
  </si>
  <si>
    <t>Arquivo 17, linha 164</t>
  </si>
  <si>
    <t>Marcelo Pola</t>
  </si>
  <si>
    <t>Vendido, como forma de pagamento prestação de serviços – acerto com pavimentação.</t>
  </si>
  <si>
    <t>Arquivo 17, linha 165</t>
  </si>
  <si>
    <t>Charles Girelli e outros.</t>
  </si>
  <si>
    <t>Arquivo 17, linha 166</t>
  </si>
  <si>
    <t>Arquivo 17, linha 167</t>
  </si>
  <si>
    <t>Arquivo 17, linha 168</t>
  </si>
  <si>
    <t>1748</t>
  </si>
  <si>
    <t>Adriano Casagrande</t>
  </si>
  <si>
    <t>Arquivo 17, linha 169</t>
  </si>
  <si>
    <t>1749</t>
  </si>
  <si>
    <t>Arquivo 17, linha 170</t>
  </si>
  <si>
    <t>1722</t>
  </si>
  <si>
    <t>Alexandre Susin</t>
  </si>
  <si>
    <t>Vendido, como forma de pagamento prestação de serviços – indenização distrato, num total de 24 lotes + o valor de R$ 200.000,00.</t>
  </si>
  <si>
    <t>Arquivo 17, linha 262</t>
  </si>
  <si>
    <t>Arquivo 17, linha 281</t>
  </si>
  <si>
    <t>1723</t>
  </si>
  <si>
    <t>Sidnei Alberto Fochesatto</t>
  </si>
  <si>
    <t>Vendido, conforme acordo extrajudicial pelos lotes adquiridos da Família de Lori Fioreze pelo atraso da execução do Loteamento.</t>
  </si>
  <si>
    <t>Arquivo 17, linha 268</t>
  </si>
  <si>
    <t>Arquivo 17, linha 263</t>
  </si>
  <si>
    <t>1724</t>
  </si>
  <si>
    <t>Arquivo 17, linha 269</t>
  </si>
  <si>
    <t>Via Nova Engenharia Ltda.</t>
  </si>
  <si>
    <t>Vendido, como forma de pagamento prestação de serviços – indenização distrato, num total de 09 lotes + o valor de R$ 90.000,00.</t>
  </si>
  <si>
    <t>Arquivo 17, linha 256</t>
  </si>
  <si>
    <t>Inês Colombo Bartelle</t>
  </si>
  <si>
    <t>Vendido, conforme acordo extrajudicial pelo distrato do Contrato do Loteamento, em virtude da não execução do Loteamento dentro do prazo contratual, no todo da Família Colombo.</t>
  </si>
  <si>
    <t>Arquivo 17, linha 285</t>
  </si>
  <si>
    <t>1725</t>
  </si>
  <si>
    <t>Arquivo 17, linha 257</t>
  </si>
  <si>
    <t>1727</t>
  </si>
  <si>
    <t>Arquivo 17, linha 282</t>
  </si>
  <si>
    <t>Arquivo 17, linha 264</t>
  </si>
  <si>
    <t>Arquivo 17, linha 265</t>
  </si>
  <si>
    <t>1728</t>
  </si>
  <si>
    <t>Arquivo 17, linha 258</t>
  </si>
  <si>
    <t>Vendido, como forma de pagamento prestação de serviços diversos, acerto geral, executados no Município de Farroupilha, nos Loteamento da empresa, inclusos projetos, memorias, etc. – indenização geral e total.</t>
  </si>
  <si>
    <t>Arquivo 17, linha 289</t>
  </si>
  <si>
    <t>Arquivo 17, linha 266</t>
  </si>
  <si>
    <t>1729</t>
  </si>
  <si>
    <t>Mauro Cesar Soares</t>
  </si>
  <si>
    <t>Arquivo 17, linha 272</t>
  </si>
  <si>
    <t>Arquivo 17, linha 273</t>
  </si>
  <si>
    <t>Aladyr Euclides Zattera</t>
  </si>
  <si>
    <t>Vendido, conforme acordo extrajudicial pelo distrato do Contrato do Loteamento, em virtude da inviabilidade da área para execução do Loteamento – Família Zattera.</t>
  </si>
  <si>
    <t>Arquivo 17, linha 283</t>
  </si>
  <si>
    <t>Arquivo 17, linha 284</t>
  </si>
  <si>
    <t>Família Silvestrin</t>
  </si>
  <si>
    <t>Vendido, como forma de Acordo Processo Judicial Indenizatório pela venda de 01 lote no Loteamento Primavera, em parceria de percentual de divisão de lotes com a Família Silvestrin + o valor de R$ 98.000,00 em espécie = R$ 177.000,00.</t>
  </si>
  <si>
    <t>Arquivo 17, linha 274</t>
  </si>
  <si>
    <t>Arquivo 17, linha 267</t>
  </si>
  <si>
    <t>Válter Siviero</t>
  </si>
  <si>
    <t>Vendido, com permuta de um lote localizado no Loteamento Nossa Senhora da Saúde, de Guaporé.</t>
  </si>
  <si>
    <t>Arquivo 17, linha 287</t>
  </si>
  <si>
    <t>Vendido, com permuta de um caminhão do frigorífico, negociado com material para rede elétrica, com o Senhor Gilberto Portella.</t>
  </si>
  <si>
    <t>Arquivo 17, linha 288</t>
  </si>
  <si>
    <t>1730</t>
  </si>
  <si>
    <t>Darcy Pasqual</t>
  </si>
  <si>
    <t>Vendido, com permuta de um lote localizado no Loteamento Industrial Pasqual, de Farroupilha.</t>
  </si>
  <si>
    <t>Arquivo 17, linha 290</t>
  </si>
  <si>
    <t>Arquivo 17, linha 259</t>
  </si>
  <si>
    <t>Luiz João Carraro</t>
  </si>
  <si>
    <t>Vendido à vista, como forma de gratificação pela prestação de serviços por 40 anos para o Grupo Empresarial Siviero.</t>
  </si>
  <si>
    <t>Arquivo 17, linha 255</t>
  </si>
  <si>
    <t>Arquivo 17, linha 275</t>
  </si>
  <si>
    <t>Arquivo 17, linha 276</t>
  </si>
  <si>
    <t>1731</t>
  </si>
  <si>
    <t>Arquivo 17, linha 277</t>
  </si>
  <si>
    <t>Arquivo 17, linha 278</t>
  </si>
  <si>
    <t>Arquivo 17, linha 286</t>
  </si>
  <si>
    <t>1732</t>
  </si>
  <si>
    <t>Alceones M. Salvador</t>
  </si>
  <si>
    <t>Vendido, como forma de pagamento prestação de serviços diversos, conforme acordo.</t>
  </si>
  <si>
    <t>Arquivo 17, linha 271</t>
  </si>
  <si>
    <t>Arquivo 17, linha 279</t>
  </si>
  <si>
    <t>Arquivo 17, linha 280</t>
  </si>
  <si>
    <t>1733</t>
  </si>
  <si>
    <t>Arquivo 17, linha 260</t>
  </si>
  <si>
    <t>Luiz Fabiano D dos Santos</t>
  </si>
  <si>
    <t>Vendido à vista, sendo que a importância de R$ 90.000,00 através do veículo I/VW AMAROK, ano 2016,Placa IXL 8H85 – RS.</t>
  </si>
  <si>
    <t>Arquivo 17, linha 291</t>
  </si>
  <si>
    <t>Arquivo 17, linha 292</t>
  </si>
  <si>
    <t>Arquivo 17, linha 270</t>
  </si>
  <si>
    <t>Total / média geral</t>
  </si>
  <si>
    <t>1734</t>
  </si>
  <si>
    <t>Gláucio da Rosa Monteiro</t>
  </si>
  <si>
    <t>Arquivo 17, linha 253</t>
  </si>
  <si>
    <t>Arquivo 17, linha 261</t>
  </si>
  <si>
    <t>Simone Franciele Balem</t>
  </si>
  <si>
    <t>Arquivo 17, linha 293</t>
  </si>
  <si>
    <t>1735</t>
  </si>
  <si>
    <t>Janete Basso</t>
  </si>
  <si>
    <t>Arquivo 17, linha 254</t>
  </si>
  <si>
    <t>Rovílio Antônio Dal Más</t>
  </si>
  <si>
    <t>Vendido à vista, com permuta de outro imóvel – Lote 03, Quadra 04 – Loteamento Femaçã II – Veranópolis, valor de R$ 190.000,00.</t>
  </si>
  <si>
    <t>Arquivo 17, linha 217</t>
  </si>
  <si>
    <t>Arquivo 17, linha 218</t>
  </si>
  <si>
    <t>Leonardo R. Kazienko</t>
  </si>
  <si>
    <t>Arquivo 17, linha 219</t>
  </si>
  <si>
    <t>Irma Siviero</t>
  </si>
  <si>
    <t>Vendido, como forma de GRATIFICAÇÃO – DOAÇÃO às irmãs dos Sócios do Grupo Empresarial Siviero – dedicação aos pais Luiz e Ângela Siviero.</t>
  </si>
  <si>
    <t>Arquivo 17, linha 220</t>
  </si>
  <si>
    <t>Élgides Siviero Binda</t>
  </si>
  <si>
    <t>Arquivo 17, linha 221</t>
  </si>
  <si>
    <t>Nilton de Oliveira Vieira</t>
  </si>
  <si>
    <t>Vendido à prazo, em 26x.</t>
  </si>
  <si>
    <t>Arquivo 17, linha 222</t>
  </si>
  <si>
    <t>Arquivo 17, linha 223</t>
  </si>
  <si>
    <t>Cristine Franceschi</t>
  </si>
  <si>
    <t>Vendido à vista, com permuta de outro imóvel – Lote 04, Quadra 04 – Loteamento Aditivo Medianeira – Veranópolis, valor de R$ 182.000,00.</t>
  </si>
  <si>
    <t>Arquivo 17, linha 225</t>
  </si>
  <si>
    <t>Arquivo 17, linha 226</t>
  </si>
  <si>
    <t>Vendido, como forma de adiantamento para acerto futuro com os demais sócios da empresa.</t>
  </si>
  <si>
    <t>Arquivo 17, linha 227</t>
  </si>
  <si>
    <t>Arquivo 17, linha 228</t>
  </si>
  <si>
    <t>Geni Siviero Mattiuz</t>
  </si>
  <si>
    <t>Arquivo 17, linha 229</t>
  </si>
  <si>
    <t>Gabriel Siviero Dal Ponte</t>
  </si>
  <si>
    <t>Arquivo 17, linha 230</t>
  </si>
  <si>
    <t>Alan Martins de Chagas</t>
  </si>
  <si>
    <t>Vendido, honorários -Acordo Processo Extrajudicial movido pelos proprietários do Loteamento + a importância de R$ 70.000,00,</t>
  </si>
  <si>
    <t>Arquivo 17, linha 231</t>
  </si>
  <si>
    <t>Djenifer Pellizzer</t>
  </si>
  <si>
    <t>Arquivo 17, linha 232</t>
  </si>
  <si>
    <t>Edegar Pellizzer</t>
  </si>
  <si>
    <t>Arquivo 17, linha 233</t>
  </si>
  <si>
    <t>Arquivo 17, linha 234</t>
  </si>
  <si>
    <t>Arquivo 17, linha 235</t>
  </si>
  <si>
    <t>Arquivo 17, linha 236</t>
  </si>
  <si>
    <t>Arquivo 17, linha 237</t>
  </si>
  <si>
    <t>Telmo Vicente Fantinel</t>
  </si>
  <si>
    <t>Vendido, como forma de pagamento de prestação de serviços de Licenciamento Ambiental no Loteamento Alto das Graças, de Caxias do Sul e acerto geral de serviços diversos.</t>
  </si>
  <si>
    <t>Arquivo 17, linha 238</t>
  </si>
  <si>
    <t>6364</t>
  </si>
  <si>
    <t>Alexandre Susin Os Lotes 05 e 06, da Quadra 6364, face suas localizações, equivalem a 03 lotes.</t>
  </si>
  <si>
    <t>Vendido, como forma de pagamento ao Acordo Extrajudicial de prestação de serviços + comissões – indenização distrato, num total de 24 lotes + o valor de R$ 200.000,00.</t>
  </si>
  <si>
    <t>Arquivo 17, linha 324</t>
  </si>
  <si>
    <t>Arquivo 17, linha 325</t>
  </si>
  <si>
    <t>6365</t>
  </si>
  <si>
    <t>Bidal Empreend.Imob.Ltda</t>
  </si>
  <si>
    <t>Vendido, como forma de pagamento de parte do apartamento de Luís Artur Siviero, em Caixas do Sul + o valor de R$ 210.000,00, pagos em 21 parcelas, totalizando R$ 380.000,00.</t>
  </si>
  <si>
    <t>Arquivo 17, linha 326</t>
  </si>
  <si>
    <t>Arquivo 17, linha 327</t>
  </si>
  <si>
    <t>Ildo Rech da Rosa (via Válter Siviero)</t>
  </si>
  <si>
    <t>Lote consignado, vendido por Válter Siviero.</t>
  </si>
  <si>
    <t>Arquivo 18, item 16</t>
  </si>
  <si>
    <t>Consta só na planilha do Válter (arquivo 18)</t>
  </si>
  <si>
    <t>Válter Materiais de Construção Ltda.</t>
  </si>
  <si>
    <t>Lote consignado, escriturado para a empresa Válter Materiais de Construção Ltda.</t>
  </si>
  <si>
    <t>Arquivo 18, item 15</t>
  </si>
  <si>
    <t>Arquivo 17, linha 328</t>
  </si>
  <si>
    <t>Soraya Dias Mais</t>
  </si>
  <si>
    <t>Arquivo 17, linha 329</t>
  </si>
  <si>
    <t>6366</t>
  </si>
  <si>
    <t>ACERTOS E ACORDOS</t>
  </si>
  <si>
    <t>Elir Marcos Alba</t>
  </si>
  <si>
    <t>Arquivo 17, linha 330</t>
  </si>
  <si>
    <t>SWC Ind Metalúrgica Ltda.</t>
  </si>
  <si>
    <t>Vendido à prazo, em 09x.</t>
  </si>
  <si>
    <t>Arquivo 17, linha 331</t>
  </si>
  <si>
    <t>6367</t>
  </si>
  <si>
    <t>Beatriz V. Buttembender</t>
  </si>
  <si>
    <t>Arquivo 17, linha 332</t>
  </si>
  <si>
    <t>Diego Luan Pereira</t>
  </si>
  <si>
    <t>Arquivo 17, linha 333</t>
  </si>
  <si>
    <t>Ademar Santos Pereira</t>
  </si>
  <si>
    <t>Arquivo 17, linha 334</t>
  </si>
  <si>
    <t>Arquivo 17, linha 335</t>
  </si>
  <si>
    <t>Arquivo 17, linha 336</t>
  </si>
  <si>
    <t>Marciano Bueno</t>
  </si>
  <si>
    <t>Arquivo 17, linha 337</t>
  </si>
  <si>
    <t>6368</t>
  </si>
  <si>
    <t>Arquivo 17, linha 338</t>
  </si>
  <si>
    <t xml:space="preserve">VALDIR ANGEST-01 lote (05/6372-Altos das Graças). </t>
  </si>
  <si>
    <t>Arquivo 17, linha 339</t>
  </si>
  <si>
    <t>Maicon Lorandi Pasquali</t>
  </si>
  <si>
    <t>Arquivo 17, linha 340</t>
  </si>
  <si>
    <t>Alceu Carlos Garda Teles (via Válter Siviero)</t>
  </si>
  <si>
    <t>Arquivo 18, item 17</t>
  </si>
  <si>
    <t>6369</t>
  </si>
  <si>
    <t>Arquivo 17, linha 341</t>
  </si>
  <si>
    <t>Colunata–Asdrubal Antoniazzi</t>
  </si>
  <si>
    <t>Vendido, referente ao pagamento pela prestação de serviços, conforme acordado dentre as partes, prestados para o Loteamento Reserva Falavigna, de Flores da Cunha.</t>
  </si>
  <si>
    <t>Arquivo 17, linha 342</t>
  </si>
  <si>
    <t>MSL Incorporadora Ltda.</t>
  </si>
  <si>
    <t>Arquivo 17, linha 343</t>
  </si>
  <si>
    <t>Arquivo 17, linha 344</t>
  </si>
  <si>
    <t>6370</t>
  </si>
  <si>
    <t>AGI Emp Imobiliários Ltda. Alexandre Susin</t>
  </si>
  <si>
    <t>Vendido, conforme acordo ajustado dentre as partes, no Instrumento Particular de Termo de Acordo Extrajudicial, firmado em 13 de julho de 2020, na forma de DAÇÃO EM PAGAMENTO.</t>
  </si>
  <si>
    <t>Arquivo 17, linha 345</t>
  </si>
  <si>
    <t xml:space="preserve">VALDIR ANGEST - R$ 270.000,00 - pago em dinheiro. </t>
  </si>
  <si>
    <t>Vendido, referente ao pagamento pela prestação de serviços, conforme contrato de 05.10.2021, prestados para o Loteamento da Família Basso, firmado dentre HECTA x COLUNATA.</t>
  </si>
  <si>
    <t>Arquivo 17, linha 346</t>
  </si>
  <si>
    <t>Arquivo 17, linha 347</t>
  </si>
  <si>
    <t>Arquivo 17, linha 348</t>
  </si>
  <si>
    <t>João Daniel Pereira</t>
  </si>
  <si>
    <t>Vendido â vista.</t>
  </si>
  <si>
    <t>Arquivo 17, linha 349</t>
  </si>
  <si>
    <t>6371</t>
  </si>
  <si>
    <t>ALEXANDRE SUSIN-07 lotes em um acordo</t>
  </si>
  <si>
    <t>Constrular Incorporadora</t>
  </si>
  <si>
    <t>Arquivo 17, linha 350</t>
  </si>
  <si>
    <t>Alexandre Susin (via Válter Siviero)</t>
  </si>
  <si>
    <t>Lote consignado a Válter Siviero; 3 lotes trocados pela parte de Alexandre Susin em área de 2,5 ha em Monte Bérico.</t>
  </si>
  <si>
    <t>Arquivo 18, item 2</t>
  </si>
  <si>
    <t>Bruno Pinheiro Bitencourt</t>
  </si>
  <si>
    <t xml:space="preserve">ALEXANDRE SUSIN - 17 lotes em um acordo. </t>
  </si>
  <si>
    <t>Arquivo 17, linha 351</t>
  </si>
  <si>
    <t>L.R. Bett Pavimentações</t>
  </si>
  <si>
    <t>Vendido, como forma de pagamento na prestação de serviços de pavimentação do Sistema Viário do Loteamento Reserva Falavigna, de Flores da Cunha, com o fornecimento de materiais e mão-de-obra. Valor total do contrato: R$ 465.000,00.</t>
  </si>
  <si>
    <t>Arquivo 17, linha 352</t>
  </si>
  <si>
    <t>6372</t>
  </si>
  <si>
    <t>Valdir José Angest</t>
  </si>
  <si>
    <t>Vendido, como forma de indenização pela compra de 03 lotes na área da Família Fioreze, pela não execução do Loteamento + o valor de R$ 139.500,00, pagos pela empresa Siviero, em 18 parcelas = R$ 270.000,00.</t>
  </si>
  <si>
    <t xml:space="preserve">ALEXANDRE SUSIN - R$ 200.000,00 - pago em dinheiro. </t>
  </si>
  <si>
    <t>Arquivo 17, linha 353</t>
  </si>
  <si>
    <t>Arquivo 17, linha 354</t>
  </si>
  <si>
    <t>Arquivo 17, linha 355</t>
  </si>
  <si>
    <t xml:space="preserve">AMBITEC - 11 lotes em acordo. </t>
  </si>
  <si>
    <t>Arquivo 17, linha 356</t>
  </si>
  <si>
    <t>Evandro Mário Zanrosso</t>
  </si>
  <si>
    <t>Vendido, conforme acordo ajustado dentre as partes, no Instrumento Particular de Acordo Extrajudicial, firmado em 19 de março de 2024, na forma de DAÇÃO EM PAGAMENTO.</t>
  </si>
  <si>
    <t>Arquivo 17, linha 357</t>
  </si>
  <si>
    <t>Reali Construções Ltda.</t>
  </si>
  <si>
    <t>Vendido à vista, sendo que a importância de R$ 62.500,00 foi para indenização do Sr. EVANDRO ZANROSSO, pela negociação de 01 lote no Loteamento Vale das Colinas – Piccoli.</t>
  </si>
  <si>
    <t>Arquivo 17, linha 358</t>
  </si>
  <si>
    <t xml:space="preserve">AMBITEC - R$ 15.000,00 - pago em dinheiro. </t>
  </si>
  <si>
    <t>Vagner Siviero (via Válter Siviero)</t>
  </si>
  <si>
    <t>Lote consignado; usado na aquisição de apartamento e box para Vagner Siviero.</t>
  </si>
  <si>
    <t>Arquivo 18, item 12</t>
  </si>
  <si>
    <t>6373</t>
  </si>
  <si>
    <t>Rosa Maria Nascimento</t>
  </si>
  <si>
    <t>Arquivo 17, linha 359</t>
  </si>
  <si>
    <t xml:space="preserve">FAMÍLIA FARINA - 17 lotes - acordo judicial. </t>
  </si>
  <si>
    <t>Arquivo 17, linha 360</t>
  </si>
  <si>
    <t>Senesio Kuhn</t>
  </si>
  <si>
    <t>Arquivo 17, linha 361</t>
  </si>
  <si>
    <t>Grazziotin &amp; De Villa</t>
  </si>
  <si>
    <t>Vendido, como forma de pagamento de honorários advocatícios da Assessoria Jurídica da Família Bozzetti, de Farroupilha – Processo Judicial – DAÇÃO EM PAGAMENTO + a importância de R$ 50.000,00.</t>
  </si>
  <si>
    <t>Arquivo 17, linha 362</t>
  </si>
  <si>
    <t xml:space="preserve">FAMÍLIA FARINA 01 lote, de R$ 830.000,00 - honorários advocatícios (Foi feito um novo acordo, onde foi trocado este lote, do Loteamento Industrial Vicentino, por 04 lotes nos Loteamentos na cidade de Farroupilha. </t>
  </si>
  <si>
    <t>Arquidea Ltda.</t>
  </si>
  <si>
    <t>Vendido, em permuta de uma casa (unidade) habitacional construída sobre o lote.</t>
  </si>
  <si>
    <t>Arquivo 17, linha 363</t>
  </si>
  <si>
    <t>Arquidea Ltda. (via Válter Siviero)</t>
  </si>
  <si>
    <t>Lote consignado, vendido para a Arquidea.</t>
  </si>
  <si>
    <t>Arquivo 18, item 13</t>
  </si>
  <si>
    <t>Vendido, como forma de pagamento de prestação de serviços, PERMUTADO com 01 lote do Loteamento Caminhos do Sol, no percentual de 2,00%, conforme contratado no contrato de prestação de serviços para legalização e aprovação do Loteamento Boff.</t>
  </si>
  <si>
    <t xml:space="preserve">FAMÍLIA FARINA - R$ 220.000,00 - honorários advocatícios - pago em dinheiro. </t>
  </si>
  <si>
    <t>Arquivo 17, linha 364</t>
  </si>
  <si>
    <t>Arquivo 17, linha 365</t>
  </si>
  <si>
    <t>AM Ind Art Cimento Ltda.</t>
  </si>
  <si>
    <t>Vendido, acerto com aquisição de pvs + caixas coletoras + colarinhos + grelhas e tampas para a Rede de Drenagem Pluvial utilizados no Loteamento Reserva Falavigna, de Flores da Cunha.</t>
  </si>
  <si>
    <t>Arquivo 17, linha 366</t>
  </si>
  <si>
    <t xml:space="preserve">ALCEONES SALVADOR - 04 lotes em acordo. </t>
  </si>
  <si>
    <t>6374</t>
  </si>
  <si>
    <t>Pedreira SS Ltda.</t>
  </si>
  <si>
    <t>Vendido, como forma de pagamento na prestação de serviços de pavimentação do Sistema Viário do Loteamento Altos das Graças, com o fornecimento de materiais e mão-de-obra.</t>
  </si>
  <si>
    <t>Arquivo 17, linha 367</t>
  </si>
  <si>
    <t>Arquivo 17, linha 368</t>
  </si>
  <si>
    <t>TELMO FANTINEL - 01 lote em acordo - Loteamento Monte Vêneto.</t>
  </si>
  <si>
    <t>Arquivo 17, linha 369</t>
  </si>
  <si>
    <t>Arquivo 17, linha 370</t>
  </si>
  <si>
    <t>Henrique Nelci Siben (via Válter Siviero)</t>
  </si>
  <si>
    <t>Lote consignado, vendido para Henrique Nelci Siben.</t>
  </si>
  <si>
    <t>Arquivo 18, item 14</t>
  </si>
  <si>
    <t xml:space="preserve">FOCHESATO - Caxias do Sul - 04 lotes - em acordo, referente aos lotes negociados no Loteamento Zanandréa. </t>
  </si>
  <si>
    <t>172</t>
  </si>
  <si>
    <t>Linceu Marzarotto</t>
  </si>
  <si>
    <t>Vendido à prazo, em 02x, com reparcelamento da segunda parcela até março de 2022.</t>
  </si>
  <si>
    <t>Arquivo 17, linha 371</t>
  </si>
  <si>
    <t>016</t>
  </si>
  <si>
    <t>Arquivo 17, linha 372</t>
  </si>
  <si>
    <t>022</t>
  </si>
  <si>
    <t>VIA NOVA - BOSCHETTI+SANDRO+RAFAEL - 09 lotes em acordo.</t>
  </si>
  <si>
    <t>Maitê Chinato Sá</t>
  </si>
  <si>
    <t>Arquivo 17, linha 373</t>
  </si>
  <si>
    <t>024</t>
  </si>
  <si>
    <t>PJV Participações Ltda.</t>
  </si>
  <si>
    <t>Arquivo 17, linha 374</t>
  </si>
  <si>
    <t>025</t>
  </si>
  <si>
    <t>Johny Panizzon</t>
  </si>
  <si>
    <t>Arquivo 17, linha 375</t>
  </si>
  <si>
    <t xml:space="preserve">VIA NOVA - BOSCHETTI+SANDRO+RAFAEL - R$ 90.000,00 - pago em dinheiro. </t>
  </si>
  <si>
    <t>174</t>
  </si>
  <si>
    <t>Ademir Preto</t>
  </si>
  <si>
    <t>Vendido à prazo, em 37x.</t>
  </si>
  <si>
    <t>Arquivo 17, linha 376</t>
  </si>
  <si>
    <t>014</t>
  </si>
  <si>
    <t>Arquivo 17, linha 377</t>
  </si>
  <si>
    <t>FLÁVIA MÂNICA SIVIERO - R$ 500.000,00 - acordo que está sendo pago em dinheiro - 24/50 parcela</t>
  </si>
  <si>
    <t>Arquivo 17, linha 378</t>
  </si>
  <si>
    <t>Arquivo 17, linha 379</t>
  </si>
  <si>
    <t>020</t>
  </si>
  <si>
    <t>Indústria Florense Ltda.</t>
  </si>
  <si>
    <t>VENDIDO, com permuta de aduelas para a construção da galeria no Loteamento Falavigna e acerto geral de materiais entregues nos Loteamentos da empresa, na condição de 50,00% pagos em espécie pela empresa Siviero e 50,00% em permuta do lote.</t>
  </si>
  <si>
    <t>Arquivo 17, linha 387</t>
  </si>
  <si>
    <t>021</t>
  </si>
  <si>
    <t xml:space="preserve">VERONA - Farroupilha - 02 lotes em acordo (01/San Marino + 01/Altos da Julieta). </t>
  </si>
  <si>
    <t>Arquivo 17, linha 388</t>
  </si>
  <si>
    <t>023</t>
  </si>
  <si>
    <t>Arquivo 17, linha 389</t>
  </si>
  <si>
    <t>175</t>
  </si>
  <si>
    <t>Bett Pavimentações Ltda.</t>
  </si>
  <si>
    <t xml:space="preserve">CELESTINO ROSSI-A ACERTAR OS HONORÁRIOS. </t>
  </si>
  <si>
    <t>VENDIDO, com permuta de mão de obra, material para pavimentação no Loteamento Falavigna e acerto geral de materiais entregues nos Loteamentos da empresa, na condição de 50,00% pagos em espécie pela empresa Siviero e 50,00% em permuta do lote.</t>
  </si>
  <si>
    <t>Arquivo 17, linha 390</t>
  </si>
  <si>
    <t>Arquivo 17, linha 391</t>
  </si>
  <si>
    <t>322</t>
  </si>
  <si>
    <t>Colunata Marketing Ltda.</t>
  </si>
  <si>
    <t>DAÇÃO EM PAGAMENTO, em cumprimento ao Contrato de Prestação Serviços referente a legalização completa, em todas as etapas até ao do Registro Imobiliário, do Loteamento Reserva Falavigna, através do Senhor Asdrubal Antoniazzi e Aditivo, firmado em 05 de outubro de 2021.</t>
  </si>
  <si>
    <t xml:space="preserve">ANTÔNIO ANSOLIN - R$ 55.000,00 - compra de 06 lotes. </t>
  </si>
  <si>
    <t>Arquivo 17, linha 380</t>
  </si>
  <si>
    <t>028</t>
  </si>
  <si>
    <t>VENDIDO, com permuta de tubos de concreto, pavês para pavimentação, tubos para a construção da galeria no Loteamento Falavigna e acerto geral de materiais entregues nos Loteamentos da empresa, na condição de 50,00% pagos em espécie pela empresa Siviero e 50,00% em permuta do lote.</t>
  </si>
  <si>
    <t>Arquivo 17, linha 381</t>
  </si>
  <si>
    <t>Venda registrada em 2026, mas o lote já não consta em out/2025</t>
  </si>
  <si>
    <t>G3 Incorporadora Ltda.</t>
  </si>
  <si>
    <t>DAÇÃO EM PAGAMENTO, em cumprimento ao Termo Aditivo do Contrato do Loteamento com a empresa G3 – Adelar Galiotto, para equalização dos percentuais de divisão de lotes dentre as partes tratado em 18 de maio de 2010.</t>
  </si>
  <si>
    <t>Arquivo 17, linha 383</t>
  </si>
  <si>
    <t xml:space="preserve">ANTÔNIO ANSOLIN - R$ 156.666,00 - em dinheiro referente a compra de 7,0 ha. </t>
  </si>
  <si>
    <t>878</t>
  </si>
  <si>
    <t>Lunna Bella Participações</t>
  </si>
  <si>
    <t>Arquivo 17, linha 384</t>
  </si>
  <si>
    <t>Arquivo 17, linha 385</t>
  </si>
  <si>
    <t>Arquivo 17, linha 386</t>
  </si>
  <si>
    <t>ANTÔNIO ANSOLIN - R$ 375.000,00-01 lote no Loteamento Industrial Pedra lisa, referente a compra de 7,0 ha.</t>
  </si>
  <si>
    <t>Angelo Augusto Rizzi</t>
  </si>
  <si>
    <t>Arquivo 17, linha 87</t>
  </si>
  <si>
    <t>Daniel Brock</t>
  </si>
  <si>
    <t>Arquivo 17, linha 88</t>
  </si>
  <si>
    <t>Paulo Ely</t>
  </si>
  <si>
    <t>Vendido à prazo, em 30x</t>
  </si>
  <si>
    <t>Arquivo 17, linha 89</t>
  </si>
  <si>
    <t xml:space="preserve">LORI FIOREZE - R$ 120.000,00 - compra de 02 lotes. </t>
  </si>
  <si>
    <t>33</t>
  </si>
  <si>
    <t>Deivi Lazaron</t>
  </si>
  <si>
    <t>Arquivo 17, linha 90</t>
  </si>
  <si>
    <t>34</t>
  </si>
  <si>
    <t>EZEQUIEL FIOREZE - R$ 170.000,00 - compra de 01 ha, que está sendo pago.</t>
  </si>
  <si>
    <t>Tiago Augusto Mossmann</t>
  </si>
  <si>
    <t>Arquivo 17, linha 91</t>
  </si>
  <si>
    <t>35</t>
  </si>
  <si>
    <t>Luciano Kovalski</t>
  </si>
  <si>
    <t>Arquivo 17, linha 92</t>
  </si>
  <si>
    <t>76</t>
  </si>
  <si>
    <t>H</t>
  </si>
  <si>
    <t>Antônio Cesar Mendes</t>
  </si>
  <si>
    <t>Arquivo 17, linha 93</t>
  </si>
  <si>
    <t>90</t>
  </si>
  <si>
    <t>CÂNDIDO FIOREZE - 120.000,00 - compra de 02 lotes.</t>
  </si>
  <si>
    <t>J</t>
  </si>
  <si>
    <t>Elton Ritter</t>
  </si>
  <si>
    <t>Arquivo 17, linha 95</t>
  </si>
  <si>
    <t>91</t>
  </si>
  <si>
    <t>Lairton de Almeida</t>
  </si>
  <si>
    <t>Arquivo 17, linha 94</t>
  </si>
  <si>
    <t>Gabriel Ablo Grecilo</t>
  </si>
  <si>
    <t>Arquivo 17, linha 96</t>
  </si>
  <si>
    <t>ASDRUBAL ANTONIAZZI - COLUNATA - 01 lote no Vale das Colinas. 
02 lotes no Basso.</t>
  </si>
  <si>
    <t>38</t>
  </si>
  <si>
    <t>Ian Zonatto dos Santos</t>
  </si>
  <si>
    <t>Arquivo 17, linha 9</t>
  </si>
  <si>
    <t>Rafael de Conti</t>
  </si>
  <si>
    <t>Arquivo 17, linha 14</t>
  </si>
  <si>
    <t>Eduardo Campanha</t>
  </si>
  <si>
    <t>Arquivo 17, linha 13</t>
  </si>
  <si>
    <t xml:space="preserve">RODRIGO RAZERA - SUSIN - 01 lote em Farroupilha - Viero. </t>
  </si>
  <si>
    <t>5824</t>
  </si>
  <si>
    <t>Arquivo 17, linha 71</t>
  </si>
  <si>
    <t>Arquivo 17, linha 72</t>
  </si>
  <si>
    <t>Arquivo 17, linha 73</t>
  </si>
  <si>
    <t>Arquivo 17, linha 68</t>
  </si>
  <si>
    <t>Gustavo Attolini</t>
  </si>
  <si>
    <t>Vendido à vista, sendo R$ 80.000,00 em espécie e R$ 130.000,00 permuta veículo SW4 QWB 0690, entregue para o sócio Raul Siviero.</t>
  </si>
  <si>
    <t>Arquivo 17, linha 69</t>
  </si>
  <si>
    <t>Arquivo 17, linha 70</t>
  </si>
  <si>
    <t>Arquivo 17, linha 66</t>
  </si>
  <si>
    <t>Arquivo 17, linha 67</t>
  </si>
  <si>
    <t>Valdemar de Barros</t>
  </si>
  <si>
    <t>Arquivo 17, linha 63</t>
  </si>
  <si>
    <t>Pode ser o lote urbano do Loteamento Boff (item 11.1.3, A.2), e não o do Irmãos Boff</t>
  </si>
  <si>
    <t>Quadri – CVC Construções / Cigano-Alfredo Estevan / Umberto Colla</t>
  </si>
  <si>
    <t>Lote dado como forma de pagamento pavimentação. Estava em aberto, pois faltava a cadeia de contratos.</t>
  </si>
  <si>
    <t>Arquivo 17, linha 8</t>
  </si>
  <si>
    <t>K</t>
  </si>
  <si>
    <t>Quadri – CVC Construções Cigano-Jorge Saul / Bordignon / Vuelma / Almir Rui</t>
  </si>
  <si>
    <t>Arquivo 17, linha 7</t>
  </si>
  <si>
    <t>Eduarda Muterle Zen</t>
  </si>
  <si>
    <t>Arquivo 17, linha 74</t>
  </si>
  <si>
    <t>Sustenseg Ltda. – Diego Zulian</t>
  </si>
  <si>
    <t>Vendido, como forma de pagamento pela prestação serviços – Topografia, Licenciamento, Aprovação e Registro do Loteamento Sol Nascente III.</t>
  </si>
  <si>
    <t>Arquivo 17, linha 75</t>
  </si>
  <si>
    <t>1467</t>
  </si>
  <si>
    <t>Elizete/Rosália de Oliveira</t>
  </si>
  <si>
    <t>Arquivo 17, linha 85</t>
  </si>
  <si>
    <t>Arquivo 17, linha 81</t>
  </si>
  <si>
    <t>Arquivo 17, linha 83</t>
  </si>
  <si>
    <t>Arquivo 17, linha 79</t>
  </si>
  <si>
    <t>Arquivo 17, linha 80</t>
  </si>
  <si>
    <t>Vendido, como forma de acerto de dívida de comissão, negociado com Rodrigo Razzera.</t>
  </si>
  <si>
    <t>Arquivo 17, linha 82</t>
  </si>
  <si>
    <t>Maickel Moretto</t>
  </si>
  <si>
    <t>Arquivo 17, linha 86</t>
  </si>
  <si>
    <t>Eduardo Peruzzo</t>
  </si>
  <si>
    <t>Arquivo 17, linha 84</t>
  </si>
  <si>
    <t>Bento Gonçalves</t>
  </si>
  <si>
    <t>INÊS COLOMBO-02 lotes no Altos da Julieta - multa rescisão contrato.</t>
  </si>
  <si>
    <t>559/47</t>
  </si>
  <si>
    <t>216</t>
  </si>
  <si>
    <t>Lote nº 559/47, quadra 216, Loteamento Ouro Verde (cadastro municipal 13082100).</t>
  </si>
  <si>
    <t>Aba 11.Empreendimentos, linha 60</t>
  </si>
  <si>
    <t>247/169</t>
  </si>
  <si>
    <t>221</t>
  </si>
  <si>
    <t>Lote nº 247/169, quadra 221, Loteamento Ouro Verde (cadastro municipal 13092200).</t>
  </si>
  <si>
    <t>Aba 11.Empreendimentos, linha 61</t>
  </si>
  <si>
    <t>—</t>
  </si>
  <si>
    <t>Lote da Rua Bento Gonçalves, Bairro São Pelegrino (fundos da Casa da Nona), matrícula 2.325, adquirido de Michelle Tedesco. Constava em dez/2024 e não consta em out/2025.</t>
  </si>
  <si>
    <t>Aba 11.Empreendimentos, linha 58</t>
  </si>
  <si>
    <t xml:space="preserve">EDOARDO BOVO - Farroupilha - R$ 120.000,00 - acordo judicial. </t>
  </si>
  <si>
    <t>Lote da Rua Fioravante Boff, Bairro Femaçã, Loteamento Boff (em nome de Cleri Fávero).</t>
  </si>
  <si>
    <t>Aba 11.Empreendimentos, linha 59</t>
  </si>
  <si>
    <t>Sem registro de venda nos arquivos 17 e 18; pode ser o lote vendido a Valdemar de Barros (arquivo 17, Boff 16/C)</t>
  </si>
  <si>
    <t>23.36% do valor inicial da multa</t>
  </si>
  <si>
    <t xml:space="preserve">FAMÍLIA BASSO - Acerto da dívida na Prefeitura de Caxias do Sul: R$ 156.100,41, em 40 parcelas - Pago 11/40 parcelas de R$ 4.473,71. R$ 69.060,32, em 40 parcelas - Pago 11/40 parcelas de R$ 1.971,21. </t>
  </si>
  <si>
    <t>FAMÍLIA PEDROTTI 
Casa Fochesatto - Nova Prata 
R$ 270.000,00 (R$ 190.000,00 + R$ 80.000,00).</t>
  </si>
  <si>
    <t xml:space="preserve">ALAN - Advogado Famílias do Loteamento Monte Vêneto. 01 lote no Loteamento Monte Vêneto - L.11/Q.09. 
R$ 70.000,00 - pago em dinheiro. </t>
  </si>
  <si>
    <t>HOTEL PRINCESA DOS VALES LTDA. - ÁREA DE TERRAS VENDIDAS + LOTEAMENTOS CONTRATADOS PELA SEI - SEM OBRAS</t>
  </si>
  <si>
    <r>
      <rPr>
        <rFont val="Calibri"/>
        <b/>
        <color theme="1"/>
        <u/>
      </rPr>
      <t>2025 -&gt; Descrição da venda de 190 hectares:</t>
    </r>
    <r>
      <rPr>
        <rFont val="Calibri"/>
        <b/>
        <color theme="1"/>
      </rPr>
      <t xml:space="preserve">    (média R$ 49.726.30 – aumento de 38.19%)</t>
    </r>
    <r>
      <rPr>
        <rFont val="Calibri"/>
        <color theme="1"/>
      </rPr>
      <t xml:space="preserve">
Vendido em 2018, uma área de terras de </t>
    </r>
    <r>
      <rPr>
        <rFont val="Calibri"/>
        <b/>
        <color theme="1"/>
      </rPr>
      <t xml:space="preserve">190,0 hectares </t>
    </r>
    <r>
      <rPr>
        <rFont val="Calibri"/>
        <color theme="1"/>
      </rPr>
      <t xml:space="preserve">para a FAMILIA RIGO, ao valor de </t>
    </r>
    <r>
      <rPr>
        <rFont val="Calibri"/>
        <b/>
        <color theme="1"/>
      </rPr>
      <t>R$ 49.726,30, ao hectare</t>
    </r>
    <r>
      <rPr>
        <rFont val="Calibri"/>
        <color theme="1"/>
      </rPr>
      <t>, de forma parcelada =</t>
    </r>
    <r>
      <rPr>
        <rFont val="Calibri"/>
        <b/>
        <color theme="1"/>
      </rPr>
      <t xml:space="preserve"> </t>
    </r>
    <r>
      <rPr>
        <rFont val="Calibri"/>
        <b/>
        <color theme="1"/>
        <u/>
      </rPr>
      <t>R$ 9.448.000,00 = 118.100 SC SOJA</t>
    </r>
    <r>
      <rPr>
        <rFont val="Calibri"/>
        <b/>
        <color theme="1"/>
      </rPr>
      <t>.</t>
    </r>
    <r>
      <rPr>
        <rFont val="Calibri"/>
        <color theme="1"/>
      </rPr>
      <t xml:space="preserve">
</t>
    </r>
    <r>
      <rPr>
        <rFont val="Calibri"/>
        <b/>
        <color theme="1"/>
      </rPr>
      <t>R$ 3.000.000,00 – À VISTA, equivalente a 37.500 SACAS DE SOJA.</t>
    </r>
    <r>
      <rPr>
        <rFont val="Calibri"/>
        <color theme="1"/>
      </rPr>
      <t xml:space="preserve">
</t>
    </r>
    <r>
      <rPr>
        <rFont val="Calibri"/>
        <b/>
        <color theme="1"/>
      </rPr>
      <t>20.150 SACAS DE SOJA</t>
    </r>
    <r>
      <rPr>
        <rFont val="Calibri"/>
        <color theme="1"/>
      </rPr>
      <t xml:space="preserve"> em MAIO DE 2019.                                  O valor da saca de soja
</t>
    </r>
    <r>
      <rPr>
        <rFont val="Calibri"/>
        <b/>
        <color theme="1"/>
      </rPr>
      <t>20.150 SACAS DE SOJA</t>
    </r>
    <r>
      <rPr>
        <rFont val="Calibri"/>
        <color theme="1"/>
      </rPr>
      <t xml:space="preserve"> em MAIO DE 2020.                                  considerado foi de R$ 80,00
</t>
    </r>
    <r>
      <rPr>
        <rFont val="Calibri"/>
        <b/>
        <color theme="1"/>
      </rPr>
      <t>20.150 SACAS DE SOJA</t>
    </r>
    <r>
      <rPr>
        <rFont val="Calibri"/>
        <color theme="1"/>
      </rPr>
      <t xml:space="preserve"> em MAIO DE 2021. </t>
    </r>
    <r>
      <rPr>
        <rFont val="Calibri"/>
        <b/>
        <color theme="1"/>
      </rPr>
      <t>(FALTA RECEBER)</t>
    </r>
    <r>
      <rPr>
        <rFont val="Calibri"/>
        <color theme="1"/>
      </rPr>
      <t xml:space="preserve">  à saca, conforme preço de 
</t>
    </r>
    <r>
      <rPr>
        <rFont val="Calibri"/>
        <b/>
        <color theme="1"/>
      </rPr>
      <t xml:space="preserve">20.150 SACAS DE SOJA </t>
    </r>
    <r>
      <rPr>
        <rFont val="Calibri"/>
        <color theme="1"/>
      </rPr>
      <t xml:space="preserve">em MAIO DE 2022. </t>
    </r>
    <r>
      <rPr>
        <rFont val="Calibri"/>
        <b/>
        <color theme="1"/>
      </rPr>
      <t>(FALTA RECEBER)</t>
    </r>
    <r>
      <rPr>
        <rFont val="Calibri"/>
        <color theme="1"/>
      </rPr>
      <t xml:space="preserve">  cotação em Outubro/2018
          | </t>
    </r>
    <r>
      <rPr>
        <rFont val="Calibri"/>
        <b/>
        <color theme="1"/>
        <u/>
      </rPr>
      <t>2018 -&gt; Descrição da mesma venda:    (média R$ 35,983.21)</t>
    </r>
    <r>
      <rPr>
        <rFont val="Calibri"/>
        <color theme="1"/>
      </rPr>
      <t xml:space="preserve">
          | Uma área de terras rurais, denominada de </t>
    </r>
    <r>
      <rPr>
        <rFont val="Calibri"/>
        <b/>
        <color theme="1"/>
      </rPr>
      <t>FAZENDA SÃO CRISPIN,</t>
    </r>
    <r>
      <rPr>
        <rFont val="Calibri"/>
        <color theme="1"/>
      </rPr>
      <t xml:space="preserve"> com área total de </t>
    </r>
    <r>
      <rPr>
        <rFont val="Calibri"/>
        <b/>
        <color theme="1"/>
      </rPr>
      <t>106,53 hectares</t>
    </r>
    <r>
      <rPr>
        <rFont val="Calibri"/>
        <color theme="1"/>
      </rPr>
      <t xml:space="preserve">,
          | DENTRO DE UM TODO MAIOR, localizada na Capela de São Sebastião, no Distrito do Chimarrão, no Município de
          | André da Rocha – RS, adquirida do Senhor ALZIR CHIARADIA e AQUILES PIO FRANCESCHETTE,
          | área esta registrada sob Matrícula nº.: 11.090. = 106,53 hectares.
          | área esta registrada sob Matrícula nº.: _____?. = 83,47 hectares
          | Cadastrada no CCIR – Receita Federal sob nº .....
          | Adquirida por CONTRATO DE COMPRA E VENDA, datado de 05 de setembro de 2005.
          | Área Alzir  –  parte produtiva  =  35,00% :       </t>
    </r>
    <r>
      <rPr>
        <rFont val="Calibri"/>
        <b/>
        <color theme="1"/>
      </rPr>
      <t>37,275 ha – R$ 44.000,00 =   R$ 1.640.100,00</t>
    </r>
    <r>
      <rPr>
        <rFont val="Calibri"/>
        <color theme="1"/>
      </rPr>
      <t xml:space="preserve">
          | Área Alzir  –  parte não produtiva = 65,00%:   </t>
    </r>
    <r>
      <rPr>
        <rFont val="Calibri"/>
        <b/>
        <color theme="1"/>
      </rPr>
      <t>69,225 ha – R$ 22.000,00 =  R$ 1.522.950,00</t>
    </r>
    <r>
      <rPr>
        <rFont val="Calibri"/>
        <color theme="1"/>
      </rPr>
      <t xml:space="preserve">
          | Área Jane/João Paulo – 100% produtiva:           </t>
    </r>
    <r>
      <rPr>
        <rFont val="Calibri"/>
        <b/>
        <color theme="1"/>
        <u/>
      </rPr>
      <t>83,47ha – R$ 44.000,00 =   R$ 3.672.680,00</t>
    </r>
    <r>
      <rPr>
        <rFont val="Calibri"/>
        <color theme="1"/>
        <u/>
      </rPr>
      <t>.</t>
    </r>
    <r>
      <rPr>
        <rFont val="Calibri"/>
        <color theme="1"/>
      </rPr>
      <t xml:space="preserve"> 
          |                                                                                                              </t>
    </r>
    <r>
      <rPr>
        <rFont val="Calibri"/>
        <b/>
        <color theme="1"/>
      </rPr>
      <t xml:space="preserve">      TOTAL = </t>
    </r>
    <r>
      <rPr>
        <rFont val="Calibri"/>
        <color theme="1"/>
      </rPr>
      <t xml:space="preserve"> </t>
    </r>
    <r>
      <rPr>
        <rFont val="Calibri"/>
        <b/>
        <color theme="1"/>
      </rPr>
      <t xml:space="preserve">R$ 6,835,730.00 </t>
    </r>
  </si>
  <si>
    <r>
      <rPr>
        <rFont val="Calibri"/>
        <b/>
        <color theme="1"/>
      </rPr>
      <t>2025</t>
    </r>
    <r>
      <rPr>
        <rFont val="Calibri"/>
        <color theme="1"/>
      </rPr>
      <t xml:space="preserve">
Vendido em 2018, uma área de terras de </t>
    </r>
    <r>
      <rPr>
        <rFont val="Calibri"/>
        <b/>
        <color theme="1"/>
      </rPr>
      <t>85,32 hectares</t>
    </r>
    <r>
      <rPr>
        <rFont val="Calibri"/>
        <color theme="1"/>
      </rPr>
      <t xml:space="preserve"> para a </t>
    </r>
    <r>
      <rPr>
        <rFont val="Calibri"/>
        <b/>
        <color theme="1"/>
      </rPr>
      <t>FAMILIA PELLEGRINI</t>
    </r>
    <r>
      <rPr>
        <rFont val="Calibri"/>
        <color theme="1"/>
      </rPr>
      <t xml:space="preserve">, ao valor de </t>
    </r>
    <r>
      <rPr>
        <rFont val="Calibri"/>
        <b/>
        <color theme="1"/>
      </rPr>
      <t>R$ 2.100.000,00</t>
    </r>
    <r>
      <rPr>
        <rFont val="Calibri"/>
        <color theme="1"/>
      </rPr>
      <t xml:space="preserve"> (Dois milhões e cem mil reais), de forma parcelada e mais a quantidade de 41 (Quarenta e uma) cabeças de gado.
</t>
    </r>
    <r>
      <rPr>
        <rFont val="Calibri"/>
        <b/>
        <color theme="1"/>
      </rPr>
      <t>R$ 100.000,00 – 41 cabeças de gado.</t>
    </r>
    <r>
      <rPr>
        <rFont val="Calibri"/>
        <color theme="1"/>
      </rPr>
      <t xml:space="preserve">
</t>
    </r>
    <r>
      <rPr>
        <rFont val="Calibri"/>
        <b/>
        <color theme="1"/>
      </rPr>
      <t>R$ 2.000.000,00 – 85,32 ha</t>
    </r>
    <r>
      <rPr>
        <rFont val="Calibri"/>
        <color theme="1"/>
      </rPr>
      <t xml:space="preserve">, sendo valor de </t>
    </r>
    <r>
      <rPr>
        <rFont val="Calibri"/>
        <b/>
        <color theme="1"/>
      </rPr>
      <t>R$ 23.441,16, ao hectare</t>
    </r>
    <r>
      <rPr>
        <rFont val="Calibri"/>
        <color theme="1"/>
      </rPr>
      <t xml:space="preserve">.  
</t>
    </r>
    <r>
      <rPr>
        <rFont val="Calibri"/>
        <b/>
        <color theme="1"/>
      </rPr>
      <t>R$ 1.100.000,00</t>
    </r>
    <r>
      <rPr>
        <rFont val="Calibri"/>
        <color theme="1"/>
      </rPr>
      <t xml:space="preserve"> – À VISTA.
</t>
    </r>
    <r>
      <rPr>
        <rFont val="Calibri"/>
        <b/>
        <color theme="1"/>
      </rPr>
      <t>R$ 1.000.000,00</t>
    </r>
    <r>
      <rPr>
        <rFont val="Calibri"/>
        <color theme="1"/>
      </rPr>
      <t xml:space="preserve"> – JUNHO/2019.</t>
    </r>
  </si>
  <si>
    <r>
      <rPr>
        <rFont val="Calibri"/>
        <b/>
        <color theme="1"/>
        <u/>
      </rPr>
      <t>2025 -&gt; Descrição da venda de 190 hectares:</t>
    </r>
    <r>
      <rPr>
        <rFont val="Calibri"/>
        <b/>
        <color theme="1"/>
      </rPr>
      <t xml:space="preserve">    (média R$ 49.726.30 – aumento de 38.19%)</t>
    </r>
    <r>
      <rPr>
        <rFont val="Calibri"/>
        <color theme="1"/>
      </rPr>
      <t xml:space="preserve">
Vendido em 2018, uma área de terras de </t>
    </r>
    <r>
      <rPr>
        <rFont val="Calibri"/>
        <b/>
        <color theme="1"/>
      </rPr>
      <t xml:space="preserve">190,0 hectares </t>
    </r>
    <r>
      <rPr>
        <rFont val="Calibri"/>
        <color theme="1"/>
      </rPr>
      <t xml:space="preserve">para a FAMILIA RIGO, ao valor de </t>
    </r>
    <r>
      <rPr>
        <rFont val="Calibri"/>
        <b/>
        <color theme="1"/>
      </rPr>
      <t>R$ 49.726,30, ao hectare</t>
    </r>
    <r>
      <rPr>
        <rFont val="Calibri"/>
        <color theme="1"/>
      </rPr>
      <t>, de forma parcelada =</t>
    </r>
    <r>
      <rPr>
        <rFont val="Calibri"/>
        <b/>
        <color theme="1"/>
      </rPr>
      <t xml:space="preserve"> </t>
    </r>
    <r>
      <rPr>
        <rFont val="Calibri"/>
        <b/>
        <color theme="1"/>
        <u/>
      </rPr>
      <t>R$ 9.448.000,00 = 118.100 SC SOJA</t>
    </r>
    <r>
      <rPr>
        <rFont val="Calibri"/>
        <b/>
        <color theme="1"/>
      </rPr>
      <t>.</t>
    </r>
    <r>
      <rPr>
        <rFont val="Calibri"/>
        <color theme="1"/>
      </rPr>
      <t xml:space="preserve">
</t>
    </r>
    <r>
      <rPr>
        <rFont val="Calibri"/>
        <b/>
        <color theme="1"/>
      </rPr>
      <t>R$ 3.000.000,00 – À VISTA, equivalente a 37.500 SACAS DE SOJA.</t>
    </r>
    <r>
      <rPr>
        <rFont val="Calibri"/>
        <color theme="1"/>
      </rPr>
      <t xml:space="preserve">
</t>
    </r>
    <r>
      <rPr>
        <rFont val="Calibri"/>
        <b/>
        <color theme="1"/>
      </rPr>
      <t>20.150 SACAS DE SOJA</t>
    </r>
    <r>
      <rPr>
        <rFont val="Calibri"/>
        <color theme="1"/>
      </rPr>
      <t xml:space="preserve"> em MAIO DE 2019.                                  O valor da saca de soja
</t>
    </r>
    <r>
      <rPr>
        <rFont val="Calibri"/>
        <b/>
        <color theme="1"/>
      </rPr>
      <t>20.150 SACAS DE SOJA</t>
    </r>
    <r>
      <rPr>
        <rFont val="Calibri"/>
        <color theme="1"/>
      </rPr>
      <t xml:space="preserve"> em MAIO DE 2020.                                  considerado foi de R$ 80,00
</t>
    </r>
    <r>
      <rPr>
        <rFont val="Calibri"/>
        <b/>
        <color theme="1"/>
      </rPr>
      <t>20.150 SACAS DE SOJA</t>
    </r>
    <r>
      <rPr>
        <rFont val="Calibri"/>
        <color theme="1"/>
      </rPr>
      <t xml:space="preserve"> em MAIO DE 2021. </t>
    </r>
    <r>
      <rPr>
        <rFont val="Calibri"/>
        <b/>
        <color theme="1"/>
      </rPr>
      <t>(FALTA RECEBER)</t>
    </r>
    <r>
      <rPr>
        <rFont val="Calibri"/>
        <color theme="1"/>
      </rPr>
      <t xml:space="preserve">  à saca, conforme preço de 
</t>
    </r>
    <r>
      <rPr>
        <rFont val="Calibri"/>
        <b/>
        <color theme="1"/>
      </rPr>
      <t xml:space="preserve">20.150 SACAS DE SOJA </t>
    </r>
    <r>
      <rPr>
        <rFont val="Calibri"/>
        <color theme="1"/>
      </rPr>
      <t xml:space="preserve">em MAIO DE 2022. </t>
    </r>
    <r>
      <rPr>
        <rFont val="Calibri"/>
        <b/>
        <color theme="1"/>
      </rPr>
      <t>(FALTA RECEBER)</t>
    </r>
    <r>
      <rPr>
        <rFont val="Calibri"/>
        <color theme="1"/>
      </rPr>
      <t xml:space="preserve">  cotação em Outubro/2018
          | </t>
    </r>
    <r>
      <rPr>
        <rFont val="Calibri"/>
        <b/>
        <color theme="1"/>
        <u/>
      </rPr>
      <t>2018 -&gt; Descrição da mesma venda:    (média R$ 35,983.21)</t>
    </r>
    <r>
      <rPr>
        <rFont val="Calibri"/>
        <color theme="1"/>
      </rPr>
      <t xml:space="preserve">
          | Uma área de terras rurais, denominada de </t>
    </r>
    <r>
      <rPr>
        <rFont val="Calibri"/>
        <b/>
        <color theme="1"/>
      </rPr>
      <t>FAZENDA SÃO CRISPIN,</t>
    </r>
    <r>
      <rPr>
        <rFont val="Calibri"/>
        <color theme="1"/>
      </rPr>
      <t xml:space="preserve"> com área total de </t>
    </r>
    <r>
      <rPr>
        <rFont val="Calibri"/>
        <b/>
        <color theme="1"/>
      </rPr>
      <t>106,53 hectares</t>
    </r>
    <r>
      <rPr>
        <rFont val="Calibri"/>
        <color theme="1"/>
      </rPr>
      <t xml:space="preserve">,
          | DENTRO DE UM TODO MAIOR, localizada na Capela de São Sebastião, no Distrito do Chimarrão, no Município de
          | André da Rocha – RS, adquirida do Senhor ALZIR CHIARADIA e AQUILES PIO FRANCESCHETTE,
          | área esta registrada sob Matrícula nº.: 11.090. = 106,53 hectares.
          | área esta registrada sob Matrícula nº.: _____?. = 83,47 hectares
          | Cadastrada no CCIR – Receita Federal sob nº .....
          | Adquirida por CONTRATO DE COMPRA E VENDA, datado de 05 de setembro de 2005.
          | Área Alzir  –  parte produtiva  =  35,00% :       </t>
    </r>
    <r>
      <rPr>
        <rFont val="Calibri"/>
        <b/>
        <color theme="1"/>
      </rPr>
      <t>37,275 ha – R$ 44.000,00 =   R$ 1.640.100,00</t>
    </r>
    <r>
      <rPr>
        <rFont val="Calibri"/>
        <color theme="1"/>
      </rPr>
      <t xml:space="preserve">
          | Área Alzir  –  parte não produtiva = 65,00%:   </t>
    </r>
    <r>
      <rPr>
        <rFont val="Calibri"/>
        <b/>
        <color theme="1"/>
      </rPr>
      <t>69,225 ha – R$ 22.000,00 =  R$ 1.522.950,00</t>
    </r>
    <r>
      <rPr>
        <rFont val="Calibri"/>
        <color theme="1"/>
      </rPr>
      <t xml:space="preserve">
          | Área Jane/João Paulo – 100% produtiva:           </t>
    </r>
    <r>
      <rPr>
        <rFont val="Calibri"/>
        <b/>
        <color theme="1"/>
        <u/>
      </rPr>
      <t>83,47ha – R$ 44.000,00 =   R$ 3.672.680,00</t>
    </r>
    <r>
      <rPr>
        <rFont val="Calibri"/>
        <color theme="1"/>
        <u/>
      </rPr>
      <t>.</t>
    </r>
    <r>
      <rPr>
        <rFont val="Calibri"/>
        <color theme="1"/>
      </rPr>
      <t xml:space="preserve"> 
          |                                                                                                              </t>
    </r>
    <r>
      <rPr>
        <rFont val="Calibri"/>
        <b/>
        <color theme="1"/>
      </rPr>
      <t xml:space="preserve">      TOTAL = </t>
    </r>
    <r>
      <rPr>
        <rFont val="Calibri"/>
        <color theme="1"/>
      </rPr>
      <t xml:space="preserve"> </t>
    </r>
    <r>
      <rPr>
        <rFont val="Calibri"/>
        <b/>
        <color theme="1"/>
      </rPr>
      <t xml:space="preserve">R$ 6,835,730.00 </t>
    </r>
  </si>
  <si>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4,9 hectares, localizada na Capela de São Sebastião, no Distrito do Chimarrão, no Município de André da Rocha – RS, adquirida do Senhor JOÃO ANASTÁCIO ANTÔNIO RODRIGUES, área esta registrada sob </t>
    </r>
    <r>
      <rPr>
        <rFont val="Calibri"/>
        <b/>
        <color theme="1"/>
      </rPr>
      <t>Matrícula nº.: 982.</t>
    </r>
    <r>
      <rPr>
        <rFont val="Calibri"/>
        <color theme="1"/>
      </rPr>
      <t xml:space="preserve">
Matrícula nº 982 = </t>
    </r>
    <r>
      <rPr>
        <rFont val="Calibri"/>
        <b/>
        <color theme="1"/>
      </rPr>
      <t>4,9 hectares.</t>
    </r>
    <r>
      <rPr>
        <rFont val="Calibri"/>
        <color theme="1"/>
      </rPr>
      <t xml:space="preserve">
Cadastrada no CCIR – Receita Federal sob nº 6.213.278-4
Área Anastácio – parte não produtiva = 100,00% = </t>
    </r>
    <r>
      <rPr>
        <rFont val="Calibri"/>
        <b/>
        <color theme="1"/>
      </rPr>
      <t>4,9 ha – R$ 22.000,00  = R$ 107.800,00</t>
    </r>
    <r>
      <rPr>
        <rFont val="Calibri"/>
        <color theme="1"/>
      </rPr>
      <t xml:space="preserve">
</t>
    </r>
    <r>
      <rPr>
        <rFont val="Calibri"/>
        <b/>
        <color theme="1"/>
      </rPr>
      <t>Vendido para Família Pelegrini</t>
    </r>
  </si>
  <si>
    <r>
      <rPr>
        <rFont val="Calibri"/>
        <b/>
        <color theme="1"/>
      </rPr>
      <t>2018</t>
    </r>
    <r>
      <rPr>
        <rFont val="Calibri"/>
        <color theme="1"/>
      </rPr>
      <t xml:space="preserve">
Uma área de terras rurais, denominada de </t>
    </r>
    <r>
      <rPr>
        <rFont val="Calibri"/>
        <b/>
        <color theme="1"/>
      </rPr>
      <t>FRAÇÃO IDEAL</t>
    </r>
    <r>
      <rPr>
        <rFont val="Calibri"/>
        <color theme="1"/>
      </rPr>
      <t xml:space="preserve">, com área total de 10,0 hectares, DENTRO DE UM TODO MAIOR, localizada na Capela de São Sebastião, no Distrito do Chimarrão, no Município de André da Rocha – RS, adquirida do Senhor AITO ANTÔNIO DA SILVERIRA VIEIRA, área esta registrada sob </t>
    </r>
    <r>
      <rPr>
        <rFont val="Calibri"/>
        <b/>
        <color theme="1"/>
      </rPr>
      <t>Matrícula nº 11.661 = 10,0 hectares</t>
    </r>
    <r>
      <rPr>
        <rFont val="Calibri"/>
        <color theme="1"/>
      </rPr>
      <t xml:space="preserve">.
Cadastrada no CCIR – Receita Federal sob nº...........
Adquirida por CONTRATO DE COMPRA E VENDA, datado de 26 de setembro de 2007.
Área Aito – parte não produtiva = 100,00% = </t>
    </r>
    <r>
      <rPr>
        <rFont val="Calibri"/>
        <b/>
        <color theme="1"/>
      </rPr>
      <t>10,0 ha  –  R$ 22.000,00  =        R$ 220.000,00</t>
    </r>
    <r>
      <rPr>
        <rFont val="Calibri"/>
        <color theme="1"/>
      </rPr>
      <t xml:space="preserve">
</t>
    </r>
    <r>
      <rPr>
        <rFont val="Calibri"/>
        <b/>
        <color theme="1"/>
      </rPr>
      <t>Vendido para Família Pelegrini</t>
    </r>
  </si>
  <si>
    <r>
      <rPr>
        <rFont val="Calibri"/>
        <b/>
        <color theme="1"/>
      </rPr>
      <t>2025</t>
    </r>
    <r>
      <rPr>
        <rFont val="Calibri"/>
        <color theme="1"/>
      </rPr>
      <t xml:space="preserve">
Vendido em 2018, uma área de terras de </t>
    </r>
    <r>
      <rPr>
        <rFont val="Calibri"/>
        <b/>
        <color theme="1"/>
      </rPr>
      <t>85,32 hectares</t>
    </r>
    <r>
      <rPr>
        <rFont val="Calibri"/>
        <color theme="1"/>
      </rPr>
      <t xml:space="preserve"> para a </t>
    </r>
    <r>
      <rPr>
        <rFont val="Calibri"/>
        <b/>
        <color theme="1"/>
      </rPr>
      <t>FAMILIA PELLEGRINI</t>
    </r>
    <r>
      <rPr>
        <rFont val="Calibri"/>
        <color theme="1"/>
      </rPr>
      <t xml:space="preserve">, ao valor de </t>
    </r>
    <r>
      <rPr>
        <rFont val="Calibri"/>
        <b/>
        <color theme="1"/>
      </rPr>
      <t>R$ 2.100.000,00</t>
    </r>
    <r>
      <rPr>
        <rFont val="Calibri"/>
        <color theme="1"/>
      </rPr>
      <t xml:space="preserve"> (Dois milhões e cem mil reais), de forma parcelada e mais a quantidade de 41 (Quarenta e uma) cabeças de gado.
</t>
    </r>
    <r>
      <rPr>
        <rFont val="Calibri"/>
        <b/>
        <color theme="1"/>
      </rPr>
      <t>R$ 100.000,00 – 41 cabeças de gado.</t>
    </r>
    <r>
      <rPr>
        <rFont val="Calibri"/>
        <color theme="1"/>
      </rPr>
      <t xml:space="preserve">
</t>
    </r>
    <r>
      <rPr>
        <rFont val="Calibri"/>
        <b/>
        <color theme="1"/>
      </rPr>
      <t>R$ 2.000.000,00 – 85,32 ha</t>
    </r>
    <r>
      <rPr>
        <rFont val="Calibri"/>
        <color theme="1"/>
      </rPr>
      <t xml:space="preserve">, sendo valor de </t>
    </r>
    <r>
      <rPr>
        <rFont val="Calibri"/>
        <b/>
        <color theme="1"/>
      </rPr>
      <t>R$ 23.441,16, ao hectare</t>
    </r>
    <r>
      <rPr>
        <rFont val="Calibri"/>
        <color theme="1"/>
      </rPr>
      <t xml:space="preserve">.  
</t>
    </r>
    <r>
      <rPr>
        <rFont val="Calibri"/>
        <b/>
        <color theme="1"/>
      </rPr>
      <t>R$ 1.100.000,00</t>
    </r>
    <r>
      <rPr>
        <rFont val="Calibri"/>
        <color theme="1"/>
      </rPr>
      <t xml:space="preserve"> – À VISTA.
</t>
    </r>
    <r>
      <rPr>
        <rFont val="Calibri"/>
        <b/>
        <color theme="1"/>
      </rPr>
      <t>R$ 1.000.000,00</t>
    </r>
    <r>
      <rPr>
        <rFont val="Calibri"/>
        <color theme="1"/>
      </rPr>
      <t xml:space="preserve"> – JUNHO/2019.</t>
    </r>
  </si>
  <si>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4,9 hectares, localizada na Capela de São Sebastião, no Distrito do Chimarrão, no Município de André da Rocha – RS, adquirida do Senhor JOÃO ANASTÁCIO ANTÔNIO RODRIGUES, área esta registrada sob </t>
    </r>
    <r>
      <rPr>
        <rFont val="Calibri"/>
        <b/>
        <color theme="1"/>
      </rPr>
      <t>Matrícula nº.: 982.</t>
    </r>
    <r>
      <rPr>
        <rFont val="Calibri"/>
        <color theme="1"/>
      </rPr>
      <t xml:space="preserve">
Matrícula nº 982 = </t>
    </r>
    <r>
      <rPr>
        <rFont val="Calibri"/>
        <b/>
        <color theme="1"/>
      </rPr>
      <t>4,9 hectares.</t>
    </r>
    <r>
      <rPr>
        <rFont val="Calibri"/>
        <color theme="1"/>
      </rPr>
      <t xml:space="preserve">
Cadastrada no CCIR – Receita Federal sob nº 6.213.278-4
Área Anastácio – parte não produtiva = 100,00% = </t>
    </r>
    <r>
      <rPr>
        <rFont val="Calibri"/>
        <b/>
        <color theme="1"/>
      </rPr>
      <t>4,9 ha – R$ 22.000,00  = R$ 107.800,00</t>
    </r>
    <r>
      <rPr>
        <rFont val="Calibri"/>
        <color theme="1"/>
      </rPr>
      <t xml:space="preserve">
</t>
    </r>
    <r>
      <rPr>
        <rFont val="Calibri"/>
        <b/>
        <color theme="1"/>
      </rPr>
      <t>Vendido para Família Pelegrini</t>
    </r>
  </si>
  <si>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26,16 hectares, localizada na Capela de São Sebastião, no Distrito do Chimarrão, no Município de André da Rocha – RS, adquirida do Senhor ADEMAR RIBEIRO, área esta registrada sob Matrícula nº.: ...............
Matrícula nº ................ = 26,16 hectares.
Cadastrada no CCIR – Receita Federal sob nº ..........................
Área Ademar–parte não produtiva = 100,00% = </t>
    </r>
    <r>
      <rPr>
        <rFont val="Calibri"/>
        <b/>
        <color theme="1"/>
      </rPr>
      <t>26,16 ha – R$ 22.000,00  =  R$ 575.520,00</t>
    </r>
    <r>
      <rPr>
        <rFont val="Calibri"/>
        <color theme="1"/>
      </rPr>
      <t xml:space="preserve">
</t>
    </r>
    <r>
      <rPr>
        <rFont val="Calibri"/>
        <b/>
        <color theme="1"/>
      </rPr>
      <t>Vendido para Família Pelegrini</t>
    </r>
  </si>
  <si>
    <r>
      <rPr>
        <rFont val="Calibri"/>
        <b/>
        <color theme="1"/>
      </rPr>
      <t>2018</t>
    </r>
    <r>
      <rPr>
        <rFont val="Calibri"/>
        <color theme="1"/>
      </rPr>
      <t xml:space="preserve">
Uma área de terras rurais, denominada de </t>
    </r>
    <r>
      <rPr>
        <rFont val="Calibri"/>
        <b/>
        <color theme="1"/>
      </rPr>
      <t>FRAÇÃO IDEAL</t>
    </r>
    <r>
      <rPr>
        <rFont val="Calibri"/>
        <color theme="1"/>
      </rPr>
      <t xml:space="preserve">, com área total de 10,0 hectares, DENTRO DE UM TODO MAIOR, localizada na Capela de São Sebastião, no Distrito do Chimarrão, no Município de André da Rocha – RS, adquirida do Senhor AITO ANTÔNIO DA SILVERIRA VIEIRA, área esta registrada sob </t>
    </r>
    <r>
      <rPr>
        <rFont val="Calibri"/>
        <b/>
        <color theme="1"/>
      </rPr>
      <t>Matrícula nº 11.661 = 10,0 hectares</t>
    </r>
    <r>
      <rPr>
        <rFont val="Calibri"/>
        <color theme="1"/>
      </rPr>
      <t xml:space="preserve">.
Cadastrada no CCIR – Receita Federal sob nº...........
Adquirida por CONTRATO DE COMPRA E VENDA, datado de 26 de setembro de 2007.
Área Aito – parte não produtiva = 100,00% = </t>
    </r>
    <r>
      <rPr>
        <rFont val="Calibri"/>
        <b/>
        <color theme="1"/>
      </rPr>
      <t>10,0 ha  –  R$ 22.000,00  =        R$ 220.000,00</t>
    </r>
    <r>
      <rPr>
        <rFont val="Calibri"/>
        <color theme="1"/>
      </rPr>
      <t xml:space="preserve">
</t>
    </r>
    <r>
      <rPr>
        <rFont val="Calibri"/>
        <b/>
        <color theme="1"/>
      </rPr>
      <t>Vendido para Família Pelegrini</t>
    </r>
  </si>
  <si>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26,16 hectares, localizada na Capela de São Sebastião, no Distrito do Chimarrão, no Município de André da Rocha – RS, adquirida do Senhor ADEMAR RIBEIRO, área esta registrada sob Matrícula nº.: ...............
Matrícula nº ................ = 26,16 hectares.
Cadastrada no CCIR – Receita Federal sob nº ..........................
Área Ademar–parte não produtiva = 100,00% = </t>
    </r>
    <r>
      <rPr>
        <rFont val="Calibri"/>
        <b/>
        <color theme="1"/>
      </rPr>
      <t>26,16 ha – R$ 22.000,00  =  R$ 575.520,00</t>
    </r>
    <r>
      <rPr>
        <rFont val="Calibri"/>
        <color theme="1"/>
      </rPr>
      <t xml:space="preserve">
</t>
    </r>
    <r>
      <rPr>
        <rFont val="Calibri"/>
        <b/>
        <color theme="1"/>
      </rPr>
      <t>Vendido para Família Pelegrini</t>
    </r>
  </si>
  <si>
    <r>
      <rPr>
        <rFont val="Calibri"/>
        <b/>
        <color theme="1"/>
      </rPr>
      <t>2018</t>
    </r>
    <r>
      <rPr>
        <rFont val="Calibri"/>
        <color theme="1"/>
      </rPr>
      <t xml:space="preserve">
Uma área de terras rurais, denominada de </t>
    </r>
    <r>
      <rPr>
        <rFont val="Calibri"/>
        <b/>
        <color theme="1"/>
      </rPr>
      <t>FAZENDA TRÊS PORTEIRAS</t>
    </r>
    <r>
      <rPr>
        <rFont val="Calibri"/>
        <color theme="1"/>
      </rPr>
      <t xml:space="preserve">, com área total de 44,16 hectares, localizada na Capela de São Sebastião, no Distrito do Chimarrão, no Município de André da Rocha – RS, área esta registrada sob Matrícula nº.:
Matrícula nº ......... = 44,1 hectares.
Cadastrada no CCIR – Receita Federal sob nº 2.566.238-4
Área Garbin – parte não produtiva = 100,00% = </t>
    </r>
    <r>
      <rPr>
        <rFont val="Calibri"/>
        <b/>
        <color theme="1"/>
      </rPr>
      <t>44,16 ha – R$ 22.000,00  =   R$ 971.520,00</t>
    </r>
    <r>
      <rPr>
        <rFont val="Calibri"/>
        <color theme="1"/>
      </rPr>
      <t xml:space="preserve">
</t>
    </r>
    <r>
      <rPr>
        <rFont val="Calibri"/>
        <b/>
        <color theme="1"/>
      </rPr>
      <t>Vendido para Família Pelegrini</t>
    </r>
  </si>
  <si>
    <r>
      <rPr>
        <rFont val="Calibri"/>
        <b/>
        <color theme="1"/>
      </rPr>
      <t>2018</t>
    </r>
    <r>
      <rPr>
        <rFont val="Calibri"/>
        <color theme="1"/>
      </rPr>
      <t xml:space="preserve">
Uma área de terras rurais, denominada de </t>
    </r>
    <r>
      <rPr>
        <rFont val="Calibri"/>
        <b/>
        <color theme="1"/>
      </rPr>
      <t>FAZENDA TRÊS PORTEIRAS</t>
    </r>
    <r>
      <rPr>
        <rFont val="Calibri"/>
        <color theme="1"/>
      </rPr>
      <t xml:space="preserve">, com área total de 44,16 hectares, localizada na Capela de São Sebastião, no Distrito do Chimarrão, no Município de André da Rocha – RS, área esta registrada sob Matrícula nº.:
Matrícula nº ......... = 44,1 hectares.
Cadastrada no CCIR – Receita Federal sob nº 2.566.238-4
Área Garbin – parte não produtiva = 100,00% = </t>
    </r>
    <r>
      <rPr>
        <rFont val="Calibri"/>
        <b/>
        <color theme="1"/>
      </rPr>
      <t>44,16 ha – R$ 22.000,00  =   R$ 971.520,00</t>
    </r>
    <r>
      <rPr>
        <rFont val="Calibri"/>
        <color theme="1"/>
      </rPr>
      <t xml:space="preserve">
</t>
    </r>
    <r>
      <rPr>
        <rFont val="Calibri"/>
        <b/>
        <color theme="1"/>
      </rPr>
      <t>Vendido para Família Pelegrini</t>
    </r>
  </si>
  <si>
    <t>ÁREAS DE TERRAS CONTRATADAS PELA EMPRESA SIVIERO, PARA URBANIZAÇÃO, SEM OBRAS E AINDA EM ESTUDO DE VIABILIDADES AMBIENTAIS PARA A IMPLANTAÇÃO DE LOTEAMENTO e/ou COM OBRAS EM EXECUÇÃO COM SALDO ZERO E COM POSSÍVEIS PREJUÍZOS A APURAR NA CONCLUSÃO DO EMPREENDIMENTO.</t>
  </si>
  <si>
    <t>Condomínio Morada dos Ipês II.</t>
  </si>
  <si>
    <r>
      <rPr>
        <rFont val="Calibri"/>
        <color rgb="FF000000"/>
        <sz val="10.0"/>
      </rPr>
      <t xml:space="preserve">Loteamento Caminhos do Sol – Família Boff, localizado na cidade de Caxias do Sul – RS.
Área Vendável do Loteamento em lotes: 231.218,09m².
ESTIMATIVA DE 612 LOTES.
CUSTO TOTAL DA OBRA: R$ 21.163.000,00
BURITI HOLDING SUL PARTICIPAÇÕES LTDA. = 50,00%
SIVIERO EMPREENDIMENTOS IMOBILIÁRIOS LTDA. = 10,00% = 61
PROPRIETÁRIOS DA ÁREA DE TERRAS DO LOTEAMENTO = 40,00%
</t>
    </r>
    <r>
      <rPr>
        <rFont val="Calibri"/>
        <color rgb="FFCC4125"/>
        <sz val="10.0"/>
      </rPr>
      <t>Conforme contrato firmado com a empresa BURITI, este Loteamento está em fase de execução inicial, como compromisso assumido para implantar na sua totalidade o empreendimento, que caso os custos excederem ao contratado, a empresa Siviero Empreendimentos Imobiliários Ltda. deverá arcar com os mesmos.</t>
    </r>
  </si>
  <si>
    <r>
      <rPr>
        <rFont val="Calibri"/>
        <color rgb="FF000000"/>
        <sz val="10.0"/>
      </rPr>
      <t xml:space="preserve">Loteamento Vale das Colinas – Famílias Piccoli + Gasparin + Zanrosso, localizado na cidade de Caxias do Sul – RS.
Área Vendável do Loteamento em lotes: 159.307,14m².
ESTIMATIVA DE 356 LOTES
CUSTO TOTAL DA OBRA: R$ 17.800.000,00
MULTA ESTIMADA EM 20,00% DO CUSTO DO LOTEAMENTO
VALOR VENAL DOS IMÓVEIS: R$ 39.743.378,00
BURITI HOLDING SUL PARTICIPAÇÕES LTDA. = 50,00%
SIVIERO EMPREENDIMENTOS IMOBILIÁRIOS LTDA. = 10,00% = 35
PROPRIETÁRIOS DA ÁREA DE TERRAS DO LOTEAMENTO = 40,00%
</t>
    </r>
    <r>
      <rPr>
        <rFont val="Calibri"/>
        <color rgb="FFCC4125"/>
        <sz val="10.0"/>
      </rPr>
      <t>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Caso o LOTEAMENTO não for executado, a empresa SIVIERO terá o ônus da MULTA contratual e DESPESAS de desfazimento das Escrituras Públicas e Registros Imobiliários (impostos e taxas).</t>
    </r>
  </si>
  <si>
    <r>
      <rPr>
        <rFont val="Calibri"/>
        <color rgb="FF000000"/>
        <sz val="10.0"/>
      </rPr>
      <t xml:space="preserve">Loteamento Vista da Colina – Famílias Zanandréa + Fioreze, localizado na cidade de Caxias do Sul.
Área Vendável do Loteamento em lotes: 159.307,14m².
ESTIMATIVA DE 242 LOTES.
CUSTO TOTAL DA OBRA: R$ 12.100.000,00
MULTA ESTIMADA EM 20,00% DO CUSTO DO LOTEAMENTO
VALOR VENAL DOS IMÓVEIS: R$ 20.960.000,00
BURITI HOLDING SUL PARTICIPAÇÕES LTDA. = 50,00%
SIVIERO EMPREENDIMENTOS IMOBILIÁRIOS LTDA. = 10,00% = 24
PROPRIETÁRIOS DA ÁREA DE TERRAS DO LOTEAMENTO = 40,00%
</t>
    </r>
    <r>
      <rPr>
        <rFont val="Calibri"/>
        <color rgb="FFCC4125"/>
        <sz val="10.0"/>
      </rPr>
      <t>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Caso o LOTEAMENTO não for executado, a empresa SIVIERO terá o ônus da MULTA contratual e DESPESAS de desfazimento das Escrituras Públicas e Registros Imobiliários (impostos e taxas).</t>
    </r>
  </si>
  <si>
    <r>
      <rPr>
        <rFont val="Calibri"/>
        <color rgb="FF000000"/>
        <sz val="10.0"/>
      </rPr>
      <t xml:space="preserve">Loteamento das Famílias – Pedrotti + Andreis + Lorandi, localizado na cidade de Caxias do Sul – RS.
Área Vendável do Loteamento em lotes: 135.105,50m².
ESTIMATIVA DE 242 LOTES.
CUSTO TOTAL DA OBRA: R$ 12.100.000,00
MULTA ESTIMADA EM 20,00% DO CUSTO DO LOTEAMENTO
VALOR VENAL DOS IMÓVEIS: R$ 11.403.230,00
BURITI HOLDING SUL PARTICIPAÇÕES LTDA. = 50,00%
SIVIERO EMPREENDIMENTOS IMOBILIÁRIOS LTDA. = 10,00% = 24
PROPRIETÁRIOS DA ÁREA DE TERRAS DO LOTEAMENTO = 40,00%
</t>
    </r>
    <r>
      <rPr>
        <rFont val="Calibri"/>
        <color rgb="FFCC4125"/>
        <sz val="10.0"/>
      </rPr>
      <t>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Caso o LOTEAMENTO não for executado, a empresa SIVIERO terá o ônus da MULTA contratual e DESPESAS de desfazimento das Escrituras Públicas e Registros Imobiliários (impostos e taxas).</t>
    </r>
  </si>
  <si>
    <r>
      <rPr>
        <rFont val="Calibri"/>
        <color rgb="FF000000"/>
        <sz val="10.0"/>
      </rPr>
      <t xml:space="preserve">Loteamento da Família Cecconello, localizado na cidade de Caxias do Sul – RS.
Área total de 130.446,00m².
ESTIMATIVA DE 130 LOTES.
CUSTO TOTAL DA OBRA: R$ 6.500.000,00
MULTA ESTIMADA EM 20,00% DO CUSTO DO LOTEAMENTO
HECTA EMPREENDIMENTOS IMOBILIÁRIOS LTDA. = 50,00% = 65
PROPRIETÁRIOS ÁREA TERRAS DO LOTEAMENTO = 50,00% = 65
Neste Loteamento, a empresa Siviero Empreendimentos Imobiliários Ltda.  tem adquirido 2,0 hectares de terras, pelo valor de R$ 600.000,00, em 06 de fevereiro de 2014.
</t>
    </r>
    <r>
      <rPr>
        <rFont val="Calibri"/>
        <color rgb="FFCC4125"/>
        <sz val="10.0"/>
      </rPr>
      <t>Não tem ainda nenhuma definição quanto a execução do Loteamento e sequer projeto que possa nortear um quantitativo de lotes.</t>
    </r>
    <r>
      <rPr>
        <rFont val="Calibri"/>
        <color rgb="FF000000"/>
        <sz val="10.0"/>
      </rPr>
      <t xml:space="preserve">
</t>
    </r>
  </si>
  <si>
    <r>
      <rPr>
        <rFont val="Calibri"/>
        <color rgb="FF000000"/>
        <sz val="10.0"/>
      </rPr>
      <t xml:space="preserve">Loteamento Bonetto, localizado na cidade de Farroupilha – RS.
Área total de 48.400,00m².
ESTIMATIVA DE 61 LOTES.
SIVIERO EMPREENDIMENTOS IMOBILIÁRIOS LTDA. =50,00% =30,5
PROPRIETÁRIOS ÁREA TERRAS DO LOTEAMENTO = 50,00% = 30,5
CUSTO TOTAL DA OBRA: R$ 3.660.000,00
MULTA ESTIMADA EM 20,00% DO CUSTO DO LOTEAMENTO + DANO MORAL DE R$ 50.000,00 (EXPECTATIVA FRUSTRADA)
</t>
    </r>
    <r>
      <rPr>
        <rFont val="Calibri"/>
        <color rgb="FFCC4125"/>
        <sz val="10.0"/>
      </rPr>
      <t>Área de terras passível de caracterização de APP – Área de Preservação Permanente, em parte da mesma, conforme norma ambiental na cidade de Farroupilha, podendo inviabilizar a implantação do Loteamento.</t>
    </r>
  </si>
  <si>
    <r>
      <rPr>
        <rFont val="Calibri"/>
        <color rgb="FF000000"/>
        <sz val="10.0"/>
      </rPr>
      <t xml:space="preserve">Loteamento Pasqual, localizado na cidade de Farroupilha – RS.
Área total de 85.005,88m² = ESTIMATIVA DE 29 LOTES.
SIVIERO EMPREENDIMENTOS IMOBILIÁRIOS LTDA. =50,00%=14,5
PROPRIETÁRIOS ÁREA TERRAS DO LOTEAMENTO = 50,00% = 14,5
CUSTO TOTAL DA OBRA: R$ 7.250.000,00
MULTA ESTIMADA EM 20,00% DO CUSTO DO LOTEAMENTO + DANO MORAL DE R$ 50.000,00 (EXPECTATIVA FRUSTRADA)
</t>
    </r>
    <r>
      <rPr>
        <rFont val="Calibri"/>
        <color rgb="FFCC4125"/>
        <sz val="10.0"/>
      </rPr>
      <t>Área de terras passível de caracterização de APP – Área de Preservação Permanente, em parte da mesma, conforme norma ambiental na cidade de Farroupilha, podendo inviabilizar a implantação do Loteamento</t>
    </r>
    <r>
      <rPr>
        <rFont val="Calibri"/>
        <color rgb="FF000000"/>
        <sz val="10.0"/>
      </rPr>
      <t>.</t>
    </r>
  </si>
  <si>
    <r>
      <rPr>
        <rFont val="Calibri"/>
        <color rgb="FF000000"/>
        <sz val="10.0"/>
      </rPr>
      <t xml:space="preserve">Loteamento Industrial Dr. Letti, localizado na cidade de Farroupilha – RS.
Área total de 64.475,25m² = ESTIMATIVA DE ??? LOTES.
SIVIERO EMPREENDIMENTOS IMOBILIÁRIOS LTDA. = 50,00% = ???
PROPRIETÁRIOS ÁREA TERRAS DO LOTEAMENTO = 50,00% = ???
CUSTO TOTAL DA OBRA: R$ 8.000.000,00
MULTA ESTIMADA EM 20,00% DO CUSTO DO LOTEAMENTO + DANO MORAL DE R$ 50.000,00 (EXPECTATIVA FRUSTRADA)
Não tem ainda nenhuma definição quanto a execução do Loteamento e sequer projeto que possa nortear um quantitativo de lotes.
</t>
    </r>
    <r>
      <rPr>
        <rFont val="Calibri"/>
        <color rgb="FFCC4125"/>
        <sz val="10.0"/>
      </rPr>
      <t>Área de terras passível de caracterização de APP – Área de Preservação Permanente, em parte da mesma, conforme norma ambiental na cidade de Farroupilha, podendo inviabilizar a implantação do Loteamento.</t>
    </r>
  </si>
  <si>
    <r>
      <rPr>
        <rFont val="Calibri"/>
        <b/>
        <color rgb="FF000000"/>
        <sz val="10.0"/>
      </rPr>
      <t>Loteamento Colina do Retiro II, localizado na cidade de Veranópolis – RS.</t>
    </r>
    <r>
      <rPr>
        <rFont val="Calibri"/>
        <color rgb="FF000000"/>
        <sz val="10.0"/>
      </rPr>
      <t xml:space="preserve">
Conclusão da pavimentação das ruas do Sistema Viário + conclusão e instalação da elevatória para abastecimento de água, conforme as normas da CORSAN e projeto aprovado pela concessionária + limpeza de toda a área do Loteamento para entrega definitiva junto ao Município de Veranópolis + implantação do projeto de arborização + instalação da rede de iluminação pública, o que importam num custo estimado destes serviços em aproximadamente R$ 3.800.000,00 (Três milhões e oitocentos mil reais) – Para conclusão destes serviços estão em garantia hipotecária junto ao Município de Veranópolis, LOTES do próprio Loteamento, de propriedade da empresa e da Família Frainer.
</t>
    </r>
  </si>
  <si>
    <r>
      <rPr>
        <rFont val="Calibri"/>
        <color rgb="FF000000"/>
        <sz val="10.0"/>
      </rPr>
      <t xml:space="preserve">Conforme </t>
    </r>
    <r>
      <rPr>
        <rFont val="Calibri"/>
        <b/>
        <color rgb="FF000000"/>
        <sz val="10.0"/>
      </rPr>
      <t>INSTRUMENTO PARTICULAR DE COMPRA E VENDA DE QUOTAS DE CAPITAL, NA SOCIEDADE DE EMPRESAS DE RESPONSABILIDADE LIMITADA</t>
    </r>
    <r>
      <rPr>
        <rFont val="Calibri"/>
        <color rgb="FF000000"/>
        <sz val="10.0"/>
      </rPr>
      <t xml:space="preserve">, datado de 28 de agosto de 2025, o Sócio </t>
    </r>
    <r>
      <rPr>
        <rFont val="Calibri"/>
        <b/>
        <color rgb="FF000000"/>
        <sz val="10.0"/>
      </rPr>
      <t>ROVÍLIO SIVIERO</t>
    </r>
    <r>
      <rPr>
        <rFont val="Calibri"/>
        <color rgb="FF000000"/>
        <sz val="10.0"/>
      </rPr>
      <t xml:space="preserve">,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t>
    </r>
    <r>
      <rPr>
        <rFont val="Calibri"/>
        <b/>
        <color rgb="FF000000"/>
        <sz val="10.0"/>
      </rPr>
      <t>Maristela Pretto Siviero</t>
    </r>
    <r>
      <rPr>
        <rFont val="Calibri"/>
        <color rgb="FF000000"/>
        <sz val="10.0"/>
      </rPr>
      <t xml:space="preserve">, brasileira, professora, filha de Alberto José Pretto e de Iracema Antônia Pretto, inscrita no CPF/MF sob nº 260.949.670/20 e portadora da Carteira de Identidade nº 22.827.317-1, emitida pela SSP – SC, </t>
    </r>
    <r>
      <rPr>
        <rFont val="Calibri"/>
        <b/>
        <color rgb="FF000000"/>
        <sz val="10.0"/>
      </rPr>
      <t>efetuaram a VENDA</t>
    </r>
    <r>
      <rPr>
        <rFont val="Calibri"/>
        <color rgb="FF000000"/>
        <sz val="10.0"/>
      </rPr>
      <t xml:space="preserve"> das quotas que lhes pertenciam à empresa, diluídas em partes iguais aos demais sócios remanescentes.
As cotas de capital do sócio Rovílio Siviero, que correspondem ao percentual de </t>
    </r>
    <r>
      <rPr>
        <rFont val="Calibri"/>
        <b/>
        <color rgb="FF000000"/>
        <sz val="10.0"/>
      </rPr>
      <t>2,00% (Dois por cento)</t>
    </r>
    <r>
      <rPr>
        <rFont val="Calibri"/>
        <color rgb="FF000000"/>
        <sz val="10.0"/>
      </rPr>
      <t xml:space="preserve"> nas empresas – </t>
    </r>
    <r>
      <rPr>
        <rFont val="Calibri"/>
        <b/>
        <color rgb="FF000000"/>
        <sz val="10.0"/>
      </rPr>
      <t>Siviero Empreendimentos Imobiliários Ltda., Abastecedora de Combustíveis Siviero Ltda., Transportadora Irmãos Siviero Ltda.</t>
    </r>
    <r>
      <rPr>
        <rFont val="Calibri"/>
        <color rgb="FF000000"/>
        <sz val="10.0"/>
      </rPr>
      <t xml:space="preserve"> e de </t>
    </r>
    <r>
      <rPr>
        <rFont val="Calibri"/>
        <b/>
        <color rgb="FF000000"/>
        <sz val="10.0"/>
      </rPr>
      <t>1,00% (Um por cento)</t>
    </r>
    <r>
      <rPr>
        <rFont val="Calibri"/>
        <color rgb="FF000000"/>
        <sz val="10.0"/>
      </rPr>
      <t xml:space="preserve"> nas empresas – </t>
    </r>
    <r>
      <rPr>
        <rFont val="Calibri"/>
        <b/>
        <color rgb="FF000000"/>
        <sz val="10.0"/>
      </rPr>
      <t>Turismo Siviero Ltda.</t>
    </r>
    <r>
      <rPr>
        <rFont val="Calibri"/>
        <color rgb="FF000000"/>
        <sz val="10.0"/>
      </rPr>
      <t xml:space="preserve"> e Siviero Transportes Ltda., sobre o valor total do patrimônio da empresas, foram devidamente acertadas, anteriormente ao presente ato, sendo acertadas através do pagamento através de imóveis – lotes – e parte em dinheiro, no total de R$ 3.440.082,00 (Três milhões, quatrocentos e quarenta mil e oitenta e dois reais), da seguinte forma:
03 (Três) lotes localizados no Condomínio Morada dos Ipês I, no Município de Passo Fundo:
Lote nº 13         –         Quadra nº 02         –         R$ 500.000,00.                        PAGO
Lote nº 10         –         Quadra nº 02         –         R$ 587.510,00.                        PAGO
Lote nº 07         –         Quadra nº 04         –         R$ 432.072,00.                        PAGO
02 (Dois lotes localizados no Loteamento Nossa Senhora da Saúde, no Município de Guaporé:
Lote nº 12         –         Quadra nº 237         –         R$ 75.000,00.                        PAGO
Lote nº 15         –         Quadra nº 252         –         R$ 60.000,00.                        PAGO
R$ 110.000,00 (Cento e dez mil reais), pagos em espécie.
R$ 25.500,00 (Vinte e cinco mil reais), pagos em espécie.
03 (Três) lotes localizados no Condomínio Morada dos Ipês II, no Município de Passo Fundo:
</t>
    </r>
    <r>
      <rPr>
        <rFont val="Calibri"/>
        <b/>
        <color rgb="FF980000"/>
        <sz val="10.0"/>
      </rPr>
      <t>Lote nº ....         –         Quadra nº ....         –         R$ 550.000,00.                        À PAGAR
Lote nº ....         –         Quadra nº ....         –         R$ 550.000,00.                        À PAGAR
Lote nº ....         –         Quadra nº ....         –         R$ 550.000,00.                        À PAGAR</t>
    </r>
    <r>
      <rPr>
        <rFont val="Calibri"/>
        <b/>
        <color rgb="FF000000"/>
        <sz val="10.0"/>
      </rPr>
      <t xml:space="preserve">
</t>
    </r>
    <r>
      <rPr>
        <rFont val="Calibri"/>
        <b/>
        <color rgb="FF980000"/>
        <sz val="10.0"/>
      </rPr>
      <t>R$ 1.650.000,00</t>
    </r>
    <r>
      <rPr>
        <rFont val="Calibri"/>
        <color rgb="FF000000"/>
        <sz val="10.0"/>
      </rPr>
      <t xml:space="preserve">
</t>
    </r>
  </si>
  <si>
    <r>
      <rPr>
        <rFont val="Calibri"/>
        <color theme="1"/>
        <sz val="10.0"/>
      </rPr>
      <t xml:space="preserve">Rovílio tinha direito à 2% das empresas Empreendimentos, Abastecedora e Transportadora. Ele recebeu </t>
    </r>
    <r>
      <rPr>
        <rFont val="Calibri"/>
        <b/>
        <color theme="1"/>
        <sz val="10.0"/>
      </rPr>
      <t>R$ 3,440,082.00</t>
    </r>
    <r>
      <rPr>
        <rFont val="Calibri"/>
        <color theme="1"/>
        <sz val="10.0"/>
      </rPr>
      <t xml:space="preserve"> 
A mesma avaliação feita pelo levantamento deles totaliza o valor abaixo:
                   Siviero Emp. Imob. Ltda.:            R$ 2,017,480.55 
        Abastecedora de Combustíveis:            R$    193,228.28 
         Transportadora Irmãos Siviero:    </t>
    </r>
    <r>
      <rPr>
        <rFont val="Calibri"/>
        <color theme="1"/>
        <sz val="10.0"/>
        <u/>
      </rPr>
      <t xml:space="preserve">        R$     327,499.72 
</t>
    </r>
    <r>
      <rPr>
        <rFont val="Calibri"/>
        <color theme="1"/>
        <sz val="10.0"/>
      </rPr>
      <t xml:space="preserve">                                                     </t>
    </r>
    <r>
      <rPr>
        <rFont val="Calibri"/>
        <b/>
        <color theme="1"/>
        <sz val="10.0"/>
      </rPr>
      <t>TOTAL            R$ 2,538,208.55</t>
    </r>
    <r>
      <rPr>
        <rFont val="Calibri"/>
        <color theme="1"/>
        <sz val="10.0"/>
      </rPr>
      <t xml:space="preserve"> 
A avaliação que eles fizeram está </t>
    </r>
    <r>
      <rPr>
        <rFont val="Calibri"/>
        <b/>
        <color theme="1"/>
        <sz val="10.0"/>
      </rPr>
      <t>36.53% abaixo</t>
    </r>
    <r>
      <rPr>
        <rFont val="Calibri"/>
        <color theme="1"/>
        <sz val="10.0"/>
      </rPr>
      <t xml:space="preserve"> do acerto com Rovílio</t>
    </r>
  </si>
  <si>
    <r>
      <rPr>
        <rFont val="Calibri"/>
        <color theme="1"/>
        <sz val="10.0"/>
      </rPr>
      <t xml:space="preserve">Existe em tramitação uma infração ambiental aplicada sobre a área de terras do </t>
    </r>
    <r>
      <rPr>
        <rFont val="Calibri"/>
        <b/>
        <color theme="1"/>
        <sz val="10.0"/>
      </rPr>
      <t>LOTEAMENTO PERINI</t>
    </r>
    <r>
      <rPr>
        <rFont val="Calibri"/>
        <color theme="1"/>
        <sz val="10.0"/>
      </rPr>
      <t xml:space="preserve">, de </t>
    </r>
    <r>
      <rPr>
        <rFont val="Calibri"/>
        <b/>
        <color theme="1"/>
        <sz val="10.0"/>
      </rPr>
      <t>Farroupilha</t>
    </r>
    <r>
      <rPr>
        <rFont val="Calibri"/>
        <color theme="1"/>
        <sz val="10.0"/>
      </rPr>
      <t xml:space="preserve">, em discussão de forma judicial, no valor aproximado de R$ 5.000.000,00 (Cinco milhões de reais).
</t>
    </r>
    <r>
      <rPr>
        <rFont val="Calibri"/>
        <b/>
        <color rgb="FF980000"/>
        <sz val="10.0"/>
      </rPr>
      <t>R$ 5.000.000,00</t>
    </r>
  </si>
  <si>
    <r>
      <rPr>
        <rFont val="Calibri"/>
        <color theme="1"/>
        <sz val="10.0"/>
      </rPr>
      <t xml:space="preserve">Em trâmite, o Processo Judicial do Ministério Público de Farroupilha, que questionas uma </t>
    </r>
    <r>
      <rPr>
        <rFont val="Calibri"/>
        <b/>
        <color theme="1"/>
        <sz val="10.0"/>
      </rPr>
      <t>FONTE DE ÁGUA</t>
    </r>
    <r>
      <rPr>
        <rFont val="Calibri"/>
        <color theme="1"/>
        <sz val="10.0"/>
      </rPr>
      <t xml:space="preserve"> na área de terras do </t>
    </r>
    <r>
      <rPr>
        <rFont val="Calibri"/>
        <b/>
        <color theme="1"/>
        <sz val="10.0"/>
      </rPr>
      <t>LOTEAMENTO DALZÓCHIO</t>
    </r>
    <r>
      <rPr>
        <rFont val="Calibri"/>
        <color theme="1"/>
        <sz val="10.0"/>
      </rPr>
      <t xml:space="preserve">, em discussão de forma judicial desde meados dos anos 2006, ainda sem acordo dentre MINISTÉRIO PÚBLICO x MUNICÍPIO DE FARROUPILHA x SIVIERO x FAMÍLIA DALZÓCHIO, no valor aproximado de R$ 2.200.000,00 (Dois milhões e duzentos mil reais).
</t>
    </r>
    <r>
      <rPr>
        <rFont val="Calibri"/>
        <b/>
        <color rgb="FF980000"/>
        <sz val="10.0"/>
      </rPr>
      <t>R$ 2.200.000,00</t>
    </r>
  </si>
  <si>
    <r>
      <rPr>
        <rFont val="Calibri"/>
        <color theme="1"/>
        <sz val="10.0"/>
      </rPr>
      <t xml:space="preserve">No </t>
    </r>
    <r>
      <rPr>
        <rFont val="Calibri"/>
        <b/>
        <color theme="1"/>
        <sz val="10.0"/>
      </rPr>
      <t>Loteamento Jardim Itália</t>
    </r>
    <r>
      <rPr>
        <rFont val="Calibri"/>
        <color theme="1"/>
        <sz val="10.0"/>
      </rPr>
      <t xml:space="preserve">, de Farroupilha está em trâmite um </t>
    </r>
    <r>
      <rPr>
        <rFont val="Calibri"/>
        <b/>
        <color theme="1"/>
        <sz val="10.0"/>
      </rPr>
      <t>Processo Judicial</t>
    </r>
    <r>
      <rPr>
        <rFont val="Calibri"/>
        <color theme="1"/>
        <sz val="10.0"/>
      </rPr>
      <t xml:space="preserve"> impetrado pelo </t>
    </r>
    <r>
      <rPr>
        <rFont val="Calibri"/>
        <b/>
        <color theme="1"/>
        <sz val="10.0"/>
      </rPr>
      <t>Ministério Público</t>
    </r>
    <r>
      <rPr>
        <rFont val="Calibri"/>
        <color theme="1"/>
        <sz val="10.0"/>
      </rPr>
      <t xml:space="preserve"> referente ao trecho da canalização – </t>
    </r>
    <r>
      <rPr>
        <rFont val="Calibri"/>
        <b/>
        <color theme="1"/>
        <sz val="10.0"/>
      </rPr>
      <t>área de APP</t>
    </r>
    <r>
      <rPr>
        <rFont val="Calibri"/>
        <color theme="1"/>
        <sz val="10.0"/>
      </rPr>
      <t>.</t>
    </r>
  </si>
  <si>
    <r>
      <rPr>
        <rFont val="Calibri"/>
        <color theme="1"/>
        <sz val="10.0"/>
      </rPr>
      <t xml:space="preserve">No </t>
    </r>
    <r>
      <rPr>
        <rFont val="Calibri"/>
        <b/>
        <color theme="1"/>
        <sz val="10.0"/>
      </rPr>
      <t>Loteamento San Marino</t>
    </r>
    <r>
      <rPr>
        <rFont val="Calibri"/>
        <color theme="1"/>
        <sz val="10.0"/>
      </rPr>
      <t xml:space="preserve">, de Farroupilha, tem pendente a </t>
    </r>
    <r>
      <rPr>
        <rFont val="Calibri"/>
        <b/>
        <color theme="1"/>
        <sz val="10.0"/>
      </rPr>
      <t>construção da Estação de Tratamento de Esgoto – ETE</t>
    </r>
    <r>
      <rPr>
        <rFont val="Calibri"/>
        <color theme="1"/>
        <sz val="10.0"/>
      </rPr>
      <t xml:space="preserve">, para atendimento ao acordado como o Município de Farroupilha. A empresa tem vigente este compromisso, que até esta data ainda está passível da elaboração do projeto, aprovação pelos órgãos competentes, execução da obra, doação de um lote para a instalação da ETE, dentre outros custos, ainda não estimados, em virtude do tamanho que deverá ser necessária sua construção e, posterior aceite também pelos órgãos competentes responsáveis pelo seu uso, manutenção e conservação.
5.1)         Valor do terreno: </t>
    </r>
    <r>
      <rPr>
        <rFont val="Calibri"/>
        <b/>
        <color theme="1"/>
        <sz val="10.0"/>
      </rPr>
      <t>R$ 230.000,00</t>
    </r>
    <r>
      <rPr>
        <rFont val="Calibri"/>
        <color theme="1"/>
        <sz val="10.0"/>
      </rPr>
      <t xml:space="preserve">
5.2)         Valor do custo aproximado para a construção da ETE: </t>
    </r>
    <r>
      <rPr>
        <rFont val="Calibri"/>
        <b/>
        <color theme="1"/>
        <sz val="10.0"/>
      </rPr>
      <t>R$ 300.000,00</t>
    </r>
    <r>
      <rPr>
        <rFont val="Calibri"/>
        <color theme="1"/>
        <sz val="10.0"/>
      </rPr>
      <t xml:space="preserve">
</t>
    </r>
    <r>
      <rPr>
        <rFont val="Calibri"/>
        <b/>
        <color rgb="FF980000"/>
        <sz val="10.0"/>
      </rPr>
      <t xml:space="preserve">        TOTAL: R$ 530.000,00 (QUINHENTOS E TRINTA MIL REAIS).</t>
    </r>
  </si>
  <si>
    <r>
      <rPr>
        <rFont val="Calibri"/>
        <color theme="1"/>
        <sz val="10.0"/>
      </rPr>
      <t xml:space="preserve">Está em trâmite, basicamente com decisão já proferido pelo Ministério Público, com acato da Juíza da decisão, sobre uma área de </t>
    </r>
    <r>
      <rPr>
        <rFont val="Calibri"/>
        <b/>
        <color theme="1"/>
        <sz val="10.0"/>
      </rPr>
      <t>AAP em 07 (sete) lotes no Loteamento Lago Negro</t>
    </r>
    <r>
      <rPr>
        <rFont val="Calibri"/>
        <color theme="1"/>
        <sz val="10.0"/>
      </rPr>
      <t>. Com esta caracterização de APP, a empresa fez a</t>
    </r>
    <r>
      <rPr>
        <rFont val="Calibri"/>
        <b/>
        <color theme="1"/>
        <sz val="10.0"/>
      </rPr>
      <t xml:space="preserve"> indenização de 02 lotes para a Família Candiago e Terceiro, objeto de Dação em Pagamento</t>
    </r>
    <r>
      <rPr>
        <rFont val="Calibri"/>
        <color theme="1"/>
        <sz val="10.0"/>
      </rPr>
      <t xml:space="preserve">.
Carece o cumprimento do PRAD, sua execução e pagamento de todas as custas processuais e honorários, estimada a importância de aproximadamente </t>
    </r>
    <r>
      <rPr>
        <rFont val="Calibri"/>
        <b/>
        <color rgb="FF980000"/>
        <sz val="10.0"/>
      </rPr>
      <t>R$ 80.000,00 (Oitenta mil reais)</t>
    </r>
    <r>
      <rPr>
        <rFont val="Calibri"/>
        <color theme="1"/>
        <sz val="10.0"/>
      </rPr>
      <t>.</t>
    </r>
  </si>
  <si>
    <r>
      <rPr>
        <rFont val="Calibri"/>
        <color theme="1"/>
        <sz val="10.0"/>
      </rPr>
      <t xml:space="preserve">Em fase final de cálculos de atualização de valores, pelo Ministério Público de Farroupilha, na área de terras da </t>
    </r>
    <r>
      <rPr>
        <rFont val="Calibri"/>
        <b/>
        <color theme="1"/>
        <sz val="10.0"/>
      </rPr>
      <t>Família Acordi</t>
    </r>
    <r>
      <rPr>
        <rFont val="Calibri"/>
        <color theme="1"/>
        <sz val="10.0"/>
      </rPr>
      <t xml:space="preserve">, há uma pendência a ser paga pela empresa, conforme acordo </t>
    </r>
    <r>
      <rPr>
        <rFont val="Calibri"/>
        <b/>
        <color theme="1"/>
        <sz val="10.0"/>
      </rPr>
      <t>já firmado e já pago o valor principal da multa.</t>
    </r>
    <r>
      <rPr>
        <rFont val="Calibri"/>
        <color theme="1"/>
        <sz val="10.0"/>
      </rPr>
      <t xml:space="preserve">
Carece ainda para conclusão do Processo, o pagamento da </t>
    </r>
    <r>
      <rPr>
        <rFont val="Calibri"/>
        <b/>
        <color theme="1"/>
        <sz val="10.0"/>
      </rPr>
      <t>atualização do valor pago e firmar um TAC junto ao Ministério Público para cumprimento de um PRAD.</t>
    </r>
    <r>
      <rPr>
        <rFont val="Calibri"/>
        <color theme="1"/>
        <sz val="10.0"/>
      </rPr>
      <t xml:space="preserve">
A multa que reportava um valor de aproximadamente R$ 1.000.000,00 foi reduzida para aproximadamente R$ 80.000,00 (já pagos) e é este valor quer deverá ser atualizado.
A redução do valor foi justificada pelo mesmo critério adotado pelo Município de Farroupilha, donde com desconto pagou-se uma multa de aproximadamente R$ 70.000,00 (já quitada).
Carece o cumprimento do PRAD, sua execução final e pagamento de todas as custas processuais e honorários, estimada a importância de aproximadamente </t>
    </r>
    <r>
      <rPr>
        <rFont val="Calibri"/>
        <b/>
        <color rgb="FF980000"/>
        <sz val="10.0"/>
      </rPr>
      <t>R$ 100.000,00 (Cem mil reais).</t>
    </r>
  </si>
  <si>
    <r>
      <rPr>
        <rFont val="Calibri"/>
        <color theme="1"/>
        <sz val="10.0"/>
      </rPr>
      <t xml:space="preserve">Neste rol de custas, devem-se levar em consideração como custo da empresa, àquelas áreas rurais que estão adquiridas por contrato, e que por algum motivo particular de cada negócio, ainda não foram escrituradas em nome da empresa. É necessário, em algumas instruir processo de fracionamento ou desmembramento, levantamento topográfico georreferenciado, delimitar a área, etc. Carece num custo aproximado de </t>
    </r>
    <r>
      <rPr>
        <rFont val="Calibri"/>
        <b/>
        <color rgb="FF980000"/>
        <sz val="10.0"/>
      </rPr>
      <t>R$ 250.000,00 (Duzentos e cinquenta mil reais).</t>
    </r>
  </si>
  <si>
    <r>
      <rPr>
        <rFont val="Calibri"/>
        <b/>
        <color theme="1"/>
        <sz val="10.0"/>
      </rPr>
      <t>Sobre a venda</t>
    </r>
    <r>
      <rPr>
        <rFont val="Calibri"/>
        <color theme="1"/>
        <sz val="10.0"/>
      </rPr>
      <t xml:space="preserve"> – valor declarado na Escritura Pública de Compra e Venda – deve ser considerado um custo de 7,00% (Sete por cento) de impostos: PIS – COFINS – IRPJ – CSLL.</t>
    </r>
  </si>
  <si>
    <r>
      <rPr>
        <rFont val="Calibri"/>
        <b/>
        <color theme="1"/>
        <sz val="10.0"/>
      </rPr>
      <t>Sobre a venda</t>
    </r>
    <r>
      <rPr>
        <rFont val="Calibri"/>
        <color theme="1"/>
        <sz val="10.0"/>
      </rPr>
      <t xml:space="preserve"> – valor do negócio da venda – deve ser considerado um custo de 6,00% (Seis por cento) de comissão. </t>
    </r>
  </si>
  <si>
    <r>
      <rPr>
        <rFont val="Calibri"/>
        <b/>
        <color theme="1"/>
        <sz val="10.0"/>
      </rPr>
      <t>CELESTINO ROSSI - Arquiteto</t>
    </r>
    <r>
      <rPr>
        <rFont val="Calibri"/>
        <color theme="1"/>
        <sz val="10.0"/>
      </rPr>
      <t xml:space="preserve"> – A empresa deverá fazer um acerto pelos serviços prestados pelo Arquiteto Celestino Rossi, na elaboração de </t>
    </r>
    <r>
      <rPr>
        <rFont val="Calibri"/>
        <b/>
        <color theme="1"/>
        <sz val="10.0"/>
      </rPr>
      <t>Projetos Urbanísticos e Complementares</t>
    </r>
    <r>
      <rPr>
        <rFont val="Calibri"/>
        <color theme="1"/>
        <sz val="10.0"/>
      </rPr>
      <t xml:space="preserve">, retificação de áreas e registro, em Loteamentos nas cidades de Veranópolis, Farroupilha e Caxias do Sul, donde o </t>
    </r>
    <r>
      <rPr>
        <rFont val="Calibri"/>
        <b/>
        <color theme="1"/>
        <sz val="10.0"/>
      </rPr>
      <t>acerto combinado é através de lotes</t>
    </r>
    <r>
      <rPr>
        <rFont val="Calibri"/>
        <color theme="1"/>
        <sz val="10.0"/>
      </rPr>
      <t xml:space="preserve"> para cada Loteamento, conforme está estabelecido nos acordos firmados dentre as partes. O valor dos honorários equivale a 03 (três) lotes urbanos, no valor global de </t>
    </r>
    <r>
      <rPr>
        <rFont val="Calibri"/>
        <b/>
        <color rgb="FF980000"/>
        <sz val="10.0"/>
      </rPr>
      <t>R$ 600.000,00 (Seiscentos mil reais).</t>
    </r>
  </si>
  <si>
    <r>
      <rPr>
        <rFont val="Calibri"/>
        <b/>
        <color theme="1"/>
        <sz val="10.0"/>
      </rPr>
      <t>SOLAR SERRA PLACAS SOLARES – MÁRIO BORDIGNON –</t>
    </r>
    <r>
      <rPr>
        <rFont val="Calibri"/>
        <color theme="1"/>
        <sz val="10.0"/>
      </rPr>
      <t xml:space="preserve">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t>
    </r>
    <r>
      <rPr>
        <rFont val="Calibri"/>
        <b/>
        <color rgb="FF980000"/>
        <sz val="10.0"/>
      </rPr>
      <t>R$ 150.000,00 (Cento e cinquenta mil reais)</t>
    </r>
    <r>
      <rPr>
        <rFont val="Calibri"/>
        <color theme="1"/>
        <sz val="10.0"/>
      </rPr>
      <t xml:space="preserve">, representados por </t>
    </r>
    <r>
      <rPr>
        <rFont val="Calibri"/>
        <b/>
        <color theme="1"/>
        <sz val="10.0"/>
      </rPr>
      <t>01 LOTE URBANO</t>
    </r>
    <r>
      <rPr>
        <rFont val="Calibri"/>
        <color theme="1"/>
        <sz val="10.0"/>
      </rPr>
      <t>, a escolher em um dos Loteamentos, em Veranópolis, da empresa, para cumprimento ao estabelecido nos acordos firmados dentre as partes.</t>
    </r>
  </si>
  <si>
    <r>
      <rPr>
        <rFont val="Calibri"/>
        <b/>
        <color theme="1"/>
        <sz val="10.0"/>
      </rPr>
      <t>ALEXANDRE SUSIN –</t>
    </r>
    <r>
      <rPr>
        <rFont val="Calibri"/>
        <color theme="1"/>
        <sz val="10.0"/>
      </rPr>
      <t xml:space="preserve"> A empresa deverá fazer o pagamento do </t>
    </r>
    <r>
      <rPr>
        <rFont val="Calibri"/>
        <b/>
        <color theme="1"/>
        <sz val="10.0"/>
      </rPr>
      <t>acerto final,</t>
    </r>
    <r>
      <rPr>
        <rFont val="Calibri"/>
        <color theme="1"/>
        <sz val="10.0"/>
      </rPr>
      <t xml:space="preserve"> conforme acordos celebrados, restando ainda a entrega de </t>
    </r>
    <r>
      <rPr>
        <rFont val="Calibri"/>
        <b/>
        <color theme="1"/>
        <sz val="10.0"/>
      </rPr>
      <t>06 lotes</t>
    </r>
    <r>
      <rPr>
        <rFont val="Calibri"/>
        <color theme="1"/>
        <sz val="10.0"/>
      </rPr>
      <t xml:space="preserve">, para o pleno cumprimento dos acordos firmados e mais o acerto dos valores, que deverão ser pagos como forma de comissão pela intermediação dos contratos firmados com a empresa BURITI, no valor de aproximadamente                             </t>
    </r>
    <r>
      <rPr>
        <rFont val="Calibri"/>
        <b/>
        <color rgb="FF980000"/>
        <sz val="10.0"/>
      </rPr>
      <t>R$ 1.200.000,00 (Hum milhão e duzentos mil reais).</t>
    </r>
  </si>
  <si>
    <r>
      <rPr>
        <rFont val="Calibri"/>
        <b/>
        <color theme="1"/>
        <sz val="10.0"/>
      </rPr>
      <t>LOTEAMENTO RESERVA FALAVIGNA - Flores da Cunha</t>
    </r>
    <r>
      <rPr>
        <rFont val="Calibri"/>
        <color theme="1"/>
        <sz val="10.0"/>
      </rPr>
      <t xml:space="preserve"> – Conclusão da pavimentação das ruas do Sistema Viário + conclusão das obras do parque + construção da galeria para escoamento pluvial, o que importam num custo estimado em aproximadamente </t>
    </r>
    <r>
      <rPr>
        <rFont val="Calibri"/>
        <b/>
        <color rgb="FF980000"/>
        <sz val="10.0"/>
      </rPr>
      <t>R$ 2.000.000,00 (Dois milhões de reais)</t>
    </r>
    <r>
      <rPr>
        <rFont val="Calibri"/>
        <color theme="1"/>
        <sz val="10.0"/>
      </rPr>
      <t xml:space="preserve"> – Para conclusão destes serviços estão em garantia hipotecária junto ao Município de Flores da Cunha, LOTES do próprio Loteamento, de propriedade da empresa e da Família Falavigna. Para a </t>
    </r>
    <r>
      <rPr>
        <rFont val="Calibri"/>
        <b/>
        <color theme="1"/>
        <sz val="10.0"/>
      </rPr>
      <t>construção da galeria</t>
    </r>
    <r>
      <rPr>
        <rFont val="Calibri"/>
        <color theme="1"/>
        <sz val="10.0"/>
      </rPr>
      <t xml:space="preserve"> são necessários o valor de aproximadamente </t>
    </r>
    <r>
      <rPr>
        <rFont val="Calibri"/>
        <b/>
        <color theme="1"/>
        <sz val="10.0"/>
      </rPr>
      <t>R$ 1.200.000,00 (Hum milhão e duzentos mil reais)</t>
    </r>
    <r>
      <rPr>
        <rFont val="Calibri"/>
        <color theme="1"/>
        <sz val="10.0"/>
      </rPr>
      <t xml:space="preserve"> e para a conclusão dos demais </t>
    </r>
    <r>
      <rPr>
        <rFont val="Calibri"/>
        <b/>
        <color theme="1"/>
        <sz val="10.0"/>
      </rPr>
      <t>serviços de urbanismo e infraestrutura no PARQUE</t>
    </r>
    <r>
      <rPr>
        <rFont val="Calibri"/>
        <color theme="1"/>
        <sz val="10.0"/>
      </rPr>
      <t xml:space="preserve">, mais o valor aproximado de </t>
    </r>
    <r>
      <rPr>
        <rFont val="Calibri"/>
        <b/>
        <color theme="1"/>
        <sz val="10.0"/>
      </rPr>
      <t>R$ 800.000,00 (Oitocentos mil reais)</t>
    </r>
    <r>
      <rPr>
        <rFont val="Calibri"/>
        <color theme="1"/>
        <sz val="10.0"/>
      </rPr>
      <t>.</t>
    </r>
  </si>
  <si>
    <r>
      <rPr>
        <rFont val="Calibri"/>
        <b/>
        <color theme="1"/>
        <sz val="10.0"/>
      </rPr>
      <t>LUIS CARLOS MERCALI –</t>
    </r>
    <r>
      <rPr>
        <rFont val="Calibri"/>
        <color theme="1"/>
        <sz val="10.0"/>
      </rPr>
      <t xml:space="preserve"> A empresa tem um valor de </t>
    </r>
    <r>
      <rPr>
        <rFont val="Calibri"/>
        <b/>
        <color rgb="FF980000"/>
        <sz val="10.0"/>
      </rPr>
      <t>R$ 200.000,00 (Duzentos mil reais)</t>
    </r>
    <r>
      <rPr>
        <rFont val="Calibri"/>
        <color theme="1"/>
        <sz val="10.0"/>
      </rPr>
      <t>, tomados por empréstimo desde junho de 2020, aos juros de 1,00%, ao mês.</t>
    </r>
  </si>
  <si>
    <r>
      <rPr>
        <rFont val="Calibri"/>
        <b/>
        <color theme="1"/>
        <sz val="10.0"/>
      </rPr>
      <t>INES TREVISAN PICCOLI</t>
    </r>
    <r>
      <rPr>
        <rFont val="Calibri"/>
        <color theme="1"/>
        <sz val="10.0"/>
      </rPr>
      <t xml:space="preserve"> – A empresa tem um valor de </t>
    </r>
    <r>
      <rPr>
        <rFont val="Calibri"/>
        <b/>
        <color rgb="FF980000"/>
        <sz val="10.0"/>
      </rPr>
      <t>R$ 350.000,00 (Trezentos e cinquenta mil reais)</t>
    </r>
    <r>
      <rPr>
        <rFont val="Calibri"/>
        <color theme="1"/>
        <sz val="10.0"/>
      </rPr>
      <t>, tomados por empréstimo desde dezembro de 2021, aos juros de 1,00%, ao mês.</t>
    </r>
  </si>
  <si>
    <r>
      <rPr>
        <rFont val="Calibri"/>
        <b/>
        <color theme="1"/>
        <sz val="10.0"/>
      </rPr>
      <t>SAMIR TREVISAN PICCOLI</t>
    </r>
    <r>
      <rPr>
        <rFont val="Calibri"/>
        <color theme="1"/>
        <sz val="10.0"/>
      </rPr>
      <t xml:space="preserve"> – A empresa tem um valor de </t>
    </r>
    <r>
      <rPr>
        <rFont val="Calibri"/>
        <b/>
        <color rgb="FF980000"/>
        <sz val="10.0"/>
      </rPr>
      <t>R$ 1.150.000,00 (Hum milhão, cento e cinquenta mil reais)</t>
    </r>
    <r>
      <rPr>
        <rFont val="Calibri"/>
        <color theme="1"/>
        <sz val="10.0"/>
      </rPr>
      <t>, tomados por empréstimo desde dezembro de 2021, aos juros de 1,00%, ao mês.</t>
    </r>
  </si>
  <si>
    <r>
      <rPr>
        <rFont val="Calibri"/>
        <b/>
        <color theme="1"/>
        <sz val="10.0"/>
      </rPr>
      <t xml:space="preserve">BANCO CATERPILAR FINANCIAL – </t>
    </r>
    <r>
      <rPr>
        <rFont val="Calibri"/>
        <color theme="1"/>
        <sz val="10.0"/>
      </rPr>
      <t xml:space="preserve">Uma Escavadeira Hidráulica, ano 2024, modelo 320, CATERPILLAR, adquirida com pagamento de forma parcelada, restando ainda em </t>
    </r>
    <r>
      <rPr>
        <rFont val="Calibri"/>
        <b/>
        <color theme="1"/>
        <sz val="10.0"/>
      </rPr>
      <t>31 de julho de 2025</t>
    </r>
    <r>
      <rPr>
        <rFont val="Calibri"/>
        <color theme="1"/>
        <sz val="10.0"/>
      </rPr>
      <t xml:space="preserve">, a quantidade de </t>
    </r>
    <r>
      <rPr>
        <rFont val="Calibri"/>
        <b/>
        <color theme="1"/>
        <sz val="10.0"/>
      </rPr>
      <t>33 (Trinta e três) parcelas</t>
    </r>
    <r>
      <rPr>
        <rFont val="Calibri"/>
        <color theme="1"/>
        <sz val="10.0"/>
      </rPr>
      <t xml:space="preserve">, no valor de R$ 10.534,91 (Dez mil, quinhentos e trinta e quatro reais e noventa e um centavos), cada, perfazendo um total ainda a ser quitado de </t>
    </r>
    <r>
      <rPr>
        <rFont val="Calibri"/>
        <b/>
        <color rgb="FF980000"/>
        <sz val="10.0"/>
      </rPr>
      <t>R$ 347.652,03 (Trezentos e quarenta e sete mil, seiscentos e cinquenta e dois reais e três centavos)</t>
    </r>
    <r>
      <rPr>
        <rFont val="Calibri"/>
        <color theme="1"/>
        <sz val="10.0"/>
      </rPr>
      <t>, com vencimento da última parcela no dia 18 de abril de 2028.</t>
    </r>
  </si>
  <si>
    <r>
      <rPr>
        <rFont val="Calibri"/>
        <b/>
        <color theme="1"/>
        <sz val="10.0"/>
      </rPr>
      <t>PARANÁ EQUIPAMENTOS S/A –</t>
    </r>
    <r>
      <rPr>
        <rFont val="Calibri"/>
        <color theme="1"/>
        <sz val="10.0"/>
      </rPr>
      <t xml:space="preserve"> Um Trator de Esteira, ano 2021, modelo D6N XL, CATERPILLAR, adquirido com pagamento de forma parcelada, no valor total de </t>
    </r>
    <r>
      <rPr>
        <rFont val="Calibri"/>
        <b/>
        <color theme="1"/>
        <sz val="10.0"/>
      </rPr>
      <t>R$ 450.000,00 (Quatrocentos e cinquenta mil reais)</t>
    </r>
    <r>
      <rPr>
        <rFont val="Calibri"/>
        <color theme="1"/>
        <sz val="10.0"/>
      </rPr>
      <t xml:space="preserve">, com entrada já paga no valor de R$ 130.000,00 (Cento e trinta mil reais), restando ainda em </t>
    </r>
    <r>
      <rPr>
        <rFont val="Calibri"/>
        <b/>
        <color theme="1"/>
        <sz val="10.0"/>
      </rPr>
      <t>31 de outubro de 2025</t>
    </r>
    <r>
      <rPr>
        <rFont val="Calibri"/>
        <color theme="1"/>
        <sz val="10.0"/>
      </rPr>
      <t xml:space="preserve">, à pagar a quantidade de </t>
    </r>
    <r>
      <rPr>
        <rFont val="Calibri"/>
        <b/>
        <color theme="1"/>
        <sz val="10.0"/>
      </rPr>
      <t>12 (Doze) parcelas, no valor de R$ 26.666,67 (Vinte e seis mil, seiscentos e sessenta e seis reais e sessenta e sete centavos)</t>
    </r>
    <r>
      <rPr>
        <rFont val="Calibri"/>
        <color theme="1"/>
        <sz val="10.0"/>
      </rPr>
      <t xml:space="preserve">, cada, perfazendo um total ainda a ser quitado de </t>
    </r>
    <r>
      <rPr>
        <rFont val="Calibri"/>
        <b/>
        <color rgb="FF980000"/>
        <sz val="10.0"/>
      </rPr>
      <t>R$ 320.000,00 (Trezentos e vinte mil reais), com vencimento da última parcela no dia 10 de outubro de 2026</t>
    </r>
    <r>
      <rPr>
        <rFont val="Calibri"/>
        <color theme="1"/>
        <sz val="10.0"/>
      </rPr>
      <t>.</t>
    </r>
  </si>
</sst>
</file>

<file path=xl/styles.xml><?xml version="1.0" encoding="utf-8"?>
<styleSheet xmlns="http://schemas.openxmlformats.org/spreadsheetml/2006/main" xmlns:x14ac="http://schemas.microsoft.com/office/spreadsheetml/2009/9/ac" xmlns:mc="http://schemas.openxmlformats.org/markup-compatibility/2006">
  <numFmts count="27">
    <numFmt numFmtId="164" formatCode="_(&quot;    R$&quot;* #,##0.00_);_(&quot;    R$&quot;* -#,##0.00_);_(&quot;    R$&quot;* &quot;-&quot;??_);_(@_)"/>
    <numFmt numFmtId="165" formatCode="_(&quot;R$&quot;* #,##0.00_);_(&quot;R$&quot;* -#,##0.00_);_(&quot;R$&quot;* &quot;-&quot;??_);_(@_)"/>
    <numFmt numFmtId="166" formatCode="0&quot; unid.&quot;"/>
    <numFmt numFmtId="167" formatCode="&quot;valorização de &quot;0.00%;&quot;desvalorização de &quot;0.00%"/>
    <numFmt numFmtId="168" formatCode="##&quot; unid.&quot;;-##&quot; unid.&quot;;0&quot; unid.&quot;"/>
    <numFmt numFmtId="169" formatCode="&quot;valor médio dos lotes em 2018:    R$&quot;#,##0.00&quot;  &quot;"/>
    <numFmt numFmtId="170" formatCode="&quot;valorização de &quot;0.00%; &quot;desvalorização de &quot;0.00%"/>
    <numFmt numFmtId="171" formatCode="&quot;val.méd/lote&quot;_(&quot;    R$&quot;* #,##0.00_);&quot;val.méd/lote&quot;_(&quot;    R$&quot;* -#,##0.00_);_(&quot;    R$&quot;* &quot;-&quot;??_);_(@_)"/>
    <numFmt numFmtId="172" formatCode="&quot;A.&quot;#"/>
    <numFmt numFmtId="173" formatCode="&quot;R$ &quot;#,##0.00"/>
    <numFmt numFmtId="174" formatCode="[$R$ -416]#,##0.00"/>
    <numFmt numFmtId="175" formatCode="(0.00%)"/>
    <numFmt numFmtId="176" formatCode="0&quot; lotes.&quot;"/>
    <numFmt numFmtId="177" formatCode="R$#,##0.00_);R$-#,##0.00;R$ -"/>
    <numFmt numFmtId="178" formatCode="[$R$]#,##0.00;-[$R$]#,##0.00;-"/>
    <numFmt numFmtId="179" formatCode="#.#&quot; ha.&quot;"/>
    <numFmt numFmtId="180" formatCode="0 &quot; sacas de soja&quot;"/>
    <numFmt numFmtId="181" formatCode="0 &quot; sacas/ha.&quot;"/>
    <numFmt numFmtId="182" formatCode="_(&quot;    R$&quot;* #,##0.00_);_(&quot;    R$&quot;* -#,##0.00_);"/>
    <numFmt numFmtId="183" formatCode="&quot;~R$&quot; #,##0.00 &quot;por ano&quot;"/>
    <numFmt numFmtId="184" formatCode="mmm. yyyy"/>
    <numFmt numFmtId="185" formatCode="0&quot; kg de boi / 100 ha.&quot;"/>
    <numFmt numFmtId="186" formatCode="0&quot; kg de boi / ha&quot;"/>
    <numFmt numFmtId="187" formatCode="0&quot; lotes&quot;"/>
    <numFmt numFmtId="188" formatCode="&quot;R$ &quot;#,##0.00;&quot;R$ -&quot;#,##0.00;-"/>
    <numFmt numFmtId="189" formatCode="0.0%;-0.0%;&quot;-&quot;"/>
    <numFmt numFmtId="190" formatCode="dd/mm/yyyy"/>
  </numFmts>
  <fonts count="34">
    <font>
      <sz val="10.0"/>
      <color rgb="FF000000"/>
      <name val="Arial"/>
      <scheme val="minor"/>
    </font>
    <font>
      <b/>
      <sz val="13.0"/>
      <color theme="1"/>
      <name val="Arial"/>
      <scheme val="minor"/>
    </font>
    <font>
      <color theme="1"/>
      <name val="Arial"/>
      <scheme val="minor"/>
    </font>
    <font>
      <b/>
      <color theme="1"/>
      <name val="Arial"/>
      <scheme val="minor"/>
    </font>
    <font>
      <b/>
      <sz val="10.0"/>
      <color theme="1"/>
      <name val="Calibri"/>
    </font>
    <font>
      <sz val="10.0"/>
      <color theme="1"/>
      <name val="Calibri"/>
    </font>
    <font>
      <sz val="10.0"/>
      <color rgb="FFBF0000"/>
      <name val="Calibri"/>
    </font>
    <font>
      <i/>
      <sz val="10.0"/>
      <color theme="1"/>
      <name val="Calibri"/>
    </font>
    <font>
      <b/>
      <sz val="10.0"/>
      <color rgb="FFFFFFFF"/>
      <name val="Calibri"/>
    </font>
    <font>
      <sz val="10.0"/>
      <color rgb="FFFFFFFF"/>
      <name val="Calibri"/>
    </font>
    <font>
      <i/>
      <sz val="10.0"/>
      <color rgb="FFFFFFFF"/>
      <name val="Calibri"/>
    </font>
    <font>
      <b/>
      <sz val="10.0"/>
      <color rgb="FF000000"/>
      <name val="Calibri"/>
    </font>
    <font>
      <sz val="10.0"/>
      <color rgb="FF000000"/>
      <name val="Calibri"/>
    </font>
    <font>
      <b/>
      <i/>
      <sz val="10.0"/>
      <color rgb="FF000000"/>
      <name val="Calibri"/>
    </font>
    <font>
      <b/>
      <color rgb="FFF3F3F3"/>
      <name val="Arial"/>
      <scheme val="minor"/>
    </font>
    <font>
      <color rgb="FF000000"/>
      <name val="Calibri"/>
    </font>
    <font>
      <b/>
      <color rgb="FF000000"/>
      <name val="Calibri"/>
    </font>
    <font>
      <color rgb="FF980000"/>
      <name val="Arial"/>
      <scheme val="minor"/>
    </font>
    <font>
      <b/>
      <color rgb="FF980000"/>
      <name val="Arial"/>
      <scheme val="minor"/>
    </font>
    <font>
      <sz val="10.0"/>
      <color rgb="FF980000"/>
      <name val="Calibri"/>
    </font>
    <font>
      <b/>
      <sz val="10.0"/>
      <color rgb="FF000000"/>
      <name val="Arial"/>
      <scheme val="minor"/>
    </font>
    <font>
      <i/>
      <color rgb="FF980000"/>
      <name val="Arial"/>
      <scheme val="minor"/>
    </font>
    <font>
      <i/>
      <sz val="10.0"/>
      <color rgb="FF000000"/>
      <name val="Calibri"/>
    </font>
    <font>
      <b/>
      <sz val="10.0"/>
      <color rgb="FF980000"/>
      <name val="Calibri"/>
    </font>
    <font>
      <b/>
      <u/>
      <sz val="10.0"/>
      <color rgb="FF000000"/>
      <name val="Calibri"/>
    </font>
    <font>
      <b/>
      <u/>
      <sz val="10.0"/>
      <color rgb="FF000000"/>
      <name val="Calibri"/>
    </font>
    <font>
      <color theme="1"/>
      <name val="Calibri"/>
    </font>
    <font>
      <color theme="1"/>
      <name val="Arial"/>
    </font>
    <font>
      <b/>
      <sz val="12.0"/>
      <color theme="1"/>
      <name val="Calibri"/>
    </font>
    <font>
      <i/>
      <sz val="10.0"/>
      <color rgb="FF595959"/>
      <name val="Calibri"/>
    </font>
    <font>
      <b/>
      <sz val="11.0"/>
      <color theme="1"/>
      <name val="Calibri"/>
    </font>
    <font>
      <sz val="10.0"/>
      <color rgb="FF0000FF"/>
      <name val="Calibri"/>
    </font>
    <font>
      <b/>
      <color theme="1"/>
      <name val="Calibri"/>
    </font>
    <font>
      <b/>
      <color theme="1"/>
      <name val="Arial"/>
    </font>
  </fonts>
  <fills count="11">
    <fill>
      <patternFill patternType="none"/>
    </fill>
    <fill>
      <patternFill patternType="lightGray"/>
    </fill>
    <fill>
      <patternFill patternType="solid">
        <fgColor rgb="FFDDEBF7"/>
        <bgColor rgb="FFDDEBF7"/>
      </patternFill>
    </fill>
    <fill>
      <patternFill patternType="solid">
        <fgColor rgb="FFF3F3F3"/>
        <bgColor rgb="FFF3F3F3"/>
      </patternFill>
    </fill>
    <fill>
      <patternFill patternType="solid">
        <fgColor rgb="FF434343"/>
        <bgColor rgb="FF434343"/>
      </patternFill>
    </fill>
    <fill>
      <patternFill patternType="solid">
        <fgColor rgb="FFD9D9D9"/>
        <bgColor rgb="FFD9D9D9"/>
      </patternFill>
    </fill>
    <fill>
      <patternFill patternType="solid">
        <fgColor rgb="FFFFF2CC"/>
        <bgColor rgb="FFFFF2CC"/>
      </patternFill>
    </fill>
    <fill>
      <patternFill patternType="solid">
        <fgColor rgb="FFEA9999"/>
        <bgColor rgb="FFEA9999"/>
      </patternFill>
    </fill>
    <fill>
      <patternFill patternType="solid">
        <fgColor rgb="FFFFE599"/>
        <bgColor rgb="FFFFE599"/>
      </patternFill>
    </fill>
    <fill>
      <patternFill patternType="solid">
        <fgColor rgb="FFFFFFFF"/>
        <bgColor rgb="FFFFFFFF"/>
      </patternFill>
    </fill>
    <fill>
      <patternFill patternType="solid">
        <fgColor rgb="FFB7B7B7"/>
        <bgColor rgb="FFB7B7B7"/>
      </patternFill>
    </fill>
  </fills>
  <borders count="95">
    <border/>
    <border>
      <left style="thin">
        <color rgb="FFBFBFBF"/>
      </left>
      <right style="thin">
        <color rgb="FFBFBFBF"/>
      </right>
      <top style="thin">
        <color rgb="FFBFBFBF"/>
      </top>
      <bottom style="thin">
        <color rgb="FFBFBFBF"/>
      </bottom>
    </border>
    <border>
      <left style="thick">
        <color rgb="FF000000"/>
      </left>
      <top style="thick">
        <color rgb="FF000000"/>
      </top>
    </border>
    <border>
      <right style="medium">
        <color rgb="FF000000"/>
      </right>
      <top style="thick">
        <color rgb="FF000000"/>
      </top>
    </border>
    <border>
      <left style="medium">
        <color rgb="FF000000"/>
      </left>
      <top style="thick">
        <color rgb="FF000000"/>
      </top>
    </border>
    <border>
      <left style="hair">
        <color rgb="FF000000"/>
      </left>
      <right style="medium">
        <color rgb="FF000000"/>
      </righ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right style="medium">
        <color rgb="FF000000"/>
      </right>
      <bottom style="thick">
        <color rgb="FF000000"/>
      </bottom>
    </border>
    <border>
      <left style="medium">
        <color rgb="FF000000"/>
      </left>
      <bottom style="thick">
        <color rgb="FF000000"/>
      </bottom>
    </border>
    <border>
      <left style="hair">
        <color rgb="FF000000"/>
      </left>
      <right style="medium">
        <color rgb="FF000000"/>
      </righ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rder>
    <border>
      <right style="medium">
        <color rgb="FF000000"/>
      </right>
      <top style="thin">
        <color rgb="FF000000"/>
      </top>
    </border>
    <border>
      <left style="hair">
        <color rgb="FF000000"/>
      </left>
      <top style="thin">
        <color rgb="FF000000"/>
      </top>
    </border>
    <border>
      <left style="hair">
        <color rgb="FF000000"/>
      </left>
      <right style="medium">
        <color rgb="FF000000"/>
      </right>
      <top style="thin">
        <color rgb="FF000000"/>
      </top>
    </border>
    <border>
      <top style="thin">
        <color rgb="FF000000"/>
      </top>
    </border>
    <border>
      <left style="medium">
        <color rgb="FF000000"/>
      </left>
      <top style="thin">
        <color rgb="FF000000"/>
      </top>
    </border>
    <border>
      <right style="thin">
        <color rgb="FF000000"/>
      </right>
      <top style="thin">
        <color rgb="FF000000"/>
      </top>
    </border>
    <border>
      <left style="thin">
        <color rgb="FF000000"/>
      </left>
      <bottom style="medium">
        <color rgb="FFFFFFFF"/>
      </bottom>
    </border>
    <border>
      <right style="medium">
        <color rgb="FF000000"/>
      </right>
      <bottom style="medium">
        <color rgb="FFFFFFFF"/>
      </bottom>
    </border>
    <border>
      <left style="medium">
        <color rgb="FF000000"/>
      </left>
      <bottom style="medium">
        <color rgb="FFFFFFFF"/>
      </bottom>
    </border>
    <border>
      <left style="hair">
        <color rgb="FF000000"/>
      </left>
      <right style="medium">
        <color rgb="FF000000"/>
      </right>
      <bottom style="medium">
        <color rgb="FFFFFFFF"/>
      </bottom>
    </border>
    <border>
      <bottom style="medium">
        <color rgb="FFFFFFFF"/>
      </bottom>
    </border>
    <border>
      <right style="thin">
        <color rgb="FF000000"/>
      </right>
      <bottom style="medium">
        <color rgb="FFFFFFFF"/>
      </bottom>
    </border>
    <border>
      <left style="thin">
        <color rgb="FF000000"/>
      </left>
    </border>
    <border>
      <left style="medium">
        <color rgb="FF000000"/>
      </left>
      <right style="hair">
        <color rgb="FF000000"/>
      </right>
    </border>
    <border>
      <left style="hair">
        <color rgb="FF000000"/>
      </left>
      <right style="medium">
        <color rgb="FF000000"/>
      </right>
    </border>
    <border>
      <right style="medium">
        <color rgb="FF000000"/>
      </right>
    </border>
    <border>
      <left style="medium">
        <color rgb="FF000000"/>
      </left>
      <right style="medium">
        <color rgb="FF000000"/>
      </right>
    </border>
    <border>
      <left style="medium">
        <color rgb="FF000000"/>
      </left>
    </border>
    <border>
      <right style="thin">
        <color rgb="FF000000"/>
      </right>
    </border>
    <border>
      <left style="thin">
        <color rgb="FF000000"/>
      </left>
      <bottom style="thin">
        <color rgb="FF000000"/>
      </bottom>
    </border>
    <border>
      <bottom style="thin">
        <color rgb="FF000000"/>
      </bottom>
    </border>
    <border>
      <left style="medium">
        <color rgb="FF000000"/>
      </left>
      <bottom style="thin">
        <color rgb="FF000000"/>
      </bottom>
    </border>
    <border>
      <left style="hair">
        <color rgb="FF000000"/>
      </left>
      <right style="medium">
        <color rgb="FF000000"/>
      </right>
      <bottom style="thin">
        <color rgb="FF000000"/>
      </bottom>
    </border>
    <border>
      <right style="thin">
        <color rgb="FF000000"/>
      </right>
      <bottom style="thin">
        <color rgb="FF000000"/>
      </bottom>
    </border>
    <border>
      <left style="thin">
        <color rgb="FFFFFFFF"/>
      </left>
    </border>
    <border>
      <left style="medium">
        <color rgb="FF000000"/>
      </left>
      <right style="hair">
        <color rgb="FF000000"/>
      </right>
      <top style="thin">
        <color rgb="FF000000"/>
      </top>
    </border>
    <border>
      <left style="medium">
        <color rgb="FF000000"/>
      </left>
      <right style="medium">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top style="hair">
        <color rgb="FF000000"/>
      </top>
    </border>
    <border>
      <right style="thin">
        <color rgb="FF000000"/>
      </right>
      <bottom style="hair">
        <color rgb="FF000000"/>
      </bottom>
    </border>
    <border>
      <left style="thin">
        <color rgb="FF000000"/>
      </left>
      <right style="thin">
        <color rgb="FF000000"/>
      </right>
      <bottom style="hair">
        <color rgb="FF000000"/>
      </bottom>
    </border>
    <border>
      <left style="thin">
        <color rgb="FF000000"/>
      </left>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hair">
        <color rgb="FF000000"/>
      </left>
    </border>
    <border>
      <left style="thin">
        <color rgb="FFFFFFFF"/>
      </left>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thin">
        <color rgb="FFFFFFFF"/>
      </left>
      <top style="hair">
        <color rgb="FF000000"/>
      </top>
    </border>
    <border>
      <right style="medium">
        <color rgb="FF000000"/>
      </right>
      <top style="hair">
        <color rgb="FF000000"/>
      </top>
    </border>
    <border>
      <left style="medium">
        <color rgb="FF000000"/>
      </left>
      <top style="hair">
        <color rgb="FF000000"/>
      </top>
    </border>
    <border>
      <left style="hair">
        <color rgb="FF000000"/>
      </left>
      <right style="medium">
        <color rgb="FF000000"/>
      </right>
      <top style="hair">
        <color rgb="FF000000"/>
      </top>
    </border>
    <border>
      <left style="medium">
        <color rgb="FF000000"/>
      </left>
      <right style="medium">
        <color rgb="FF000000"/>
      </right>
      <top style="hair">
        <color rgb="FF000000"/>
      </top>
    </border>
    <border>
      <left style="thin">
        <color rgb="FFFFFFFF"/>
      </left>
      <bottom style="thin">
        <color rgb="FFFFFFFF"/>
      </bottom>
    </border>
    <border>
      <right style="medium">
        <color rgb="FF000000"/>
      </right>
      <bottom style="thin">
        <color rgb="FFFFFFFF"/>
      </bottom>
    </border>
    <border>
      <left style="medium">
        <color rgb="FF000000"/>
      </left>
      <bottom style="thin">
        <color rgb="FFFFFFFF"/>
      </bottom>
    </border>
    <border>
      <left style="hair">
        <color rgb="FF000000"/>
      </left>
      <right style="medium">
        <color rgb="FF000000"/>
      </right>
      <bottom style="thin">
        <color rgb="FFFFFFFF"/>
      </bottom>
    </border>
    <border>
      <left style="medium">
        <color rgb="FF000000"/>
      </left>
      <right style="medium">
        <color rgb="FF000000"/>
      </right>
      <bottom style="thin">
        <color rgb="FFFFFFFF"/>
      </bottom>
    </border>
    <border>
      <bottom style="thin">
        <color rgb="FFFFFFFF"/>
      </bottom>
    </border>
    <border>
      <left style="thin">
        <color rgb="FFFFFFFF"/>
      </left>
      <top style="thin">
        <color rgb="FFFFFFFF"/>
      </top>
      <bottom style="thin">
        <color rgb="FFFFFFFF"/>
      </bottom>
    </border>
    <border>
      <right style="medium">
        <color rgb="FF000000"/>
      </right>
      <top style="thin">
        <color rgb="FFFFFFFF"/>
      </top>
      <bottom style="thin">
        <color rgb="FFFFFFFF"/>
      </bottom>
    </border>
    <border>
      <left style="medium">
        <color rgb="FF000000"/>
      </left>
      <top style="thin">
        <color rgb="FFFFFFFF"/>
      </top>
      <bottom style="thin">
        <color rgb="FFFFFFFF"/>
      </bottom>
    </border>
    <border>
      <left style="hair">
        <color rgb="FF000000"/>
      </left>
      <right style="medium">
        <color rgb="FF000000"/>
      </right>
      <top style="thin">
        <color rgb="FFFFFFFF"/>
      </top>
      <bottom style="thin">
        <color rgb="FFFFFFFF"/>
      </bottom>
    </border>
    <border>
      <left style="medium">
        <color rgb="FF000000"/>
      </left>
      <right style="medium">
        <color rgb="FF000000"/>
      </right>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right style="medium">
        <color rgb="FF000000"/>
      </right>
      <top style="thin">
        <color rgb="FFFFFFFF"/>
      </top>
    </border>
    <border>
      <left style="medium">
        <color rgb="FF000000"/>
      </left>
      <top style="thin">
        <color rgb="FFFFFFFF"/>
      </top>
    </border>
    <border>
      <left style="hair">
        <color rgb="FF000000"/>
      </left>
      <right style="medium">
        <color rgb="FF000000"/>
      </right>
      <top style="thin">
        <color rgb="FFFFFFFF"/>
      </top>
    </border>
    <border>
      <left style="medium">
        <color rgb="FF000000"/>
      </left>
      <right style="medium">
        <color rgb="FF000000"/>
      </right>
      <top style="thin">
        <color rgb="FFFFFFFF"/>
      </top>
    </border>
    <border>
      <right style="thin">
        <color rgb="FFFFFFFF"/>
      </right>
      <top style="thin">
        <color rgb="FFFFFFFF"/>
      </top>
    </border>
    <border>
      <left style="thin">
        <color rgb="FFEFEFEF"/>
      </left>
      <top style="thin">
        <color rgb="FFEFEFEF"/>
      </top>
      <bottom style="thin">
        <color rgb="FFEFEFEF"/>
      </bottom>
    </border>
    <border>
      <right style="medium">
        <color rgb="FF000000"/>
      </right>
      <top style="thin">
        <color rgb="FFEFEFEF"/>
      </top>
      <bottom style="thin">
        <color rgb="FFEFEFEF"/>
      </bottom>
    </border>
    <border>
      <left style="medium">
        <color rgb="FF000000"/>
      </left>
      <top style="thin">
        <color rgb="FFEFEFEF"/>
      </top>
      <bottom style="thin">
        <color rgb="FFEFEFEF"/>
      </bottom>
    </border>
    <border>
      <left style="hair">
        <color rgb="FF000000"/>
      </left>
      <right style="medium">
        <color rgb="FF000000"/>
      </right>
      <top style="thin">
        <color rgb="FFEFEFEF"/>
      </top>
      <bottom style="thin">
        <color rgb="FFEFEFEF"/>
      </bottom>
    </border>
    <border>
      <top style="thin">
        <color rgb="FFEFEFEF"/>
      </top>
      <bottom style="thin">
        <color rgb="FFEFEFEF"/>
      </bottom>
    </border>
    <border>
      <right style="thin">
        <color rgb="FFEFEFEF"/>
      </right>
      <top style="thin">
        <color rgb="FFEFEFEF"/>
      </top>
      <bottom style="thin">
        <color rgb="FFEFEFEF"/>
      </bottom>
    </border>
    <border>
      <left style="thin">
        <color rgb="FFBEBEBE"/>
      </left>
      <right style="thin">
        <color rgb="FFBEBEBE"/>
      </right>
      <top style="thin">
        <color rgb="FFBEBEBE"/>
      </top>
      <bottom style="thin">
        <color rgb="FFBEBEBE"/>
      </bottom>
    </border>
    <border>
      <left style="hair">
        <color rgb="FFFFFFFF"/>
      </left>
      <top style="hair">
        <color rgb="FFFFFFFF"/>
      </top>
      <bottom style="hair">
        <color rgb="FFFFFFFF"/>
      </bottom>
    </border>
    <border>
      <right style="medium">
        <color rgb="FF000000"/>
      </right>
      <top style="hair">
        <color rgb="FFFFFFFF"/>
      </top>
      <bottom style="hair">
        <color rgb="FFFFFFFF"/>
      </bottom>
    </border>
    <border>
      <left style="medium">
        <color rgb="FF000000"/>
      </left>
      <top style="hair">
        <color rgb="FFFFFFFF"/>
      </top>
      <bottom style="hair">
        <color rgb="FFFFFFFF"/>
      </bottom>
    </border>
    <border>
      <left style="hair">
        <color rgb="FF000000"/>
      </left>
      <right style="medium">
        <color rgb="FF000000"/>
      </right>
      <top style="hair">
        <color rgb="FFFFFFFF"/>
      </top>
      <bottom style="hair">
        <color rgb="FFFFFFFF"/>
      </bottom>
    </border>
    <border>
      <left style="medium">
        <color rgb="FF000000"/>
      </left>
      <right style="medium">
        <color rgb="FF000000"/>
      </right>
      <top style="hair">
        <color rgb="FFFFFFFF"/>
      </top>
      <bottom style="hair">
        <color rgb="FFFFFFFF"/>
      </bottom>
    </border>
    <border>
      <right style="hair">
        <color rgb="FFFFFFFF"/>
      </right>
      <top style="hair">
        <color rgb="FFFFFFFF"/>
      </top>
      <bottom style="hair">
        <color rgb="FFFFFFFF"/>
      </bottom>
    </border>
  </borders>
  <cellStyleXfs count="1">
    <xf borderId="0" fillId="0" fontId="0" numFmtId="0" applyAlignment="1" applyFont="1"/>
  </cellStyleXfs>
  <cellXfs count="72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readingOrder="0" shrinkToFit="0" vertical="center" wrapText="1"/>
    </xf>
    <xf borderId="1" fillId="2" fontId="3" numFmtId="0" xfId="0" applyAlignment="1" applyBorder="1" applyFill="1" applyFont="1">
      <alignment horizontal="center" readingOrder="0" shrinkToFit="0" vertical="center" wrapText="1"/>
    </xf>
    <xf borderId="2" fillId="3" fontId="4" numFmtId="0" xfId="0" applyAlignment="1" applyBorder="1" applyFill="1" applyFont="1">
      <alignment horizontal="left" readingOrder="0" vertical="center"/>
    </xf>
    <xf borderId="3" fillId="3" fontId="4" numFmtId="164" xfId="0" applyAlignment="1" applyBorder="1" applyFill="1" applyFont="1" applyNumberFormat="1">
      <alignment horizontal="center" readingOrder="0" shrinkToFit="0" wrapText="1"/>
    </xf>
    <xf quotePrefix="1"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1" fillId="0" fontId="2" numFmtId="0" xfId="0" applyAlignment="1" applyBorder="1" applyFont="1">
      <alignment horizontal="center" readingOrder="0" vertical="top"/>
    </xf>
    <xf borderId="4" fillId="3" fontId="5" numFmtId="164" xfId="0" applyAlignment="1" applyBorder="1" applyFill="1" applyFont="1" applyNumberFormat="1">
      <alignment horizontal="center" readingOrder="0" vertical="center"/>
    </xf>
    <xf borderId="1" fillId="0" fontId="2" numFmtId="165" xfId="0" applyAlignment="1" applyBorder="1" applyFont="1" applyNumberFormat="1">
      <alignment vertical="top"/>
    </xf>
    <xf borderId="5" fillId="3" fontId="5" numFmtId="164" xfId="0" applyAlignment="1" applyBorder="1" applyFill="1" applyFont="1" applyNumberFormat="1">
      <alignment horizontal="center" readingOrder="0" vertical="center"/>
    </xf>
    <xf borderId="6" fillId="3" fontId="5" numFmtId="164" xfId="0" applyAlignment="1" applyBorder="1" applyFill="1" applyFont="1" applyNumberFormat="1">
      <alignment horizontal="center" readingOrder="0" vertical="center"/>
    </xf>
    <xf borderId="1" fillId="0" fontId="2" numFmtId="165" xfId="0" applyAlignment="1" applyBorder="1" applyFont="1" applyNumberFormat="1">
      <alignment readingOrder="0" vertical="top"/>
    </xf>
    <xf borderId="6" fillId="3" fontId="6" numFmtId="164" xfId="0" applyAlignment="1" applyBorder="1" applyFill="1" applyFont="1" applyNumberFormat="1">
      <alignment horizontal="left" readingOrder="0" shrinkToFit="0" vertical="center" wrapText="1"/>
    </xf>
    <xf borderId="4" fillId="3" fontId="5" numFmtId="164" xfId="0" applyAlignment="1" applyBorder="1" applyFill="1" applyFont="1" applyNumberFormat="1">
      <alignment horizontal="center" vertical="center"/>
    </xf>
    <xf borderId="4" fillId="3" fontId="4" numFmtId="164" xfId="0" applyAlignment="1" applyBorder="1" applyFill="1" applyFont="1" applyNumberFormat="1">
      <alignment horizontal="left" vertical="center"/>
    </xf>
    <xf borderId="7" fillId="3" fontId="4" numFmtId="164" xfId="0" applyAlignment="1" applyBorder="1" applyFill="1" applyFont="1" applyNumberFormat="1">
      <alignment horizontal="center" readingOrder="0" vertical="center"/>
    </xf>
    <xf borderId="8" fillId="3" fontId="4" numFmtId="0" xfId="0" applyAlignment="1" applyBorder="1" applyFill="1" applyFont="1">
      <alignment horizontal="left" readingOrder="0" vertical="center"/>
    </xf>
    <xf borderId="9" fillId="3" fontId="5" numFmtId="164" xfId="0" applyAlignment="1" applyBorder="1" applyFill="1" applyFont="1" applyNumberFormat="1">
      <alignment horizontal="center" readingOrder="0" shrinkToFit="0" wrapText="1"/>
    </xf>
    <xf borderId="10" fillId="3" fontId="7" numFmtId="166" xfId="0" applyAlignment="1" applyBorder="1" applyFill="1" applyFont="1" applyNumberFormat="1">
      <alignment horizontal="right" readingOrder="0" vertical="center"/>
    </xf>
    <xf borderId="11" fillId="3" fontId="7" numFmtId="167" xfId="0" applyAlignment="1" applyBorder="1" applyFill="1" applyFont="1" applyNumberFormat="1">
      <alignment horizontal="left" readingOrder="0" vertical="center"/>
    </xf>
    <xf borderId="11" fillId="3" fontId="5" numFmtId="164" xfId="0" applyAlignment="1" applyBorder="1" applyFill="1" applyFont="1" applyNumberFormat="1">
      <alignment horizontal="center" readingOrder="0" vertical="center"/>
    </xf>
    <xf borderId="12" fillId="3" fontId="5" numFmtId="164" xfId="0" applyAlignment="1" applyBorder="1" applyFill="1" applyFont="1" applyNumberFormat="1">
      <alignment horizontal="center" readingOrder="0" vertical="center"/>
    </xf>
    <xf borderId="12" fillId="3" fontId="6" numFmtId="164" xfId="0" applyAlignment="1" applyBorder="1" applyFill="1" applyFont="1" applyNumberFormat="1">
      <alignment horizontal="left" readingOrder="0" shrinkToFit="0" vertical="center" wrapText="1"/>
    </xf>
    <xf borderId="10" fillId="3" fontId="7" numFmtId="164" xfId="0" applyAlignment="1" applyBorder="1" applyFill="1" applyFont="1" applyNumberFormat="1">
      <alignment horizontal="center" readingOrder="0" vertical="center"/>
    </xf>
    <xf borderId="10" fillId="3" fontId="4" numFmtId="164" xfId="0" applyAlignment="1" applyBorder="1" applyFill="1" applyFont="1" applyNumberFormat="1">
      <alignment horizontal="left" readingOrder="0" vertical="center"/>
    </xf>
    <xf borderId="13" fillId="3" fontId="4" numFmtId="164" xfId="0" applyAlignment="1" applyBorder="1" applyFill="1" applyFont="1" applyNumberFormat="1">
      <alignment horizontal="center" readingOrder="0" vertical="center"/>
    </xf>
    <xf borderId="14" fillId="4" fontId="8" numFmtId="0" xfId="0" applyAlignment="1" applyBorder="1" applyFill="1" applyFont="1">
      <alignment horizontal="left" readingOrder="0" vertical="center"/>
    </xf>
    <xf borderId="15" fillId="4" fontId="8" numFmtId="164" xfId="0" applyAlignment="1" applyBorder="1" applyFill="1" applyFont="1" applyNumberFormat="1">
      <alignment horizontal="left" readingOrder="0" shrinkToFit="0" wrapText="1"/>
    </xf>
    <xf borderId="16" fillId="4" fontId="8" numFmtId="164" xfId="0" applyAlignment="1" applyBorder="1" applyFill="1" applyFont="1" applyNumberFormat="1">
      <alignment horizontal="center" readingOrder="0" vertical="center"/>
    </xf>
    <xf borderId="17" fillId="4" fontId="8" numFmtId="164" xfId="0" applyAlignment="1" applyBorder="1" applyFill="1" applyFont="1" applyNumberFormat="1">
      <alignment horizontal="center" readingOrder="0" vertical="center"/>
    </xf>
    <xf borderId="18" fillId="4" fontId="8" numFmtId="164" xfId="0" applyAlignment="1" applyBorder="1" applyFill="1" applyFont="1" applyNumberFormat="1">
      <alignment horizontal="center" readingOrder="0" vertical="center"/>
    </xf>
    <xf borderId="18" fillId="4" fontId="6" numFmtId="164" xfId="0" applyAlignment="1" applyBorder="1" applyFill="1" applyFont="1" applyNumberFormat="1">
      <alignment horizontal="left" readingOrder="0" shrinkToFit="0" vertical="center" wrapText="1"/>
    </xf>
    <xf borderId="19" fillId="4" fontId="8" numFmtId="164" xfId="0" applyAlignment="1" applyBorder="1" applyFill="1" applyFont="1" applyNumberFormat="1">
      <alignment horizontal="center" readingOrder="0" vertical="center"/>
    </xf>
    <xf borderId="19" fillId="4" fontId="8" numFmtId="164" xfId="0" applyAlignment="1" applyBorder="1" applyFill="1" applyFont="1" applyNumberFormat="1">
      <alignment horizontal="left" readingOrder="0" vertical="center"/>
    </xf>
    <xf borderId="20" fillId="4" fontId="8" numFmtId="164" xfId="0" applyAlignment="1" applyBorder="1" applyFill="1" applyFont="1" applyNumberFormat="1">
      <alignment horizontal="center" readingOrder="0" vertical="center"/>
    </xf>
    <xf borderId="21" fillId="4" fontId="8" numFmtId="0" xfId="0" applyAlignment="1" applyBorder="1" applyFill="1" applyFont="1">
      <alignment horizontal="left" readingOrder="0" vertical="center"/>
    </xf>
    <xf borderId="22" fillId="4" fontId="8" numFmtId="164" xfId="0" applyAlignment="1" applyBorder="1" applyFill="1" applyFont="1" applyNumberFormat="1">
      <alignment horizontal="left" readingOrder="0" shrinkToFit="0" wrapText="1"/>
    </xf>
    <xf borderId="23" fillId="4" fontId="9" numFmtId="168" xfId="0" applyAlignment="1" applyBorder="1" applyFill="1" applyFont="1" applyNumberFormat="1">
      <alignment horizontal="center" readingOrder="0" vertical="center"/>
    </xf>
    <xf borderId="24" fillId="4" fontId="10" numFmtId="167" xfId="0" applyAlignment="1" applyBorder="1" applyFill="1" applyFont="1" applyNumberFormat="1">
      <alignment horizontal="center" readingOrder="0" vertical="center"/>
    </xf>
    <xf borderId="24" fillId="4" fontId="9" numFmtId="164" xfId="0" applyAlignment="1" applyBorder="1" applyFill="1" applyFont="1" applyNumberFormat="1">
      <alignment horizontal="center" readingOrder="0" vertical="center"/>
    </xf>
    <xf borderId="25" fillId="4" fontId="9" numFmtId="164" xfId="0" applyAlignment="1" applyBorder="1" applyFill="1" applyFont="1" applyNumberFormat="1">
      <alignment horizontal="center" readingOrder="0" vertical="center"/>
    </xf>
    <xf borderId="25" fillId="4" fontId="6" numFmtId="164" xfId="0" applyAlignment="1" applyBorder="1" applyFill="1" applyFont="1" applyNumberFormat="1">
      <alignment horizontal="left" readingOrder="0" shrinkToFit="0" vertical="center" wrapText="1"/>
    </xf>
    <xf borderId="23" fillId="4" fontId="10" numFmtId="164" xfId="0" applyAlignment="1" applyBorder="1" applyFill="1" applyFont="1" applyNumberFormat="1">
      <alignment horizontal="center" readingOrder="0" vertical="center"/>
    </xf>
    <xf borderId="23" fillId="4" fontId="8" numFmtId="164" xfId="0" applyAlignment="1" applyBorder="1" applyFill="1" applyFont="1" applyNumberFormat="1">
      <alignment horizontal="left" readingOrder="0" vertical="center"/>
    </xf>
    <xf borderId="26" fillId="4" fontId="8" numFmtId="164" xfId="0" applyAlignment="1" applyBorder="1" applyFill="1" applyFont="1" applyNumberFormat="1">
      <alignment horizontal="center" readingOrder="0" vertical="center"/>
    </xf>
    <xf borderId="27" fillId="5" fontId="11" numFmtId="0" xfId="0" applyAlignment="1" applyBorder="1" applyFill="1" applyFont="1">
      <alignment horizontal="left" readingOrder="0" vertical="center"/>
    </xf>
    <xf borderId="0" fillId="5" fontId="5" numFmtId="164" xfId="0" applyAlignment="1" applyFill="1" applyFont="1" applyNumberFormat="1">
      <alignment horizontal="left" shrinkToFit="0" wrapText="1"/>
    </xf>
    <xf borderId="28" fillId="5" fontId="12" numFmtId="164" xfId="0" applyAlignment="1" applyBorder="1" applyFill="1" applyFont="1" applyNumberFormat="1">
      <alignment horizontal="left" readingOrder="0" vertical="center"/>
    </xf>
    <xf borderId="1" fillId="0" fontId="3" numFmtId="0" xfId="0" applyAlignment="1" applyBorder="1" applyFont="1">
      <alignment vertical="top"/>
    </xf>
    <xf borderId="29" fillId="5" fontId="12" numFmtId="164" xfId="0" applyAlignment="1" applyBorder="1" applyFill="1" applyFont="1" applyNumberFormat="1">
      <alignment horizontal="left" readingOrder="0" vertical="center"/>
    </xf>
    <xf borderId="1" fillId="0" fontId="3" numFmtId="0" xfId="0" applyAlignment="1" applyBorder="1" applyFont="1">
      <alignment readingOrder="0" shrinkToFit="0" vertical="top" wrapText="1"/>
    </xf>
    <xf borderId="1" fillId="0" fontId="3" numFmtId="0" xfId="0" applyAlignment="1" applyBorder="1" applyFont="1">
      <alignment horizontal="center" vertical="top"/>
    </xf>
    <xf borderId="30" fillId="5" fontId="12" numFmtId="164" xfId="0" applyAlignment="1" applyBorder="1" applyFill="1" applyFont="1" applyNumberFormat="1">
      <alignment horizontal="left" readingOrder="0" vertical="center"/>
    </xf>
    <xf borderId="30" fillId="5" fontId="6" numFmtId="164" xfId="0" applyAlignment="1" applyBorder="1" applyFill="1" applyFont="1" applyNumberFormat="1">
      <alignment horizontal="left" shrinkToFit="0" vertical="center" wrapText="1"/>
    </xf>
    <xf borderId="1" fillId="0" fontId="3" numFmtId="165" xfId="0" applyAlignment="1" applyBorder="1" applyFont="1" applyNumberFormat="1">
      <alignment vertical="top"/>
    </xf>
    <xf borderId="31" fillId="5" fontId="5" numFmtId="164" xfId="0" applyAlignment="1" applyBorder="1" applyFill="1" applyFont="1" applyNumberFormat="1">
      <alignment horizontal="center" vertical="center"/>
    </xf>
    <xf borderId="32" fillId="5" fontId="5" numFmtId="164" xfId="0" applyAlignment="1" applyBorder="1" applyFill="1" applyFont="1" applyNumberFormat="1">
      <alignment horizontal="left" vertical="center"/>
    </xf>
    <xf borderId="33" fillId="5" fontId="12" numFmtId="164" xfId="0" applyAlignment="1" applyBorder="1" applyFill="1" applyFont="1" applyNumberFormat="1">
      <alignment horizontal="center" readingOrder="0" vertical="center"/>
    </xf>
    <xf borderId="1" fillId="0" fontId="3" numFmtId="0" xfId="0" applyAlignment="1" applyBorder="1" applyFont="1">
      <alignment shrinkToFit="0" vertical="top" wrapText="1"/>
    </xf>
    <xf borderId="0" fillId="0" fontId="2" numFmtId="0" xfId="0" applyAlignment="1" applyFont="1">
      <alignment vertical="top"/>
    </xf>
    <xf borderId="34" fillId="5" fontId="11" numFmtId="0" xfId="0" applyAlignment="1" applyBorder="1" applyFill="1" applyFont="1">
      <alignment horizontal="left" readingOrder="0" vertical="center"/>
    </xf>
    <xf borderId="0" fillId="0" fontId="2" numFmtId="0" xfId="0" applyAlignment="1" applyFont="1">
      <alignment shrinkToFit="0" vertical="top" wrapText="1"/>
    </xf>
    <xf borderId="0" fillId="0" fontId="2" numFmtId="0" xfId="0" applyAlignment="1" applyFont="1">
      <alignment horizontal="center" vertical="top"/>
    </xf>
    <xf borderId="35" fillId="5" fontId="5" numFmtId="169" xfId="0" applyAlignment="1" applyBorder="1" applyFill="1" applyFont="1" applyNumberFormat="1">
      <alignment horizontal="right" readingOrder="0" shrinkToFit="0" wrapText="1"/>
    </xf>
    <xf borderId="0" fillId="0" fontId="3" numFmtId="0" xfId="0" applyAlignment="1" applyFont="1">
      <alignment readingOrder="0" vertical="top"/>
    </xf>
    <xf quotePrefix="1"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horizontal="center" readingOrder="0" vertical="top"/>
    </xf>
    <xf borderId="36" fillId="5" fontId="12" numFmtId="166" xfId="0" applyAlignment="1" applyBorder="1" applyFill="1" applyFont="1" applyNumberFormat="1">
      <alignment horizontal="center" readingOrder="0" vertical="center"/>
    </xf>
    <xf borderId="0" fillId="0" fontId="2" numFmtId="165" xfId="0" applyAlignment="1" applyFont="1" applyNumberFormat="1">
      <alignment vertical="top"/>
    </xf>
    <xf borderId="37" fillId="5" fontId="13" numFmtId="170" xfId="0" applyAlignment="1" applyBorder="1" applyFill="1" applyFont="1" applyNumberFormat="1">
      <alignment horizontal="center" readingOrder="0" vertical="center"/>
    </xf>
    <xf borderId="0" fillId="0" fontId="2" numFmtId="0" xfId="0" applyFont="1"/>
    <xf borderId="0" fillId="0" fontId="2" numFmtId="0" xfId="0" applyAlignment="1" applyFont="1">
      <alignment horizontal="center"/>
    </xf>
    <xf borderId="37" fillId="5" fontId="12" numFmtId="166" xfId="0" applyAlignment="1" applyBorder="1" applyFill="1" applyFont="1" applyNumberFormat="1">
      <alignment horizontal="center" readingOrder="0" vertical="center"/>
    </xf>
    <xf borderId="37" fillId="5" fontId="6" numFmtId="171" xfId="0" applyAlignment="1" applyBorder="1" applyFill="1" applyFont="1" applyNumberFormat="1">
      <alignment horizontal="left" readingOrder="0" shrinkToFit="0" vertical="center" wrapText="1"/>
    </xf>
    <xf borderId="37" fillId="5" fontId="12" numFmtId="171" xfId="0" applyAlignment="1" applyBorder="1" applyFill="1" applyFont="1" applyNumberFormat="1">
      <alignment horizontal="center" readingOrder="0" vertical="center"/>
    </xf>
    <xf borderId="36" fillId="5" fontId="4" numFmtId="164" xfId="0" applyAlignment="1" applyBorder="1" applyFill="1" applyFont="1" applyNumberFormat="1">
      <alignment horizontal="left" vertical="center"/>
    </xf>
    <xf borderId="0" fillId="0" fontId="3" numFmtId="0" xfId="0" applyAlignment="1" applyFont="1">
      <alignment vertical="top"/>
    </xf>
    <xf borderId="0" fillId="0" fontId="3" numFmtId="0" xfId="0" applyAlignment="1" applyFont="1">
      <alignment readingOrder="0" shrinkToFit="0" vertical="top" wrapText="1"/>
    </xf>
    <xf borderId="38" fillId="5" fontId="11" numFmtId="164" xfId="0" applyAlignment="1" applyBorder="1" applyFill="1" applyFont="1" applyNumberFormat="1">
      <alignment horizontal="center" readingOrder="0" vertical="center"/>
    </xf>
    <xf borderId="0" fillId="0" fontId="3" numFmtId="0" xfId="0" applyAlignment="1" applyFont="1">
      <alignment horizontal="center" vertical="top"/>
    </xf>
    <xf borderId="39" fillId="0" fontId="4" numFmtId="172" xfId="0" applyAlignment="1" applyBorder="1" applyFont="1" applyNumberFormat="1">
      <alignment horizontal="left" readingOrder="0" vertical="center"/>
    </xf>
    <xf borderId="0" fillId="0" fontId="3" numFmtId="165" xfId="0" applyAlignment="1" applyFont="1" applyNumberFormat="1">
      <alignment vertical="top"/>
    </xf>
    <xf borderId="30" fillId="0" fontId="5" numFmtId="164" xfId="0" applyAlignment="1" applyBorder="1" applyFont="1" applyNumberFormat="1">
      <alignment horizontal="left" readingOrder="0" shrinkToFit="0" wrapText="1"/>
    </xf>
    <xf borderId="0" fillId="0" fontId="3" numFmtId="0" xfId="0" applyAlignment="1" applyFont="1">
      <alignment shrinkToFit="0" vertical="top" wrapText="1"/>
    </xf>
    <xf borderId="32" fillId="0" fontId="5" numFmtId="164" xfId="0" applyAlignment="1" applyBorder="1" applyFont="1" applyNumberFormat="1">
      <alignment horizontal="center" readingOrder="0" vertical="center"/>
    </xf>
    <xf borderId="0" fillId="0" fontId="5" numFmtId="0" xfId="0" applyFont="1"/>
    <xf borderId="29" fillId="0" fontId="5" numFmtId="164" xfId="0" applyAlignment="1" applyBorder="1" applyFont="1" applyNumberFormat="1">
      <alignment horizontal="center" readingOrder="0" vertical="center"/>
    </xf>
    <xf borderId="0" fillId="0" fontId="5" numFmtId="0" xfId="0" applyAlignment="1" applyFont="1">
      <alignment horizontal="center"/>
    </xf>
    <xf borderId="0" fillId="0" fontId="5" numFmtId="0" xfId="0" applyAlignment="1" applyFont="1">
      <alignment horizontal="center"/>
    </xf>
    <xf borderId="0" fillId="0" fontId="5" numFmtId="164" xfId="0" applyAlignment="1" applyFont="1" applyNumberFormat="1">
      <alignment horizontal="center" readingOrder="0" vertical="center"/>
    </xf>
    <xf borderId="0" fillId="0" fontId="6" numFmtId="164" xfId="0" applyAlignment="1" applyFont="1" applyNumberFormat="1">
      <alignment horizontal="left" readingOrder="0" shrinkToFit="0" vertical="center" wrapText="1"/>
    </xf>
    <xf borderId="1" fillId="2" fontId="3" numFmtId="0" xfId="0" applyAlignment="1" applyBorder="1" applyFill="1" applyFont="1">
      <alignment readingOrder="0" shrinkToFit="0" vertical="top" wrapText="1"/>
    </xf>
    <xf borderId="0" fillId="0" fontId="5" numFmtId="0" xfId="0" applyAlignment="1" applyFont="1">
      <alignment readingOrder="0"/>
    </xf>
    <xf borderId="1" fillId="2" fontId="3" numFmtId="0" xfId="0" applyAlignment="1" applyBorder="1" applyFill="1" applyFont="1">
      <alignment horizontal="center" readingOrder="0" shrinkToFit="0" vertical="top" wrapText="1"/>
    </xf>
    <xf borderId="32" fillId="0" fontId="5" numFmtId="164" xfId="0" applyAlignment="1" applyBorder="1" applyFont="1" applyNumberFormat="1">
      <alignment horizontal="left" vertical="center"/>
    </xf>
    <xf borderId="0" fillId="0" fontId="12" numFmtId="164" xfId="0" applyAlignment="1" applyFont="1" applyNumberFormat="1">
      <alignment horizontal="center" readingOrder="0" vertical="center"/>
    </xf>
    <xf borderId="0" fillId="4" fontId="14" numFmtId="0" xfId="0" applyAlignment="1" applyFill="1" applyFont="1">
      <alignment horizontal="right" readingOrder="0"/>
    </xf>
    <xf borderId="0" fillId="4" fontId="14" numFmtId="173" xfId="0" applyAlignment="1" applyFill="1" applyFont="1" applyNumberFormat="1">
      <alignment horizontal="right" readingOrder="0"/>
    </xf>
    <xf borderId="0" fillId="4" fontId="14" numFmtId="0" xfId="0" applyAlignment="1" applyFill="1" applyFont="1">
      <alignment horizontal="center"/>
    </xf>
    <xf borderId="0" fillId="0" fontId="11" numFmtId="0" xfId="0" applyAlignment="1" applyFont="1">
      <alignment horizontal="right"/>
    </xf>
    <xf borderId="14" fillId="4" fontId="14" numFmtId="0" xfId="0" applyAlignment="1" applyBorder="1" applyFill="1" applyFont="1">
      <alignment horizontal="right" readingOrder="0"/>
    </xf>
    <xf borderId="0" fillId="0" fontId="15" numFmtId="174" xfId="0" applyAlignment="1" applyFont="1" applyNumberFormat="1">
      <alignment horizontal="left" readingOrder="0" shrinkToFit="0" wrapText="1"/>
    </xf>
    <xf borderId="20" fillId="4" fontId="14" numFmtId="0" xfId="0" applyAlignment="1" applyBorder="1" applyFill="1" applyFont="1">
      <alignment readingOrder="0"/>
    </xf>
    <xf borderId="0" fillId="0" fontId="11" numFmtId="0" xfId="0" applyAlignment="1" applyFont="1">
      <alignment horizontal="center" readingOrder="0" shrinkToFit="0" wrapText="1"/>
    </xf>
    <xf borderId="1" fillId="0" fontId="2" numFmtId="0" xfId="0" applyAlignment="1" applyBorder="1" applyFont="1">
      <alignment shrinkToFit="0" vertical="top" wrapText="1"/>
    </xf>
    <xf borderId="0" fillId="0" fontId="2" numFmtId="0" xfId="0" applyAlignment="1" applyFont="1">
      <alignment horizontal="right" readingOrder="0"/>
    </xf>
    <xf borderId="0" fillId="0" fontId="16" numFmtId="174" xfId="0" applyAlignment="1" applyFont="1" applyNumberFormat="1">
      <alignment horizontal="left" readingOrder="0" shrinkToFit="0" wrapText="1"/>
    </xf>
    <xf borderId="0" fillId="0" fontId="12" numFmtId="0" xfId="0" applyAlignment="1" applyFont="1">
      <alignment horizontal="center" readingOrder="0" shrinkToFit="0" wrapText="1"/>
    </xf>
    <xf borderId="0" fillId="0" fontId="2" numFmtId="0" xfId="0" applyAlignment="1" applyFont="1">
      <alignment horizontal="right"/>
    </xf>
    <xf borderId="0" fillId="0" fontId="3" numFmtId="0" xfId="0" applyAlignment="1" applyFont="1">
      <alignment horizontal="right" readingOrder="0"/>
    </xf>
    <xf borderId="0" fillId="0" fontId="17" numFmtId="168" xfId="0" applyAlignment="1" applyFont="1" applyNumberFormat="1">
      <alignment horizontal="right"/>
    </xf>
    <xf borderId="32" fillId="0" fontId="5" numFmtId="164" xfId="0" applyAlignment="1" applyBorder="1" applyFont="1" applyNumberFormat="1">
      <alignment horizontal="left" readingOrder="0" vertical="center"/>
    </xf>
    <xf borderId="0" fillId="0" fontId="17" numFmtId="175" xfId="0" applyAlignment="1" applyFont="1" applyNumberFormat="1">
      <alignment horizontal="left"/>
    </xf>
    <xf borderId="0" fillId="0" fontId="2" numFmtId="176" xfId="0" applyAlignment="1" applyFont="1" applyNumberFormat="1">
      <alignment horizontal="center"/>
    </xf>
    <xf borderId="1" fillId="0" fontId="2" numFmtId="0" xfId="0" applyAlignment="1" applyBorder="1" applyFont="1">
      <alignment readingOrder="0" shrinkToFit="0" vertical="top" wrapText="1"/>
    </xf>
    <xf borderId="0" fillId="0" fontId="2" numFmtId="166" xfId="0" applyAlignment="1" applyFont="1" applyNumberFormat="1">
      <alignment horizontal="center"/>
    </xf>
    <xf borderId="14" fillId="0" fontId="18" numFmtId="168" xfId="0" applyAlignment="1" applyBorder="1" applyFont="1" applyNumberFormat="1">
      <alignment horizontal="right"/>
    </xf>
    <xf borderId="20" fillId="0" fontId="18" numFmtId="175" xfId="0" applyAlignment="1" applyBorder="1" applyFont="1" applyNumberFormat="1">
      <alignment horizontal="left"/>
    </xf>
    <xf borderId="0" fillId="0" fontId="3" numFmtId="173" xfId="0" applyAlignment="1" applyFont="1" applyNumberFormat="1">
      <alignment horizontal="right" readingOrder="0"/>
    </xf>
    <xf borderId="0" fillId="0" fontId="2" numFmtId="177" xfId="0" applyAlignment="1" applyFont="1" applyNumberFormat="1">
      <alignment horizontal="center"/>
    </xf>
    <xf borderId="32" fillId="0" fontId="19" numFmtId="164" xfId="0" applyAlignment="1" applyBorder="1" applyFont="1" applyNumberFormat="1">
      <alignment horizontal="left" vertical="center"/>
    </xf>
    <xf borderId="0" fillId="0" fontId="19" numFmtId="164" xfId="0" applyAlignment="1" applyFont="1" applyNumberFormat="1">
      <alignment horizontal="center" readingOrder="0" vertical="center"/>
    </xf>
    <xf borderId="34" fillId="0" fontId="18" numFmtId="177" xfId="0" applyAlignment="1" applyBorder="1" applyFont="1" applyNumberFormat="1">
      <alignment horizontal="right"/>
    </xf>
    <xf borderId="38" fillId="0" fontId="18" numFmtId="175" xfId="0" applyAlignment="1" applyBorder="1" applyFont="1" applyNumberFormat="1">
      <alignment horizontal="left"/>
    </xf>
    <xf borderId="0" fillId="0" fontId="2" numFmtId="173" xfId="0" applyFont="1" applyNumberFormat="1"/>
    <xf borderId="0" fillId="0" fontId="2" numFmtId="178" xfId="0" applyAlignment="1" applyFont="1" applyNumberFormat="1">
      <alignment horizontal="center"/>
    </xf>
    <xf borderId="0" fillId="0" fontId="2" numFmtId="173" xfId="0" applyAlignment="1" applyFont="1" applyNumberFormat="1">
      <alignment horizontal="left" readingOrder="0"/>
    </xf>
    <xf borderId="0" fillId="0" fontId="2" numFmtId="0" xfId="0" applyAlignment="1" applyFont="1">
      <alignment horizontal="left" readingOrder="0"/>
    </xf>
    <xf borderId="39" fillId="0" fontId="11" numFmtId="0" xfId="0" applyAlignment="1" applyBorder="1" applyFont="1">
      <alignment horizontal="left" readingOrder="0" vertical="center"/>
    </xf>
    <xf borderId="30" fillId="0" fontId="5" numFmtId="164" xfId="0" applyAlignment="1" applyBorder="1" applyFont="1" applyNumberFormat="1">
      <alignment horizontal="left" shrinkToFit="0" wrapText="1"/>
    </xf>
    <xf borderId="32" fillId="0" fontId="12" numFmtId="164" xfId="0" applyAlignment="1" applyBorder="1" applyFont="1" applyNumberFormat="1">
      <alignment horizontal="center" readingOrder="0" vertical="center"/>
    </xf>
    <xf borderId="29" fillId="0" fontId="12" numFmtId="164" xfId="0" applyAlignment="1" applyBorder="1" applyFont="1" applyNumberFormat="1">
      <alignment horizontal="center" readingOrder="0" vertical="center"/>
    </xf>
    <xf borderId="30" fillId="0" fontId="12" numFmtId="164" xfId="0" applyAlignment="1" applyBorder="1" applyFont="1" applyNumberFormat="1">
      <alignment horizontal="center" readingOrder="0" vertical="center"/>
    </xf>
    <xf borderId="30" fillId="0" fontId="6" numFmtId="164" xfId="0" applyAlignment="1" applyBorder="1" applyFont="1" applyNumberFormat="1">
      <alignment horizontal="left" shrinkToFit="0" vertical="center" wrapText="1"/>
    </xf>
    <xf borderId="31" fillId="0" fontId="5" numFmtId="164" xfId="0" applyAlignment="1" applyBorder="1" applyFont="1" applyNumberFormat="1">
      <alignment horizontal="center" vertical="center"/>
    </xf>
    <xf borderId="32" fillId="0" fontId="4" numFmtId="164" xfId="0" applyAlignment="1" applyBorder="1" applyFont="1" applyNumberFormat="1">
      <alignment horizontal="left" vertical="center"/>
    </xf>
    <xf borderId="0" fillId="0" fontId="11" numFmtId="164" xfId="0" applyAlignment="1" applyFont="1" applyNumberFormat="1">
      <alignment horizontal="center" readingOrder="0" vertical="center"/>
    </xf>
    <xf borderId="14" fillId="5" fontId="11" numFmtId="0" xfId="0" applyAlignment="1" applyBorder="1" applyFill="1" applyFont="1">
      <alignment horizontal="left" readingOrder="0" vertical="center"/>
    </xf>
    <xf borderId="18" fillId="5" fontId="5" numFmtId="164" xfId="0" applyAlignment="1" applyBorder="1" applyFill="1" applyFont="1" applyNumberFormat="1">
      <alignment horizontal="left" shrinkToFit="0" wrapText="1"/>
    </xf>
    <xf borderId="40" fillId="5" fontId="12" numFmtId="164" xfId="0" applyAlignment="1" applyBorder="1" applyFill="1" applyFont="1" applyNumberFormat="1">
      <alignment horizontal="left" readingOrder="0" vertical="center"/>
    </xf>
    <xf borderId="17" fillId="5" fontId="12" numFmtId="164" xfId="0" applyAlignment="1" applyBorder="1" applyFill="1" applyFont="1" applyNumberFormat="1">
      <alignment horizontal="left" readingOrder="0" vertical="center"/>
    </xf>
    <xf borderId="15" fillId="5" fontId="12" numFmtId="164" xfId="0" applyAlignment="1" applyBorder="1" applyFill="1" applyFont="1" applyNumberFormat="1">
      <alignment horizontal="left" readingOrder="0" vertical="center"/>
    </xf>
    <xf borderId="15" fillId="5" fontId="6" numFmtId="164" xfId="0" applyAlignment="1" applyBorder="1" applyFill="1" applyFont="1" applyNumberFormat="1">
      <alignment horizontal="left" shrinkToFit="0" vertical="center" wrapText="1"/>
    </xf>
    <xf borderId="41" fillId="5" fontId="5" numFmtId="164" xfId="0" applyAlignment="1" applyBorder="1" applyFill="1" applyFont="1" applyNumberFormat="1">
      <alignment horizontal="center" vertical="center"/>
    </xf>
    <xf borderId="19" fillId="5" fontId="5" numFmtId="164" xfId="0" applyAlignment="1" applyBorder="1" applyFill="1" applyFont="1" applyNumberFormat="1">
      <alignment horizontal="left" vertical="center"/>
    </xf>
    <xf borderId="20" fillId="5" fontId="12" numFmtId="164" xfId="0" applyAlignment="1" applyBorder="1" applyFill="1" applyFont="1" applyNumberFormat="1">
      <alignment horizontal="center" readingOrder="0" vertical="center"/>
    </xf>
    <xf borderId="0" fillId="0" fontId="5" numFmtId="173" xfId="0" applyFont="1" applyNumberFormat="1"/>
    <xf borderId="0" fillId="0" fontId="4" numFmtId="0" xfId="0" applyAlignment="1" applyFont="1">
      <alignment readingOrder="0"/>
    </xf>
    <xf borderId="0" fillId="0" fontId="5" numFmtId="0" xfId="0" applyAlignment="1" applyFont="1">
      <alignment readingOrder="0"/>
    </xf>
    <xf borderId="39" fillId="0" fontId="4" numFmtId="3" xfId="0" applyAlignment="1" applyBorder="1" applyFont="1" applyNumberFormat="1">
      <alignment horizontal="left" readingOrder="0" vertical="center"/>
    </xf>
    <xf borderId="0" fillId="0" fontId="5" numFmtId="0" xfId="0" applyFont="1"/>
    <xf borderId="0" fillId="0" fontId="11" numFmtId="0" xfId="0" applyAlignment="1" applyFont="1">
      <alignment readingOrder="0" shrinkToFit="0" wrapText="1"/>
    </xf>
    <xf borderId="0" fillId="0" fontId="11" numFmtId="174" xfId="0" applyAlignment="1" applyFont="1" applyNumberFormat="1">
      <alignment horizontal="left" readingOrder="0" shrinkToFit="0" wrapText="1"/>
    </xf>
    <xf borderId="0" fillId="0" fontId="12" numFmtId="0" xfId="0" applyAlignment="1" applyFont="1">
      <alignment readingOrder="0" shrinkToFit="0" wrapText="1"/>
    </xf>
    <xf borderId="0" fillId="0" fontId="12" numFmtId="174" xfId="0" applyAlignment="1" applyFont="1" applyNumberFormat="1">
      <alignment horizontal="left" readingOrder="0" shrinkToFit="0" wrapText="1"/>
    </xf>
    <xf borderId="0" fillId="0" fontId="12" numFmtId="178" xfId="0" applyAlignment="1" applyFont="1" applyNumberFormat="1">
      <alignment readingOrder="0" shrinkToFit="0" wrapText="1"/>
    </xf>
    <xf borderId="0" fillId="0" fontId="2" numFmtId="0" xfId="0" applyAlignment="1" applyFont="1">
      <alignment horizontal="center" readingOrder="0"/>
    </xf>
    <xf borderId="0" fillId="0" fontId="3" numFmtId="0" xfId="0" applyAlignment="1" applyFont="1">
      <alignment horizontal="right"/>
    </xf>
    <xf borderId="0" fillId="0" fontId="3" numFmtId="0" xfId="0" applyAlignment="1" applyFont="1">
      <alignment horizontal="right"/>
    </xf>
    <xf borderId="0" fillId="0" fontId="3" numFmtId="164" xfId="0" applyAlignment="1" applyFont="1" applyNumberFormat="1">
      <alignment readingOrder="0"/>
    </xf>
    <xf borderId="0" fillId="0" fontId="20" numFmtId="174" xfId="0" applyAlignment="1" applyFont="1" applyNumberFormat="1">
      <alignment horizontal="left" readingOrder="0" shrinkToFit="0" wrapText="1"/>
    </xf>
    <xf borderId="0" fillId="0" fontId="2" numFmtId="164" xfId="0" applyFont="1" applyNumberFormat="1"/>
    <xf borderId="42" fillId="0" fontId="2" numFmtId="0" xfId="0" applyAlignment="1" applyBorder="1" applyFont="1">
      <alignment horizontal="right" readingOrder="0"/>
    </xf>
    <xf borderId="43" fillId="0" fontId="2" numFmtId="164" xfId="0" applyAlignment="1" applyBorder="1" applyFont="1" applyNumberFormat="1">
      <alignment horizontal="center" readingOrder="0"/>
    </xf>
    <xf borderId="0" fillId="0" fontId="2" numFmtId="164" xfId="0" applyAlignment="1" applyFont="1" applyNumberFormat="1">
      <alignment readingOrder="0"/>
    </xf>
    <xf borderId="0" fillId="0" fontId="0" numFmtId="174" xfId="0" applyAlignment="1" applyFont="1" applyNumberFormat="1">
      <alignment horizontal="left" readingOrder="0" shrinkToFit="0" wrapText="1"/>
    </xf>
    <xf borderId="0" fillId="0" fontId="2" numFmtId="174" xfId="0" applyAlignment="1" applyFont="1" applyNumberFormat="1">
      <alignment horizontal="center"/>
    </xf>
    <xf borderId="0" fillId="0" fontId="3" numFmtId="0" xfId="0" applyAlignment="1" applyFont="1">
      <alignment horizontal="center" readingOrder="0"/>
    </xf>
    <xf borderId="0" fillId="0" fontId="5" numFmtId="179" xfId="0" applyFont="1" applyNumberFormat="1"/>
    <xf borderId="0" fillId="0" fontId="5" numFmtId="4" xfId="0" applyFont="1" applyNumberFormat="1"/>
    <xf borderId="0" fillId="0" fontId="2" numFmtId="164" xfId="0" applyAlignment="1" applyFont="1" applyNumberFormat="1">
      <alignment readingOrder="0"/>
    </xf>
    <xf borderId="18" fillId="0" fontId="2" numFmtId="174" xfId="0" applyAlignment="1" applyBorder="1" applyFont="1" applyNumberFormat="1">
      <alignment horizontal="center"/>
    </xf>
    <xf borderId="0" fillId="0" fontId="3" numFmtId="164" xfId="0" applyAlignment="1" applyFont="1" applyNumberFormat="1">
      <alignment horizontal="center" readingOrder="0"/>
    </xf>
    <xf borderId="0" fillId="4" fontId="14" numFmtId="0" xfId="0" applyAlignment="1" applyFill="1" applyFont="1">
      <alignment horizontal="center" readingOrder="0"/>
    </xf>
    <xf borderId="44" fillId="0" fontId="3" numFmtId="0" xfId="0" applyAlignment="1" applyBorder="1" applyFont="1">
      <alignment horizontal="center"/>
    </xf>
    <xf borderId="33" fillId="0" fontId="3" numFmtId="0" xfId="0" applyAlignment="1" applyBorder="1" applyFont="1">
      <alignment horizontal="center" readingOrder="0"/>
    </xf>
    <xf borderId="0" fillId="0" fontId="3" numFmtId="0" xfId="0" applyAlignment="1" applyFont="1">
      <alignment readingOrder="0"/>
    </xf>
    <xf borderId="33" fillId="0" fontId="2" numFmtId="0" xfId="0" applyAlignment="1" applyBorder="1" applyFont="1">
      <alignment horizontal="right" readingOrder="0"/>
    </xf>
    <xf borderId="45" fillId="0" fontId="2" numFmtId="0" xfId="0" applyAlignment="1" applyBorder="1" applyFont="1">
      <alignment horizontal="left" readingOrder="0"/>
    </xf>
    <xf borderId="45" fillId="6" fontId="2" numFmtId="0" xfId="0" applyAlignment="1" applyBorder="1" applyFill="1" applyFont="1">
      <alignment horizontal="left" readingOrder="0"/>
    </xf>
    <xf borderId="33" fillId="0" fontId="3" numFmtId="0" xfId="0" applyAlignment="1" applyBorder="1" applyFont="1">
      <alignment horizontal="right" readingOrder="0"/>
    </xf>
    <xf borderId="45" fillId="0" fontId="3" numFmtId="0" xfId="0" applyAlignment="1" applyBorder="1" applyFont="1">
      <alignment horizontal="center" readingOrder="0"/>
    </xf>
    <xf borderId="33" fillId="0" fontId="2" numFmtId="179" xfId="0" applyAlignment="1" applyBorder="1" applyFont="1" applyNumberFormat="1">
      <alignment horizontal="right" readingOrder="0"/>
    </xf>
    <xf borderId="45" fillId="0" fontId="2" numFmtId="180" xfId="0" applyAlignment="1" applyBorder="1" applyFont="1" applyNumberFormat="1">
      <alignment horizontal="center" readingOrder="0"/>
    </xf>
    <xf borderId="45" fillId="0" fontId="2" numFmtId="181" xfId="0" applyAlignment="1" applyBorder="1" applyFont="1" applyNumberFormat="1">
      <alignment horizontal="center"/>
    </xf>
    <xf borderId="0" fillId="0" fontId="2" numFmtId="182" xfId="0" applyAlignment="1" applyFont="1" applyNumberFormat="1">
      <alignment readingOrder="0"/>
    </xf>
    <xf borderId="45" fillId="0" fontId="2" numFmtId="183" xfId="0" applyAlignment="1" applyBorder="1" applyFont="1" applyNumberFormat="1">
      <alignment horizontal="center" readingOrder="0"/>
    </xf>
    <xf borderId="0" fillId="0" fontId="2" numFmtId="184" xfId="0" applyAlignment="1" applyFont="1" applyNumberFormat="1">
      <alignment horizontal="right" readingOrder="0"/>
    </xf>
    <xf borderId="0" fillId="0" fontId="2" numFmtId="182" xfId="0" applyFont="1" applyNumberFormat="1"/>
    <xf borderId="17" fillId="5" fontId="6" numFmtId="164" xfId="0" applyAlignment="1" applyBorder="1" applyFill="1" applyFont="1" applyNumberFormat="1">
      <alignment horizontal="left" readingOrder="0" shrinkToFit="0" vertical="center" wrapText="1"/>
    </xf>
    <xf borderId="39" fillId="0" fontId="12" numFmtId="0" xfId="0" applyAlignment="1" applyBorder="1" applyFont="1">
      <alignment horizontal="left" readingOrder="0" vertical="center"/>
    </xf>
    <xf borderId="0" fillId="0" fontId="3" numFmtId="164" xfId="0" applyAlignment="1" applyFont="1" applyNumberFormat="1">
      <alignment horizontal="left" readingOrder="0"/>
    </xf>
    <xf borderId="0" fillId="0" fontId="5" numFmtId="164" xfId="0" applyFont="1" applyNumberFormat="1"/>
    <xf borderId="0" fillId="0" fontId="2" numFmtId="164" xfId="0" applyAlignment="1" applyFont="1" applyNumberFormat="1">
      <alignment horizontal="left" readingOrder="0"/>
    </xf>
    <xf borderId="0" fillId="0" fontId="5" numFmtId="164" xfId="0" applyAlignment="1" applyFont="1" applyNumberFormat="1">
      <alignment horizontal="center"/>
    </xf>
    <xf borderId="0" fillId="0" fontId="5" numFmtId="168" xfId="0" applyFont="1" applyNumberFormat="1"/>
    <xf borderId="30" fillId="0" fontId="6" numFmtId="164" xfId="0" applyAlignment="1" applyBorder="1" applyFont="1" applyNumberFormat="1">
      <alignment horizontal="left" readingOrder="0" shrinkToFit="0" vertical="center" wrapText="1"/>
    </xf>
    <xf borderId="44" fillId="0" fontId="2" numFmtId="182" xfId="0" applyBorder="1" applyFont="1" applyNumberFormat="1"/>
    <xf borderId="31" fillId="0" fontId="5" numFmtId="164" xfId="0" applyAlignment="1" applyBorder="1" applyFont="1" applyNumberFormat="1">
      <alignment horizontal="center" readingOrder="0" vertical="center"/>
    </xf>
    <xf borderId="0" fillId="0" fontId="5" numFmtId="164" xfId="0" applyAlignment="1" applyFont="1" applyNumberFormat="1">
      <alignment readingOrder="0"/>
    </xf>
    <xf borderId="0" fillId="0" fontId="2" numFmtId="10" xfId="0" applyAlignment="1" applyFont="1" applyNumberFormat="1">
      <alignment horizontal="center"/>
    </xf>
    <xf borderId="0" fillId="0" fontId="5" numFmtId="182" xfId="0" applyAlignment="1" applyFont="1" applyNumberFormat="1">
      <alignment readingOrder="0"/>
    </xf>
    <xf borderId="0" fillId="0" fontId="3" numFmtId="179" xfId="0" applyAlignment="1" applyFont="1" applyNumberFormat="1">
      <alignment horizontal="right"/>
    </xf>
    <xf borderId="0" fillId="0" fontId="21" numFmtId="0" xfId="0" applyAlignment="1" applyFont="1">
      <alignment horizontal="center" readingOrder="0"/>
    </xf>
    <xf borderId="27" fillId="0" fontId="3" numFmtId="0" xfId="0" applyAlignment="1" applyBorder="1" applyFont="1">
      <alignment horizontal="center" readingOrder="0"/>
    </xf>
    <xf borderId="45" fillId="0" fontId="2" numFmtId="185" xfId="0" applyAlignment="1" applyBorder="1" applyFont="1" applyNumberFormat="1">
      <alignment horizontal="center" readingOrder="0"/>
    </xf>
    <xf borderId="45" fillId="0" fontId="2" numFmtId="186" xfId="0" applyAlignment="1" applyBorder="1" applyFont="1" applyNumberFormat="1">
      <alignment horizontal="center"/>
    </xf>
    <xf borderId="0" fillId="0" fontId="5" numFmtId="184" xfId="0" applyFont="1" applyNumberFormat="1"/>
    <xf borderId="27" fillId="0" fontId="2" numFmtId="183" xfId="0" applyAlignment="1" applyBorder="1" applyFont="1" applyNumberFormat="1">
      <alignment horizontal="center" readingOrder="0"/>
    </xf>
    <xf borderId="0" fillId="0" fontId="2" numFmtId="179" xfId="0" applyAlignment="1" applyFont="1" applyNumberFormat="1">
      <alignment horizontal="right" readingOrder="0"/>
    </xf>
    <xf borderId="0" fillId="0" fontId="21" numFmtId="180" xfId="0" applyAlignment="1" applyFont="1" applyNumberFormat="1">
      <alignment horizontal="left" readingOrder="0"/>
    </xf>
    <xf borderId="0" fillId="0" fontId="2" numFmtId="181" xfId="0" applyAlignment="1" applyFont="1" applyNumberFormat="1">
      <alignment horizontal="center"/>
    </xf>
    <xf borderId="0" fillId="0" fontId="5" numFmtId="182" xfId="0" applyFont="1" applyNumberFormat="1"/>
    <xf borderId="0" fillId="0" fontId="2" numFmtId="183" xfId="0" applyAlignment="1" applyFont="1" applyNumberFormat="1">
      <alignment horizontal="center" readingOrder="0"/>
    </xf>
    <xf borderId="0" fillId="0" fontId="2" numFmtId="180" xfId="0" applyAlignment="1" applyFont="1" applyNumberFormat="1">
      <alignment horizontal="center" readingOrder="0"/>
    </xf>
    <xf borderId="0" fillId="0" fontId="4" numFmtId="182" xfId="0" applyAlignment="1" applyFont="1" applyNumberFormat="1">
      <alignment horizontal="center" readingOrder="0"/>
    </xf>
    <xf borderId="33" fillId="0" fontId="2" numFmtId="4" xfId="0" applyAlignment="1" applyBorder="1" applyFont="1" applyNumberFormat="1">
      <alignment horizontal="right" readingOrder="0"/>
    </xf>
    <xf borderId="45" fillId="0" fontId="2" numFmtId="4" xfId="0" applyAlignment="1" applyBorder="1" applyFont="1" applyNumberFormat="1">
      <alignment horizontal="center" readingOrder="0"/>
    </xf>
    <xf borderId="39" fillId="7" fontId="11" numFmtId="0" xfId="0" applyAlignment="1" applyBorder="1" applyFill="1" applyFont="1">
      <alignment horizontal="left" readingOrder="0" vertical="center"/>
    </xf>
    <xf borderId="0" fillId="0" fontId="4" numFmtId="164" xfId="0" applyAlignment="1" applyFont="1" applyNumberFormat="1">
      <alignment horizontal="center"/>
    </xf>
    <xf borderId="30" fillId="7" fontId="5" numFmtId="164" xfId="0" applyAlignment="1" applyBorder="1" applyFill="1" applyFont="1" applyNumberFormat="1">
      <alignment horizontal="left" readingOrder="0" shrinkToFit="0" wrapText="1"/>
    </xf>
    <xf borderId="32" fillId="7" fontId="12" numFmtId="164" xfId="0" applyAlignment="1" applyBorder="1" applyFill="1" applyFont="1" applyNumberFormat="1">
      <alignment horizontal="center" readingOrder="0" vertical="center"/>
    </xf>
    <xf borderId="29" fillId="7" fontId="12" numFmtId="164" xfId="0" applyAlignment="1" applyBorder="1" applyFill="1" applyFont="1" applyNumberFormat="1">
      <alignment horizontal="center" readingOrder="0" vertical="center"/>
    </xf>
    <xf borderId="46" fillId="0" fontId="3" numFmtId="0" xfId="0" applyAlignment="1" applyBorder="1" applyFont="1">
      <alignment horizontal="right"/>
    </xf>
    <xf borderId="0" fillId="0" fontId="5" numFmtId="164" xfId="0" applyAlignment="1" applyFont="1" applyNumberFormat="1">
      <alignment horizontal="center" readingOrder="0"/>
    </xf>
    <xf borderId="46" fillId="0" fontId="2" numFmtId="0" xfId="0" applyAlignment="1" applyBorder="1" applyFont="1">
      <alignment horizontal="center"/>
    </xf>
    <xf borderId="30" fillId="7" fontId="12" numFmtId="164" xfId="0" applyAlignment="1" applyBorder="1" applyFill="1" applyFont="1" applyNumberFormat="1">
      <alignment horizontal="center" readingOrder="0" vertical="center"/>
    </xf>
    <xf borderId="46" fillId="0" fontId="2" numFmtId="0" xfId="0" applyBorder="1" applyFont="1"/>
    <xf borderId="30" fillId="7" fontId="6" numFmtId="164" xfId="0" applyAlignment="1" applyBorder="1" applyFill="1" applyFont="1" applyNumberFormat="1">
      <alignment horizontal="left" readingOrder="0" shrinkToFit="0" vertical="center" wrapText="1"/>
    </xf>
    <xf borderId="31" fillId="7" fontId="5" numFmtId="164" xfId="0" applyAlignment="1" applyBorder="1" applyFill="1" applyFont="1" applyNumberFormat="1">
      <alignment horizontal="center" readingOrder="0" vertical="center"/>
    </xf>
    <xf borderId="32" fillId="7" fontId="5" numFmtId="164" xfId="0" applyAlignment="1" applyBorder="1" applyFill="1" applyFont="1" applyNumberFormat="1">
      <alignment horizontal="left" readingOrder="0" vertical="center"/>
    </xf>
    <xf borderId="0" fillId="7" fontId="12" numFmtId="164" xfId="0" applyAlignment="1" applyFill="1" applyFont="1" applyNumberFormat="1">
      <alignment horizontal="center" readingOrder="0" vertical="center"/>
    </xf>
    <xf borderId="30" fillId="7" fontId="6" numFmtId="164" xfId="0" applyAlignment="1" applyBorder="1" applyFill="1" applyFont="1" applyNumberFormat="1">
      <alignment horizontal="left" shrinkToFit="0" vertical="center" wrapText="1"/>
    </xf>
    <xf borderId="31" fillId="7" fontId="5" numFmtId="164" xfId="0" applyAlignment="1" applyBorder="1" applyFill="1" applyFont="1" applyNumberFormat="1">
      <alignment horizontal="center" vertical="center"/>
    </xf>
    <xf borderId="0" fillId="0" fontId="11" numFmtId="0" xfId="0" applyAlignment="1" applyFont="1">
      <alignment horizontal="left" readingOrder="0" vertical="center"/>
    </xf>
    <xf borderId="0" fillId="0" fontId="12" numFmtId="164" xfId="0" applyAlignment="1" applyFont="1" applyNumberFormat="1">
      <alignment horizontal="right" readingOrder="0" vertical="center"/>
    </xf>
    <xf borderId="0" fillId="0" fontId="4" numFmtId="168" xfId="0" applyAlignment="1" applyFont="1" applyNumberFormat="1">
      <alignment horizontal="left" readingOrder="0" shrinkToFit="0" wrapText="1"/>
    </xf>
    <xf borderId="0" fillId="0" fontId="11" numFmtId="164" xfId="0" applyAlignment="1" applyFont="1" applyNumberFormat="1">
      <alignment horizontal="left" vertical="center"/>
    </xf>
    <xf borderId="0" fillId="0" fontId="5" numFmtId="182" xfId="0" applyAlignment="1" applyFont="1" applyNumberFormat="1">
      <alignment horizontal="center"/>
    </xf>
    <xf borderId="0" fillId="0" fontId="11" numFmtId="168" xfId="0" applyAlignment="1" applyFont="1" applyNumberFormat="1">
      <alignment horizontal="center" readingOrder="0" vertical="center"/>
    </xf>
    <xf borderId="0" fillId="0" fontId="11" numFmtId="164" xfId="0" applyAlignment="1" applyFont="1" applyNumberFormat="1">
      <alignment horizontal="left" readingOrder="0" vertical="center"/>
    </xf>
    <xf borderId="0" fillId="0" fontId="4" numFmtId="164" xfId="0" applyAlignment="1" applyFont="1" applyNumberFormat="1">
      <alignment horizontal="center" vertical="center"/>
    </xf>
    <xf borderId="0" fillId="0" fontId="4" numFmtId="164" xfId="0" applyAlignment="1" applyFont="1" applyNumberFormat="1">
      <alignment horizontal="left" vertical="center"/>
    </xf>
    <xf borderId="39" fillId="8" fontId="11" numFmtId="0" xfId="0" applyAlignment="1" applyBorder="1" applyFill="1" applyFont="1">
      <alignment horizontal="left" readingOrder="0" vertical="center"/>
    </xf>
    <xf borderId="0" fillId="0" fontId="3" numFmtId="0" xfId="0" applyFont="1"/>
    <xf borderId="30" fillId="8" fontId="5" numFmtId="164" xfId="0" applyAlignment="1" applyBorder="1" applyFill="1" applyFont="1" applyNumberFormat="1">
      <alignment horizontal="left" readingOrder="0" shrinkToFit="0" wrapText="1"/>
    </xf>
    <xf borderId="32" fillId="8" fontId="12" numFmtId="164" xfId="0" applyAlignment="1" applyBorder="1" applyFill="1" applyFont="1" applyNumberFormat="1">
      <alignment horizontal="center" readingOrder="0" vertical="center"/>
    </xf>
    <xf borderId="29" fillId="8" fontId="12" numFmtId="164" xfId="0" applyAlignment="1" applyBorder="1" applyFill="1" applyFont="1" applyNumberFormat="1">
      <alignment horizontal="center" readingOrder="0" vertical="center"/>
    </xf>
    <xf borderId="29" fillId="8" fontId="5" numFmtId="164" xfId="0" applyAlignment="1" applyBorder="1" applyFill="1" applyFont="1" applyNumberFormat="1">
      <alignment horizontal="center" readingOrder="0" vertical="center"/>
    </xf>
    <xf borderId="30" fillId="8" fontId="5" numFmtId="164" xfId="0" applyAlignment="1" applyBorder="1" applyFill="1" applyFont="1" applyNumberFormat="1">
      <alignment horizontal="center" readingOrder="0" vertical="center"/>
    </xf>
    <xf borderId="30" fillId="8" fontId="6" numFmtId="164" xfId="0" applyAlignment="1" applyBorder="1" applyFill="1" applyFont="1" applyNumberFormat="1">
      <alignment horizontal="left" shrinkToFit="0" vertical="center" wrapText="1"/>
    </xf>
    <xf quotePrefix="1" borderId="0" fillId="5" fontId="11" numFmtId="0" xfId="0" applyAlignment="1" applyFill="1" applyFont="1">
      <alignment horizontal="left" readingOrder="0" vertical="center"/>
    </xf>
    <xf borderId="31" fillId="8" fontId="5" numFmtId="164" xfId="0" applyAlignment="1" applyBorder="1" applyFill="1" applyFont="1" applyNumberFormat="1">
      <alignment horizontal="center" vertical="center"/>
    </xf>
    <xf borderId="0" fillId="5" fontId="11" numFmtId="164" xfId="0" applyAlignment="1" applyFill="1" applyFont="1" applyNumberFormat="1">
      <alignment horizontal="left" readingOrder="0" vertical="center"/>
    </xf>
    <xf borderId="32" fillId="8" fontId="5" numFmtId="164" xfId="0" applyAlignment="1" applyBorder="1" applyFill="1" applyFont="1" applyNumberFormat="1">
      <alignment horizontal="left" vertical="center"/>
    </xf>
    <xf borderId="0" fillId="5" fontId="4" numFmtId="168" xfId="0" applyAlignment="1" applyFill="1" applyFont="1" applyNumberFormat="1">
      <alignment horizontal="left" readingOrder="0" shrinkToFit="0" wrapText="1"/>
    </xf>
    <xf borderId="0" fillId="8" fontId="12" numFmtId="164" xfId="0" applyAlignment="1" applyFill="1" applyFont="1" applyNumberFormat="1">
      <alignment horizontal="center" readingOrder="0" vertical="center"/>
    </xf>
    <xf borderId="0" fillId="5" fontId="11" numFmtId="164" xfId="0" applyAlignment="1" applyFill="1" applyFont="1" applyNumberFormat="1">
      <alignment horizontal="center" readingOrder="0" vertical="center"/>
    </xf>
    <xf borderId="0" fillId="5" fontId="11" numFmtId="164" xfId="0" applyAlignment="1" applyFill="1" applyFont="1" applyNumberFormat="1">
      <alignment horizontal="left" vertical="center"/>
    </xf>
    <xf borderId="30" fillId="8" fontId="12" numFmtId="164" xfId="0" applyAlignment="1" applyBorder="1" applyFill="1" applyFont="1" applyNumberFormat="1">
      <alignment horizontal="center" readingOrder="0" vertical="center"/>
    </xf>
    <xf quotePrefix="1" borderId="0" fillId="0" fontId="12" numFmtId="0" xfId="0" applyAlignment="1" applyFont="1">
      <alignment horizontal="left" readingOrder="0" vertical="center"/>
    </xf>
    <xf borderId="0" fillId="0" fontId="12" numFmtId="164" xfId="0" applyAlignment="1" applyFont="1" applyNumberFormat="1">
      <alignment horizontal="left" readingOrder="0" vertical="center"/>
    </xf>
    <xf borderId="0" fillId="0" fontId="5" numFmtId="164" xfId="0" applyAlignment="1" applyFont="1" applyNumberFormat="1">
      <alignment horizontal="left" readingOrder="0" shrinkToFit="0" wrapText="1"/>
    </xf>
    <xf borderId="0" fillId="0" fontId="11" numFmtId="164" xfId="0" applyAlignment="1" applyFont="1" applyNumberFormat="1">
      <alignment horizontal="center" vertical="center"/>
    </xf>
    <xf borderId="32" fillId="8" fontId="5" numFmtId="164" xfId="0" applyAlignment="1" applyBorder="1" applyFill="1" applyFont="1" applyNumberFormat="1">
      <alignment horizontal="left" readingOrder="0" vertical="center"/>
    </xf>
    <xf borderId="0" fillId="0" fontId="5" numFmtId="164" xfId="0" applyAlignment="1" applyFont="1" applyNumberFormat="1">
      <alignment horizontal="left" vertical="center"/>
    </xf>
    <xf borderId="0" fillId="0" fontId="5" numFmtId="164" xfId="0" applyAlignment="1" applyFont="1" applyNumberFormat="1">
      <alignment horizontal="left" readingOrder="0" vertical="center"/>
    </xf>
    <xf borderId="30" fillId="0" fontId="12" numFmtId="164" xfId="0" applyAlignment="1" applyBorder="1" applyFont="1" applyNumberFormat="1">
      <alignment horizontal="left" readingOrder="0" shrinkToFit="0" wrapText="1"/>
    </xf>
    <xf borderId="18" fillId="5" fontId="4" numFmtId="164" xfId="0" applyAlignment="1" applyBorder="1" applyFill="1" applyFont="1" applyNumberFormat="1">
      <alignment horizontal="left" readingOrder="0" shrinkToFit="0" wrapText="1"/>
    </xf>
    <xf quotePrefix="1" borderId="0" fillId="0" fontId="12" numFmtId="0" xfId="0" applyAlignment="1" applyFont="1">
      <alignment horizontal="left" readingOrder="0" vertical="center"/>
    </xf>
    <xf borderId="0" fillId="0" fontId="12" numFmtId="164" xfId="0" applyAlignment="1" applyFont="1" applyNumberFormat="1">
      <alignment horizontal="left" readingOrder="0" vertical="center"/>
    </xf>
    <xf borderId="0" fillId="0" fontId="4" numFmtId="164" xfId="0" applyAlignment="1" applyFont="1" applyNumberFormat="1">
      <alignment horizontal="center" readingOrder="0" vertical="center"/>
    </xf>
    <xf borderId="40" fillId="5" fontId="11" numFmtId="164" xfId="0" applyAlignment="1" applyBorder="1" applyFill="1" applyFont="1" applyNumberFormat="1">
      <alignment horizontal="left" readingOrder="0" vertical="center"/>
    </xf>
    <xf borderId="0" fillId="0" fontId="3" numFmtId="0" xfId="0" applyAlignment="1" applyFont="1">
      <alignment horizontal="center"/>
    </xf>
    <xf borderId="0" fillId="0" fontId="3" numFmtId="182" xfId="0" applyAlignment="1" applyFont="1" applyNumberFormat="1">
      <alignment horizontal="center" readingOrder="0"/>
    </xf>
    <xf borderId="0" fillId="0" fontId="3" numFmtId="182" xfId="0" applyFont="1" applyNumberFormat="1"/>
    <xf borderId="17" fillId="5" fontId="11" numFmtId="164" xfId="0" applyAlignment="1" applyBorder="1" applyFill="1" applyFont="1" applyNumberFormat="1">
      <alignment horizontal="left" readingOrder="0" vertical="center"/>
    </xf>
    <xf borderId="0" fillId="0" fontId="3" numFmtId="182" xfId="0" applyAlignment="1" applyFont="1" applyNumberFormat="1">
      <alignment readingOrder="0"/>
    </xf>
    <xf borderId="19" fillId="5" fontId="4" numFmtId="164" xfId="0" applyAlignment="1" applyBorder="1" applyFill="1" applyFont="1" applyNumberFormat="1">
      <alignment horizontal="left" readingOrder="0" vertical="center"/>
    </xf>
    <xf borderId="20" fillId="5" fontId="11" numFmtId="164" xfId="0" applyAlignment="1" applyBorder="1" applyFill="1" applyFont="1" applyNumberFormat="1">
      <alignment horizontal="center" readingOrder="0" vertical="center"/>
    </xf>
    <xf borderId="35" fillId="5" fontId="4" numFmtId="169" xfId="0" applyAlignment="1" applyBorder="1" applyFill="1" applyFont="1" applyNumberFormat="1">
      <alignment horizontal="right" readingOrder="0" shrinkToFit="0" wrapText="1"/>
    </xf>
    <xf borderId="36" fillId="5" fontId="11" numFmtId="176" xfId="0" applyAlignment="1" applyBorder="1" applyFill="1" applyFont="1" applyNumberFormat="1">
      <alignment horizontal="center" readingOrder="0" vertical="center"/>
    </xf>
    <xf borderId="33" fillId="0" fontId="3" numFmtId="182" xfId="0" applyAlignment="1" applyBorder="1" applyFont="1" applyNumberFormat="1">
      <alignment horizontal="center" readingOrder="0"/>
    </xf>
    <xf borderId="45" fillId="0" fontId="3" numFmtId="182" xfId="0" applyAlignment="1" applyBorder="1" applyFont="1" applyNumberFormat="1">
      <alignment horizontal="center" readingOrder="0"/>
    </xf>
    <xf borderId="47" fillId="0" fontId="2" numFmtId="182" xfId="0" applyAlignment="1" applyBorder="1" applyFont="1" applyNumberFormat="1">
      <alignment horizontal="center" readingOrder="0"/>
    </xf>
    <xf borderId="48" fillId="0" fontId="2" numFmtId="182" xfId="0" applyAlignment="1" applyBorder="1" applyFont="1" applyNumberFormat="1">
      <alignment horizontal="center" readingOrder="0"/>
    </xf>
    <xf borderId="37" fillId="5" fontId="11" numFmtId="166" xfId="0" applyAlignment="1" applyBorder="1" applyFill="1" applyFont="1" applyNumberFormat="1">
      <alignment horizontal="center" readingOrder="0" vertical="center"/>
    </xf>
    <xf borderId="37" fillId="5" fontId="11" numFmtId="171" xfId="0" applyAlignment="1" applyBorder="1" applyFill="1" applyFont="1" applyNumberFormat="1">
      <alignment horizontal="center" readingOrder="0" vertical="center"/>
    </xf>
    <xf borderId="49" fillId="0" fontId="2" numFmtId="182" xfId="0" applyAlignment="1" applyBorder="1" applyFont="1" applyNumberFormat="1">
      <alignment horizontal="center"/>
    </xf>
    <xf borderId="36" fillId="5" fontId="4" numFmtId="10" xfId="0" applyAlignment="1" applyBorder="1" applyFill="1" applyFont="1" applyNumberFormat="1">
      <alignment horizontal="left" vertical="center"/>
    </xf>
    <xf borderId="27" fillId="3" fontId="11" numFmtId="0" xfId="0" applyAlignment="1" applyBorder="1" applyFill="1" applyFont="1">
      <alignment horizontal="left" readingOrder="0" vertical="center"/>
    </xf>
    <xf borderId="50" fillId="0" fontId="2" numFmtId="182" xfId="0" applyAlignment="1" applyBorder="1" applyFont="1" applyNumberFormat="1">
      <alignment horizontal="center" readingOrder="0"/>
    </xf>
    <xf borderId="0" fillId="3" fontId="4" numFmtId="164" xfId="0" applyAlignment="1" applyFill="1" applyFont="1" applyNumberFormat="1">
      <alignment horizontal="left" shrinkToFit="0" wrapText="1"/>
    </xf>
    <xf borderId="51" fillId="0" fontId="2" numFmtId="182" xfId="0" applyAlignment="1" applyBorder="1" applyFont="1" applyNumberFormat="1">
      <alignment horizontal="center" readingOrder="0"/>
    </xf>
    <xf borderId="52" fillId="0" fontId="2" numFmtId="182" xfId="0" applyAlignment="1" applyBorder="1" applyFont="1" applyNumberFormat="1">
      <alignment horizontal="center"/>
    </xf>
    <xf borderId="28" fillId="3" fontId="12" numFmtId="164" xfId="0" applyAlignment="1" applyBorder="1" applyFill="1" applyFont="1" applyNumberFormat="1">
      <alignment horizontal="left" readingOrder="0" vertical="center"/>
    </xf>
    <xf borderId="17" fillId="3" fontId="12" numFmtId="164" xfId="0" applyAlignment="1" applyBorder="1" applyFill="1" applyFont="1" applyNumberFormat="1">
      <alignment horizontal="left" readingOrder="0" vertical="center"/>
    </xf>
    <xf borderId="29" fillId="3" fontId="12" numFmtId="164" xfId="0" applyAlignment="1" applyBorder="1" applyFill="1" applyFont="1" applyNumberFormat="1">
      <alignment horizontal="left" readingOrder="0" vertical="center"/>
    </xf>
    <xf borderId="30" fillId="3" fontId="12" numFmtId="164" xfId="0" applyAlignment="1" applyBorder="1" applyFill="1" applyFont="1" applyNumberFormat="1">
      <alignment horizontal="left" readingOrder="0" vertical="center"/>
    </xf>
    <xf borderId="30" fillId="3" fontId="6" numFmtId="164" xfId="0" applyAlignment="1" applyBorder="1" applyFill="1" applyFont="1" applyNumberFormat="1">
      <alignment horizontal="left" shrinkToFit="0" vertical="center" wrapText="1"/>
    </xf>
    <xf borderId="31" fillId="3" fontId="5" numFmtId="164" xfId="0" applyAlignment="1" applyBorder="1" applyFill="1" applyFont="1" applyNumberFormat="1">
      <alignment horizontal="center" vertical="center"/>
    </xf>
    <xf borderId="32" fillId="3" fontId="5" numFmtId="164" xfId="0" applyAlignment="1" applyBorder="1" applyFill="1" applyFont="1" applyNumberFormat="1">
      <alignment horizontal="left" vertical="center"/>
    </xf>
    <xf borderId="33" fillId="3" fontId="12" numFmtId="164" xfId="0" applyAlignment="1" applyBorder="1" applyFill="1" applyFont="1" applyNumberFormat="1">
      <alignment horizontal="center" readingOrder="0" vertical="center"/>
    </xf>
    <xf borderId="34" fillId="3" fontId="11" numFmtId="0" xfId="0" applyAlignment="1" applyBorder="1" applyFill="1" applyFont="1">
      <alignment horizontal="left" readingOrder="0" vertical="center"/>
    </xf>
    <xf borderId="35" fillId="3" fontId="7" numFmtId="169" xfId="0" applyAlignment="1" applyBorder="1" applyFill="1" applyFont="1" applyNumberFormat="1">
      <alignment horizontal="right" readingOrder="0" shrinkToFit="0" wrapText="1"/>
    </xf>
    <xf borderId="36" fillId="3" fontId="12" numFmtId="187" xfId="0" applyAlignment="1" applyBorder="1" applyFill="1" applyFont="1" applyNumberFormat="1">
      <alignment horizontal="center" readingOrder="0" vertical="center"/>
    </xf>
    <xf borderId="33" fillId="0" fontId="2" numFmtId="182" xfId="0" applyAlignment="1" applyBorder="1" applyFont="1" applyNumberFormat="1">
      <alignment horizontal="center" readingOrder="0"/>
    </xf>
    <xf borderId="45" fillId="0" fontId="2" numFmtId="182" xfId="0" applyAlignment="1" applyBorder="1" applyFont="1" applyNumberFormat="1">
      <alignment horizontal="center" readingOrder="0"/>
    </xf>
    <xf borderId="27" fillId="0" fontId="2" numFmtId="182" xfId="0" applyAlignment="1" applyBorder="1" applyFont="1" applyNumberFormat="1">
      <alignment horizontal="center"/>
    </xf>
    <xf borderId="0" fillId="0" fontId="2" numFmtId="182" xfId="0" applyAlignment="1" applyFont="1" applyNumberFormat="1">
      <alignment horizontal="center"/>
    </xf>
    <xf borderId="53" fillId="0" fontId="3" numFmtId="0" xfId="0" applyAlignment="1" applyBorder="1" applyFont="1">
      <alignment horizontal="center" readingOrder="0"/>
    </xf>
    <xf borderId="54" fillId="0" fontId="3" numFmtId="182" xfId="0" applyAlignment="1" applyBorder="1" applyFont="1" applyNumberFormat="1">
      <alignment horizontal="center"/>
    </xf>
    <xf borderId="37" fillId="3" fontId="22" numFmtId="170" xfId="0" applyAlignment="1" applyBorder="1" applyFill="1" applyFont="1" applyNumberFormat="1">
      <alignment horizontal="center" readingOrder="0" vertical="center"/>
    </xf>
    <xf borderId="37" fillId="3" fontId="12" numFmtId="187" xfId="0" applyAlignment="1" applyBorder="1" applyFill="1" applyFont="1" applyNumberFormat="1">
      <alignment horizontal="center" readingOrder="0" vertical="center"/>
    </xf>
    <xf borderId="37" fillId="3" fontId="6" numFmtId="171" xfId="0" applyAlignment="1" applyBorder="1" applyFill="1" applyFont="1" applyNumberFormat="1">
      <alignment horizontal="left" readingOrder="0" shrinkToFit="0" vertical="center" wrapText="1"/>
    </xf>
    <xf borderId="37" fillId="3" fontId="22" numFmtId="171" xfId="0" applyAlignment="1" applyBorder="1" applyFill="1" applyFont="1" applyNumberFormat="1">
      <alignment horizontal="center" readingOrder="0" vertical="center"/>
    </xf>
    <xf borderId="36" fillId="3" fontId="4" numFmtId="164" xfId="0" applyAlignment="1" applyBorder="1" applyFill="1" applyFont="1" applyNumberFormat="1">
      <alignment horizontal="left" vertical="center"/>
    </xf>
    <xf borderId="44" fillId="0" fontId="5" numFmtId="164" xfId="0" applyAlignment="1" applyBorder="1" applyFont="1" applyNumberFormat="1">
      <alignment horizontal="left" readingOrder="0" shrinkToFit="0" wrapText="1"/>
    </xf>
    <xf borderId="38" fillId="3" fontId="11" numFmtId="164" xfId="0" applyAlignment="1" applyBorder="1" applyFill="1" applyFont="1" applyNumberFormat="1">
      <alignment horizontal="center" readingOrder="0" vertical="center"/>
    </xf>
    <xf borderId="0" fillId="0" fontId="2" numFmtId="0" xfId="0" applyAlignment="1" applyFont="1">
      <alignment horizontal="left"/>
    </xf>
    <xf borderId="0" fillId="0" fontId="2" numFmtId="0" xfId="0" applyAlignment="1" applyFont="1">
      <alignment horizontal="left"/>
    </xf>
    <xf borderId="32" fillId="0" fontId="12" numFmtId="164" xfId="0" applyAlignment="1" applyBorder="1" applyFont="1" applyNumberFormat="1">
      <alignment horizontal="left" readingOrder="0" vertical="center"/>
    </xf>
    <xf borderId="29" fillId="0" fontId="12" numFmtId="164" xfId="0" applyAlignment="1" applyBorder="1" applyFont="1" applyNumberFormat="1">
      <alignment horizontal="left" readingOrder="0" vertical="center"/>
    </xf>
    <xf borderId="55" fillId="0" fontId="5" numFmtId="164" xfId="0" applyAlignment="1" applyBorder="1" applyFont="1" applyNumberFormat="1">
      <alignment horizontal="center" readingOrder="0" vertical="center"/>
    </xf>
    <xf borderId="0" fillId="9" fontId="6" numFmtId="164" xfId="0" applyAlignment="1" applyFill="1" applyFont="1" applyNumberFormat="1">
      <alignment horizontal="left" shrinkToFit="0" vertical="center" wrapText="1"/>
    </xf>
    <xf borderId="32" fillId="9" fontId="5" numFmtId="164" xfId="0" applyAlignment="1" applyBorder="1" applyFill="1" applyFont="1" applyNumberFormat="1">
      <alignment horizontal="left" vertical="center"/>
    </xf>
    <xf borderId="0" fillId="3" fontId="6" numFmtId="164" xfId="0" applyAlignment="1" applyFill="1" applyFont="1" applyNumberFormat="1">
      <alignment horizontal="left" shrinkToFit="0" vertical="center" wrapText="1"/>
    </xf>
    <xf borderId="32" fillId="3" fontId="5" numFmtId="164" xfId="0" applyAlignment="1" applyBorder="1" applyFill="1" applyFont="1" applyNumberFormat="1">
      <alignment horizontal="left" vertical="center"/>
    </xf>
    <xf quotePrefix="1" borderId="39" fillId="0" fontId="11" numFmtId="0" xfId="0" applyAlignment="1" applyBorder="1" applyFont="1">
      <alignment horizontal="left" readingOrder="0" vertical="center"/>
    </xf>
    <xf borderId="39" fillId="0" fontId="23" numFmtId="0" xfId="0" applyAlignment="1" applyBorder="1" applyFont="1">
      <alignment horizontal="left" readingOrder="0" vertical="center"/>
    </xf>
    <xf borderId="30" fillId="0" fontId="19" numFmtId="164" xfId="0" applyAlignment="1" applyBorder="1" applyFont="1" applyNumberFormat="1">
      <alignment horizontal="left" readingOrder="0" shrinkToFit="0" wrapText="1"/>
    </xf>
    <xf borderId="32" fillId="0" fontId="19" numFmtId="164" xfId="0" applyAlignment="1" applyBorder="1" applyFont="1" applyNumberFormat="1">
      <alignment horizontal="left" readingOrder="0" vertical="center"/>
    </xf>
    <xf borderId="29" fillId="0" fontId="19" numFmtId="164" xfId="0" applyAlignment="1" applyBorder="1" applyFont="1" applyNumberFormat="1">
      <alignment horizontal="left" readingOrder="0" vertical="center"/>
    </xf>
    <xf borderId="32" fillId="0" fontId="19" numFmtId="164" xfId="0" applyAlignment="1" applyBorder="1" applyFont="1" applyNumberFormat="1">
      <alignment horizontal="left" readingOrder="0" vertical="center"/>
    </xf>
    <xf borderId="28" fillId="3" fontId="12" numFmtId="164" xfId="0" applyAlignment="1" applyBorder="1" applyFill="1" applyFont="1" applyNumberFormat="1">
      <alignment horizontal="center" readingOrder="0" vertical="center"/>
    </xf>
    <xf borderId="0" fillId="0" fontId="6" numFmtId="164" xfId="0" applyAlignment="1" applyFont="1" applyNumberFormat="1">
      <alignment horizontal="left" shrinkToFit="0" vertical="center" wrapText="1"/>
    </xf>
    <xf borderId="29" fillId="3" fontId="5" numFmtId="164" xfId="0" applyAlignment="1" applyBorder="1" applyFill="1" applyFont="1" applyNumberFormat="1">
      <alignment horizontal="left" vertical="center"/>
    </xf>
    <xf borderId="30" fillId="3" fontId="5" numFmtId="164" xfId="0" applyAlignment="1" applyBorder="1" applyFill="1" applyFont="1" applyNumberFormat="1">
      <alignment horizontal="left" vertical="center"/>
    </xf>
    <xf borderId="14" fillId="3" fontId="11" numFmtId="0" xfId="0" applyAlignment="1" applyBorder="1" applyFill="1" applyFont="1">
      <alignment horizontal="left" readingOrder="0" vertical="center"/>
    </xf>
    <xf borderId="18" fillId="3" fontId="4" numFmtId="164" xfId="0" applyAlignment="1" applyBorder="1" applyFill="1" applyFont="1" applyNumberFormat="1">
      <alignment horizontal="left" shrinkToFit="0" wrapText="1"/>
    </xf>
    <xf borderId="40" fillId="3" fontId="12" numFmtId="164" xfId="0" applyAlignment="1" applyBorder="1" applyFill="1" applyFont="1" applyNumberFormat="1">
      <alignment horizontal="left" readingOrder="0" vertical="center"/>
    </xf>
    <xf borderId="15" fillId="3" fontId="12" numFmtId="164" xfId="0" applyAlignment="1" applyBorder="1" applyFill="1" applyFont="1" applyNumberFormat="1">
      <alignment horizontal="left" readingOrder="0" vertical="center"/>
    </xf>
    <xf borderId="15" fillId="3" fontId="6" numFmtId="164" xfId="0" applyAlignment="1" applyBorder="1" applyFill="1" applyFont="1" applyNumberFormat="1">
      <alignment horizontal="left" readingOrder="0" shrinkToFit="0" vertical="center" wrapText="1"/>
    </xf>
    <xf borderId="41" fillId="3" fontId="5" numFmtId="164" xfId="0" applyAlignment="1" applyBorder="1" applyFill="1" applyFont="1" applyNumberFormat="1">
      <alignment horizontal="center" vertical="center"/>
    </xf>
    <xf borderId="19" fillId="3" fontId="5" numFmtId="164" xfId="0" applyAlignment="1" applyBorder="1" applyFill="1" applyFont="1" applyNumberFormat="1">
      <alignment horizontal="left" vertical="center"/>
    </xf>
    <xf borderId="20" fillId="3" fontId="12" numFmtId="164" xfId="0" applyAlignment="1" applyBorder="1" applyFill="1" applyFont="1" applyNumberFormat="1">
      <alignment horizontal="center" readingOrder="0" vertical="center"/>
    </xf>
    <xf borderId="15" fillId="3" fontId="6" numFmtId="164" xfId="0" applyAlignment="1" applyBorder="1" applyFill="1" applyFont="1" applyNumberFormat="1">
      <alignment horizontal="left" shrinkToFit="0" vertical="center" wrapText="1"/>
    </xf>
    <xf borderId="29" fillId="9" fontId="5" numFmtId="164" xfId="0" applyAlignment="1" applyBorder="1" applyFill="1" applyFont="1" applyNumberFormat="1">
      <alignment horizontal="left" readingOrder="0" vertical="center"/>
    </xf>
    <xf borderId="30" fillId="9" fontId="5" numFmtId="164" xfId="0" applyAlignment="1" applyBorder="1" applyFill="1" applyFont="1" applyNumberFormat="1">
      <alignment horizontal="left" readingOrder="0" vertical="center"/>
    </xf>
    <xf borderId="29" fillId="3" fontId="5" numFmtId="164" xfId="0" applyAlignment="1" applyBorder="1" applyFill="1" applyFont="1" applyNumberFormat="1">
      <alignment horizontal="left" readingOrder="0" vertical="center"/>
    </xf>
    <xf borderId="30" fillId="3" fontId="5" numFmtId="164" xfId="0" applyAlignment="1" applyBorder="1" applyFill="1" applyFont="1" applyNumberFormat="1">
      <alignment horizontal="left" readingOrder="0" vertical="center"/>
    </xf>
    <xf borderId="29" fillId="9" fontId="5" numFmtId="164" xfId="0" applyAlignment="1" applyBorder="1" applyFill="1" applyFont="1" applyNumberFormat="1">
      <alignment horizontal="left" vertical="center"/>
    </xf>
    <xf borderId="30" fillId="9" fontId="5" numFmtId="164" xfId="0" applyAlignment="1" applyBorder="1" applyFill="1" applyFont="1" applyNumberFormat="1">
      <alignment horizontal="left" vertical="center"/>
    </xf>
    <xf borderId="0" fillId="0" fontId="6" numFmtId="164" xfId="0" applyAlignment="1" applyFont="1" applyNumberFormat="1">
      <alignment horizontal="left" readingOrder="0" shrinkToFit="0" vertical="center" wrapText="1"/>
    </xf>
    <xf borderId="0" fillId="10" fontId="24" numFmtId="0" xfId="0" applyAlignment="1" applyFill="1" applyFont="1">
      <alignment horizontal="center" readingOrder="0" vertical="center"/>
    </xf>
    <xf borderId="0" fillId="10" fontId="4" numFmtId="0" xfId="0" applyAlignment="1" applyFill="1" applyFont="1">
      <alignment horizontal="center" readingOrder="0" shrinkToFit="0" wrapText="1"/>
    </xf>
    <xf borderId="32" fillId="10" fontId="12" numFmtId="0" xfId="0" applyAlignment="1" applyBorder="1" applyFill="1" applyFont="1">
      <alignment horizontal="center" readingOrder="0" vertical="center"/>
    </xf>
    <xf borderId="29" fillId="10" fontId="12" numFmtId="0" xfId="0" applyAlignment="1" applyBorder="1" applyFill="1" applyFont="1">
      <alignment horizontal="center" readingOrder="0" vertical="center"/>
    </xf>
    <xf borderId="29" fillId="10" fontId="12" numFmtId="178" xfId="0" applyAlignment="1" applyBorder="1" applyFill="1" applyFont="1" applyNumberFormat="1">
      <alignment horizontal="center" readingOrder="0" vertical="center"/>
    </xf>
    <xf borderId="32" fillId="10" fontId="5" numFmtId="188" xfId="0" applyAlignment="1" applyBorder="1" applyFill="1" applyFont="1" applyNumberFormat="1">
      <alignment horizontal="center" readingOrder="0" vertical="center"/>
    </xf>
    <xf borderId="32" fillId="10" fontId="4" numFmtId="0" xfId="0" applyAlignment="1" applyBorder="1" applyFill="1" applyFont="1">
      <alignment horizontal="center" readingOrder="0" vertical="center"/>
    </xf>
    <xf borderId="0" fillId="10" fontId="11" numFmtId="0" xfId="0" applyAlignment="1" applyFill="1" applyFont="1">
      <alignment horizontal="center" readingOrder="0" vertical="center"/>
    </xf>
    <xf borderId="0" fillId="3" fontId="25" numFmtId="0" xfId="0" applyAlignment="1" applyFill="1" applyFont="1">
      <alignment horizontal="center" readingOrder="0" vertical="center"/>
    </xf>
    <xf borderId="0" fillId="3" fontId="4" numFmtId="164" xfId="0" applyAlignment="1" applyFill="1" applyFont="1" applyNumberFormat="1">
      <alignment horizontal="center" readingOrder="0" shrinkToFit="0" wrapText="1"/>
    </xf>
    <xf borderId="32" fillId="3" fontId="12" numFmtId="164" xfId="0" applyAlignment="1" applyBorder="1" applyFill="1" applyFont="1" applyNumberFormat="1">
      <alignment horizontal="center" readingOrder="0" vertical="center"/>
    </xf>
    <xf borderId="29" fillId="3" fontId="12" numFmtId="164" xfId="0" applyAlignment="1" applyBorder="1" applyFill="1" applyFont="1" applyNumberFormat="1">
      <alignment horizontal="center" readingOrder="0" vertical="center"/>
    </xf>
    <xf borderId="32" fillId="3" fontId="5" numFmtId="164" xfId="0" applyAlignment="1" applyBorder="1" applyFill="1" applyFont="1" applyNumberFormat="1">
      <alignment horizontal="center" readingOrder="0" vertical="center"/>
    </xf>
    <xf borderId="32" fillId="3" fontId="4" numFmtId="164" xfId="0" applyAlignment="1" applyBorder="1" applyFill="1" applyFont="1" applyNumberFormat="1">
      <alignment horizontal="center" readingOrder="0" vertical="center"/>
    </xf>
    <xf borderId="0" fillId="3" fontId="11" numFmtId="164" xfId="0" applyAlignment="1" applyFill="1" applyFont="1" applyNumberFormat="1">
      <alignment horizontal="center" readingOrder="0" vertical="center"/>
    </xf>
    <xf borderId="10" fillId="3" fontId="5" numFmtId="164" xfId="0" applyAlignment="1" applyBorder="1" applyFill="1" applyFont="1" applyNumberFormat="1">
      <alignment horizontal="center" readingOrder="0" vertical="center"/>
    </xf>
    <xf borderId="0" fillId="9" fontId="4" numFmtId="0" xfId="0" applyAlignment="1" applyFill="1" applyFont="1">
      <alignment horizontal="left" readingOrder="0" vertical="center"/>
    </xf>
    <xf borderId="30" fillId="9" fontId="5" numFmtId="164" xfId="0" applyAlignment="1" applyBorder="1" applyFill="1" applyFont="1" applyNumberFormat="1">
      <alignment horizontal="left" readingOrder="0" shrinkToFit="0" wrapText="1"/>
    </xf>
    <xf borderId="32" fillId="9" fontId="5" numFmtId="164" xfId="0" applyAlignment="1" applyBorder="1" applyFill="1" applyFont="1" applyNumberFormat="1">
      <alignment horizontal="center" readingOrder="0" vertical="center"/>
    </xf>
    <xf borderId="29" fillId="9" fontId="5" numFmtId="164" xfId="0" applyAlignment="1" applyBorder="1" applyFill="1" applyFont="1" applyNumberFormat="1">
      <alignment horizontal="center" readingOrder="0" vertical="center"/>
    </xf>
    <xf borderId="31" fillId="9" fontId="5" numFmtId="164" xfId="0" applyAlignment="1" applyBorder="1" applyFill="1" applyFont="1" applyNumberFormat="1">
      <alignment horizontal="center" readingOrder="0" vertical="center"/>
    </xf>
    <xf borderId="32" fillId="9" fontId="4" numFmtId="164" xfId="0" applyAlignment="1" applyBorder="1" applyFill="1" applyFont="1" applyNumberFormat="1">
      <alignment horizontal="left" readingOrder="0" vertical="center"/>
    </xf>
    <xf borderId="0" fillId="9" fontId="4" numFmtId="164" xfId="0" applyAlignment="1" applyFill="1" applyFont="1" applyNumberFormat="1">
      <alignment horizontal="center" readingOrder="0" vertical="center"/>
    </xf>
    <xf borderId="0" fillId="3" fontId="11" numFmtId="0" xfId="0" applyAlignment="1" applyFill="1" applyFont="1">
      <alignment horizontal="left" readingOrder="0" vertical="center"/>
    </xf>
    <xf borderId="30" fillId="3" fontId="5" numFmtId="164" xfId="0" applyAlignment="1" applyBorder="1" applyFill="1" applyFont="1" applyNumberFormat="1">
      <alignment horizontal="left" readingOrder="0" shrinkToFit="0" wrapText="1"/>
    </xf>
    <xf borderId="56" fillId="0" fontId="11" numFmtId="0" xfId="0" applyAlignment="1" applyBorder="1" applyFont="1">
      <alignment horizontal="left" readingOrder="0" vertical="center"/>
    </xf>
    <xf borderId="31" fillId="3" fontId="5" numFmtId="164" xfId="0" applyAlignment="1" applyBorder="1" applyFill="1" applyFont="1" applyNumberFormat="1">
      <alignment horizontal="center" readingOrder="0" vertical="center"/>
    </xf>
    <xf borderId="32" fillId="3" fontId="4" numFmtId="164" xfId="0" applyAlignment="1" applyBorder="1" applyFill="1" applyFont="1" applyNumberFormat="1">
      <alignment horizontal="left" readingOrder="0" vertical="center"/>
    </xf>
    <xf borderId="57" fillId="0" fontId="5" numFmtId="164" xfId="0" applyAlignment="1" applyBorder="1" applyFont="1" applyNumberFormat="1">
      <alignment horizontal="left" shrinkToFit="0" wrapText="1"/>
    </xf>
    <xf borderId="0" fillId="9" fontId="11" numFmtId="0" xfId="0" applyAlignment="1" applyFill="1" applyFont="1">
      <alignment horizontal="left" readingOrder="0" vertical="center"/>
    </xf>
    <xf borderId="36" fillId="0" fontId="12" numFmtId="164" xfId="0" applyAlignment="1" applyBorder="1" applyFont="1" applyNumberFormat="1">
      <alignment horizontal="left" readingOrder="0" vertical="center"/>
    </xf>
    <xf borderId="37" fillId="0" fontId="12" numFmtId="164" xfId="0" applyAlignment="1" applyBorder="1" applyFont="1" applyNumberFormat="1">
      <alignment horizontal="left" readingOrder="0" vertical="center"/>
    </xf>
    <xf borderId="32" fillId="9" fontId="12" numFmtId="164" xfId="0" applyAlignment="1" applyBorder="1" applyFill="1" applyFont="1" applyNumberFormat="1">
      <alignment horizontal="center" readingOrder="0" vertical="center"/>
    </xf>
    <xf borderId="37" fillId="9" fontId="5" numFmtId="164" xfId="0" applyAlignment="1" applyBorder="1" applyFill="1" applyFont="1" applyNumberFormat="1">
      <alignment horizontal="left" vertical="center"/>
    </xf>
    <xf borderId="57" fillId="9" fontId="5" numFmtId="164" xfId="0" applyAlignment="1" applyBorder="1" applyFill="1" applyFont="1" applyNumberFormat="1">
      <alignment horizontal="left" vertical="center"/>
    </xf>
    <xf borderId="29" fillId="9" fontId="12" numFmtId="164" xfId="0" applyAlignment="1" applyBorder="1" applyFill="1" applyFont="1" applyNumberFormat="1">
      <alignment horizontal="center" readingOrder="0" vertical="center"/>
    </xf>
    <xf borderId="57" fillId="0" fontId="6" numFmtId="164" xfId="0" applyAlignment="1" applyBorder="1" applyFont="1" applyNumberFormat="1">
      <alignment horizontal="left" shrinkToFit="0" vertical="center" wrapText="1"/>
    </xf>
    <xf borderId="58" fillId="0" fontId="5" numFmtId="164" xfId="0" applyAlignment="1" applyBorder="1" applyFont="1" applyNumberFormat="1">
      <alignment horizontal="center" vertical="center"/>
    </xf>
    <xf borderId="36" fillId="0" fontId="5" numFmtId="164" xfId="0" applyAlignment="1" applyBorder="1" applyFont="1" applyNumberFormat="1">
      <alignment horizontal="left" vertical="center"/>
    </xf>
    <xf borderId="35" fillId="0" fontId="12" numFmtId="164" xfId="0" applyAlignment="1" applyBorder="1" applyFont="1" applyNumberFormat="1">
      <alignment horizontal="center" readingOrder="0" vertical="center"/>
    </xf>
    <xf borderId="0" fillId="9" fontId="11" numFmtId="164" xfId="0" applyAlignment="1" applyFill="1" applyFont="1" applyNumberFormat="1">
      <alignment horizontal="center" readingOrder="0" vertical="center"/>
    </xf>
    <xf borderId="0" fillId="0" fontId="11" numFmtId="0" xfId="0" applyAlignment="1" applyFont="1">
      <alignment horizontal="left" readingOrder="0" vertical="center"/>
    </xf>
    <xf borderId="39" fillId="9" fontId="26" numFmtId="0" xfId="0" applyBorder="1" applyFill="1" applyFont="1"/>
    <xf borderId="30" fillId="9" fontId="26" numFmtId="164" xfId="0" applyAlignment="1" applyBorder="1" applyFill="1" applyFont="1" applyNumberFormat="1">
      <alignment readingOrder="0" shrinkToFit="0" vertical="bottom" wrapText="1"/>
    </xf>
    <xf borderId="32" fillId="9" fontId="26" numFmtId="164" xfId="0" applyAlignment="1" applyBorder="1" applyFill="1" applyFont="1" applyNumberFormat="1">
      <alignment horizontal="center" vertical="center"/>
    </xf>
    <xf borderId="29" fillId="9" fontId="26" numFmtId="164" xfId="0" applyAlignment="1" applyBorder="1" applyFill="1" applyFont="1" applyNumberFormat="1">
      <alignment horizontal="center" vertical="center"/>
    </xf>
    <xf borderId="32" fillId="9" fontId="27" numFmtId="164" xfId="0" applyAlignment="1" applyBorder="1" applyFill="1" applyFont="1" applyNumberFormat="1">
      <alignment vertical="center"/>
    </xf>
    <xf borderId="29" fillId="9" fontId="27" numFmtId="164" xfId="0" applyAlignment="1" applyBorder="1" applyFill="1" applyFont="1" applyNumberFormat="1">
      <alignment vertical="center"/>
    </xf>
    <xf borderId="29" fillId="9" fontId="26" numFmtId="164" xfId="0" applyAlignment="1" applyBorder="1" applyFill="1" applyFont="1" applyNumberFormat="1">
      <alignment horizontal="center" readingOrder="0" vertical="center"/>
    </xf>
    <xf borderId="31" fillId="9" fontId="27" numFmtId="164" xfId="0" applyAlignment="1" applyBorder="1" applyFill="1" applyFont="1" applyNumberFormat="1">
      <alignment vertical="center"/>
    </xf>
    <xf borderId="0" fillId="9" fontId="27" numFmtId="164" xfId="0" applyAlignment="1" applyFill="1" applyFont="1" applyNumberFormat="1">
      <alignment vertical="center"/>
    </xf>
    <xf borderId="39" fillId="3" fontId="26" numFmtId="0" xfId="0" applyBorder="1" applyFill="1" applyFont="1"/>
    <xf borderId="30" fillId="3" fontId="26" numFmtId="164" xfId="0" applyAlignment="1" applyBorder="1" applyFill="1" applyFont="1" applyNumberFormat="1">
      <alignment readingOrder="0" shrinkToFit="0" vertical="bottom" wrapText="1"/>
    </xf>
    <xf borderId="32" fillId="3" fontId="26" numFmtId="164" xfId="0" applyAlignment="1" applyBorder="1" applyFill="1" applyFont="1" applyNumberFormat="1">
      <alignment horizontal="center" vertical="center"/>
    </xf>
    <xf borderId="29" fillId="3" fontId="26" numFmtId="164" xfId="0" applyAlignment="1" applyBorder="1" applyFill="1" applyFont="1" applyNumberFormat="1">
      <alignment horizontal="center" vertical="center"/>
    </xf>
    <xf borderId="32" fillId="3" fontId="27" numFmtId="164" xfId="0" applyAlignment="1" applyBorder="1" applyFill="1" applyFont="1" applyNumberFormat="1">
      <alignment vertical="center"/>
    </xf>
    <xf borderId="29" fillId="3" fontId="27" numFmtId="164" xfId="0" applyAlignment="1" applyBorder="1" applyFill="1" applyFont="1" applyNumberFormat="1">
      <alignment vertical="center"/>
    </xf>
    <xf borderId="29" fillId="3" fontId="26" numFmtId="164" xfId="0" applyAlignment="1" applyBorder="1" applyFill="1" applyFont="1" applyNumberFormat="1">
      <alignment horizontal="center" readingOrder="0" vertical="center"/>
    </xf>
    <xf borderId="31" fillId="3" fontId="27" numFmtId="164" xfId="0" applyAlignment="1" applyBorder="1" applyFill="1" applyFont="1" applyNumberFormat="1">
      <alignment vertical="center"/>
    </xf>
    <xf borderId="0" fillId="3" fontId="27" numFmtId="164" xfId="0" applyAlignment="1" applyFill="1" applyFont="1" applyNumberFormat="1">
      <alignment vertical="center"/>
    </xf>
    <xf borderId="39" fillId="9" fontId="4" numFmtId="0" xfId="0" applyAlignment="1" applyBorder="1" applyFill="1" applyFont="1">
      <alignment horizontal="left" readingOrder="0" vertical="center"/>
    </xf>
    <xf borderId="31" fillId="9" fontId="5" numFmtId="164" xfId="0" applyAlignment="1" applyBorder="1" applyFill="1" applyFont="1" applyNumberFormat="1">
      <alignment horizontal="center" readingOrder="0" shrinkToFit="0" vertical="center" wrapText="1"/>
    </xf>
    <xf borderId="32" fillId="9" fontId="5" numFmtId="164" xfId="0" applyAlignment="1" applyBorder="1" applyFill="1" applyFont="1" applyNumberFormat="1">
      <alignment horizontal="left" readingOrder="0" shrinkToFit="0" vertical="center" wrapText="1"/>
    </xf>
    <xf borderId="0" fillId="9" fontId="5" numFmtId="164" xfId="0" applyAlignment="1" applyFill="1" applyFont="1" applyNumberFormat="1">
      <alignment horizontal="center" readingOrder="0" vertical="center"/>
    </xf>
    <xf borderId="59" fillId="3" fontId="4" numFmtId="0" xfId="0" applyAlignment="1" applyBorder="1" applyFill="1" applyFont="1">
      <alignment horizontal="left" readingOrder="0" vertical="center"/>
    </xf>
    <xf borderId="60" fillId="3" fontId="5" numFmtId="164" xfId="0" applyAlignment="1" applyBorder="1" applyFill="1" applyFont="1" applyNumberFormat="1">
      <alignment horizontal="left" readingOrder="0" shrinkToFit="0" wrapText="1"/>
    </xf>
    <xf borderId="61" fillId="3" fontId="5" numFmtId="164" xfId="0" applyAlignment="1" applyBorder="1" applyFill="1" applyFont="1" applyNumberFormat="1">
      <alignment horizontal="center" readingOrder="0" vertical="center"/>
    </xf>
    <xf borderId="62" fillId="3" fontId="5" numFmtId="164" xfId="0" applyAlignment="1" applyBorder="1" applyFill="1" applyFont="1" applyNumberFormat="1">
      <alignment horizontal="center" readingOrder="0" vertical="center"/>
    </xf>
    <xf borderId="63" fillId="3" fontId="5" numFmtId="164" xfId="0" applyAlignment="1" applyBorder="1" applyFill="1" applyFont="1" applyNumberFormat="1">
      <alignment horizontal="center" readingOrder="0" shrinkToFit="0" vertical="center" wrapText="1"/>
    </xf>
    <xf borderId="61" fillId="3" fontId="5" numFmtId="164" xfId="0" applyAlignment="1" applyBorder="1" applyFill="1" applyFont="1" applyNumberFormat="1">
      <alignment horizontal="left" readingOrder="0" shrinkToFit="0" vertical="center" wrapText="1"/>
    </xf>
    <xf borderId="46" fillId="3" fontId="5" numFmtId="164" xfId="0" applyAlignment="1" applyBorder="1" applyFill="1" applyFont="1" applyNumberFormat="1">
      <alignment horizontal="center" readingOrder="0" vertical="center"/>
    </xf>
    <xf borderId="64" fillId="9" fontId="4" numFmtId="0" xfId="0" applyAlignment="1" applyBorder="1" applyFill="1" applyFont="1">
      <alignment horizontal="left" readingOrder="0" vertical="center"/>
    </xf>
    <xf borderId="65" fillId="9" fontId="5" numFmtId="164" xfId="0" applyAlignment="1" applyBorder="1" applyFill="1" applyFont="1" applyNumberFormat="1">
      <alignment horizontal="left" readingOrder="0" shrinkToFit="0" wrapText="1"/>
    </xf>
    <xf borderId="30" fillId="0" fontId="5" numFmtId="164" xfId="0" applyAlignment="1" applyBorder="1" applyFont="1" applyNumberFormat="1">
      <alignment horizontal="left" shrinkToFit="0" wrapText="1"/>
    </xf>
    <xf borderId="66" fillId="9" fontId="5" numFmtId="164" xfId="0" applyAlignment="1" applyBorder="1" applyFill="1" applyFont="1" applyNumberFormat="1">
      <alignment horizontal="center" readingOrder="0" vertical="center"/>
    </xf>
    <xf borderId="67" fillId="9" fontId="5" numFmtId="164" xfId="0" applyAlignment="1" applyBorder="1" applyFill="1" applyFont="1" applyNumberFormat="1">
      <alignment horizontal="center" readingOrder="0" vertical="center"/>
    </xf>
    <xf borderId="29" fillId="0" fontId="5" numFmtId="164" xfId="0" applyAlignment="1" applyBorder="1" applyFont="1" applyNumberFormat="1">
      <alignment horizontal="left" vertical="center"/>
    </xf>
    <xf borderId="30" fillId="0" fontId="5" numFmtId="164" xfId="0" applyAlignment="1" applyBorder="1" applyFont="1" applyNumberFormat="1">
      <alignment horizontal="left" vertical="center"/>
    </xf>
    <xf borderId="30" fillId="0" fontId="6" numFmtId="164" xfId="0" applyAlignment="1" applyBorder="1" applyFont="1" applyNumberFormat="1">
      <alignment horizontal="left" shrinkToFit="0" vertical="center" wrapText="1"/>
    </xf>
    <xf borderId="68" fillId="9" fontId="5" numFmtId="164" xfId="0" applyAlignment="1" applyBorder="1" applyFill="1" applyFont="1" applyNumberFormat="1">
      <alignment horizontal="center" vertical="center"/>
    </xf>
    <xf borderId="31" fillId="0" fontId="5" numFmtId="164" xfId="0" applyAlignment="1" applyBorder="1" applyFont="1" applyNumberFormat="1">
      <alignment horizontal="center" vertical="center"/>
    </xf>
    <xf borderId="66" fillId="9" fontId="5" numFmtId="164" xfId="0" applyAlignment="1" applyBorder="1" applyFill="1" applyFont="1" applyNumberFormat="1">
      <alignment horizontal="left" vertical="center"/>
    </xf>
    <xf borderId="32" fillId="0" fontId="5" numFmtId="164" xfId="0" applyAlignment="1" applyBorder="1" applyFont="1" applyNumberFormat="1">
      <alignment horizontal="left" vertical="center"/>
    </xf>
    <xf borderId="69" fillId="9" fontId="5" numFmtId="164" xfId="0" applyAlignment="1" applyBorder="1" applyFill="1" applyFont="1" applyNumberFormat="1">
      <alignment horizontal="center" readingOrder="0" vertical="center"/>
    </xf>
    <xf borderId="31" fillId="9" fontId="5" numFmtId="164" xfId="0" applyAlignment="1" applyBorder="1" applyFill="1" applyFont="1" applyNumberFormat="1">
      <alignment horizontal="center" vertical="center"/>
    </xf>
    <xf borderId="32" fillId="9" fontId="4" numFmtId="164" xfId="0" applyAlignment="1" applyBorder="1" applyFill="1" applyFont="1" applyNumberFormat="1">
      <alignment horizontal="left" vertical="center"/>
    </xf>
    <xf borderId="39" fillId="3" fontId="4" numFmtId="0" xfId="0" applyAlignment="1" applyBorder="1" applyFill="1" applyFont="1">
      <alignment horizontal="left" readingOrder="0" vertical="center"/>
    </xf>
    <xf borderId="29" fillId="3" fontId="5" numFmtId="164" xfId="0" applyAlignment="1" applyBorder="1" applyFill="1" applyFont="1" applyNumberFormat="1">
      <alignment horizontal="center" readingOrder="0" vertical="center"/>
    </xf>
    <xf borderId="32" fillId="3" fontId="4" numFmtId="164" xfId="0" applyAlignment="1" applyBorder="1" applyFill="1" applyFont="1" applyNumberFormat="1">
      <alignment horizontal="left" vertical="center"/>
    </xf>
    <xf borderId="0" fillId="3" fontId="4" numFmtId="164" xfId="0" applyAlignment="1" applyFill="1" applyFont="1" applyNumberFormat="1">
      <alignment horizontal="center" readingOrder="0" vertical="center"/>
    </xf>
    <xf borderId="64" fillId="3" fontId="4" numFmtId="0" xfId="0" applyAlignment="1" applyBorder="1" applyFill="1" applyFont="1">
      <alignment horizontal="left" readingOrder="0" vertical="center"/>
    </xf>
    <xf borderId="65" fillId="3" fontId="5" numFmtId="164" xfId="0" applyAlignment="1" applyBorder="1" applyFill="1" applyFont="1" applyNumberFormat="1">
      <alignment horizontal="left" readingOrder="0" shrinkToFit="0" wrapText="1"/>
    </xf>
    <xf borderId="66" fillId="3" fontId="5" numFmtId="164" xfId="0" applyAlignment="1" applyBorder="1" applyFill="1" applyFont="1" applyNumberFormat="1">
      <alignment horizontal="center" readingOrder="0" vertical="center"/>
    </xf>
    <xf borderId="67" fillId="3" fontId="5" numFmtId="164" xfId="0" applyAlignment="1" applyBorder="1" applyFill="1" applyFont="1" applyNumberFormat="1">
      <alignment horizontal="center" readingOrder="0" vertical="center"/>
    </xf>
    <xf borderId="68" fillId="3" fontId="5" numFmtId="164" xfId="0" applyAlignment="1" applyBorder="1" applyFill="1" applyFont="1" applyNumberFormat="1">
      <alignment horizontal="center" vertical="center"/>
    </xf>
    <xf borderId="66" fillId="3" fontId="4" numFmtId="164" xfId="0" applyAlignment="1" applyBorder="1" applyFill="1" applyFont="1" applyNumberFormat="1">
      <alignment horizontal="left" vertical="center"/>
    </xf>
    <xf borderId="69" fillId="3" fontId="4" numFmtId="164" xfId="0" applyAlignment="1" applyBorder="1" applyFill="1" applyFont="1" applyNumberFormat="1">
      <alignment horizontal="center" readingOrder="0" vertical="center"/>
    </xf>
    <xf borderId="0" fillId="10" fontId="12" numFmtId="178" xfId="0" applyAlignment="1" applyFill="1" applyFont="1" applyNumberFormat="1">
      <alignment horizontal="center" readingOrder="0" vertical="center"/>
    </xf>
    <xf borderId="32" fillId="5" fontId="12" numFmtId="164" xfId="0" applyAlignment="1" applyBorder="1" applyFill="1" applyFont="1" applyNumberFormat="1">
      <alignment horizontal="center" readingOrder="0" vertical="center"/>
    </xf>
    <xf borderId="29" fillId="5" fontId="12" numFmtId="164" xfId="0" applyAlignment="1" applyBorder="1" applyFill="1" applyFont="1" applyNumberFormat="1">
      <alignment horizontal="center" readingOrder="0" vertical="center"/>
    </xf>
    <xf borderId="36" fillId="5" fontId="12" numFmtId="166" xfId="0" applyAlignment="1" applyBorder="1" applyFill="1" applyFont="1" applyNumberFormat="1">
      <alignment horizontal="right" readingOrder="0" vertical="center"/>
    </xf>
    <xf borderId="37" fillId="5" fontId="22" numFmtId="167" xfId="0" applyAlignment="1" applyBorder="1" applyFill="1" applyFont="1" applyNumberFormat="1">
      <alignment horizontal="left" readingOrder="0" vertical="center"/>
    </xf>
    <xf borderId="36" fillId="5" fontId="12" numFmtId="164" xfId="0" applyAlignment="1" applyBorder="1" applyFill="1" applyFont="1" applyNumberFormat="1">
      <alignment horizontal="center" readingOrder="0" vertical="center"/>
    </xf>
    <xf borderId="37" fillId="5" fontId="12" numFmtId="164" xfId="0" applyAlignment="1" applyBorder="1" applyFill="1" applyFont="1" applyNumberFormat="1">
      <alignment horizontal="center" readingOrder="0" vertical="center"/>
    </xf>
    <xf borderId="57" fillId="5" fontId="12" numFmtId="166" xfId="0" applyAlignment="1" applyBorder="1" applyFill="1" applyFont="1" applyNumberFormat="1">
      <alignment horizontal="center" readingOrder="0" vertical="center"/>
    </xf>
    <xf borderId="58" fillId="5" fontId="12" numFmtId="171" xfId="0" applyAlignment="1" applyBorder="1" applyFill="1" applyFont="1" applyNumberFormat="1">
      <alignment horizontal="center" readingOrder="0" vertical="center"/>
    </xf>
    <xf borderId="55" fillId="0" fontId="12" numFmtId="164" xfId="0" applyAlignment="1" applyBorder="1" applyFont="1" applyNumberFormat="1">
      <alignment horizontal="center" readingOrder="0" vertical="center"/>
    </xf>
    <xf borderId="39" fillId="9" fontId="5" numFmtId="0" xfId="0" applyAlignment="1" applyBorder="1" applyFill="1" applyFont="1">
      <alignment horizontal="left" readingOrder="0" vertical="center"/>
    </xf>
    <xf borderId="30" fillId="9" fontId="5" numFmtId="164" xfId="0" applyAlignment="1" applyBorder="1" applyFill="1" applyFont="1" applyNumberFormat="1">
      <alignment horizontal="center" readingOrder="0" vertical="center"/>
    </xf>
    <xf borderId="32" fillId="9" fontId="5" numFmtId="164" xfId="0" applyAlignment="1" applyBorder="1" applyFill="1" applyFont="1" applyNumberFormat="1">
      <alignment horizontal="left" vertical="center"/>
    </xf>
    <xf borderId="39" fillId="3" fontId="5" numFmtId="0" xfId="0" applyAlignment="1" applyBorder="1" applyFill="1" applyFont="1">
      <alignment horizontal="left" readingOrder="0" vertical="center"/>
    </xf>
    <xf borderId="30" fillId="3" fontId="5" numFmtId="164" xfId="0" applyAlignment="1" applyBorder="1" applyFill="1" applyFont="1" applyNumberFormat="1">
      <alignment horizontal="center" readingOrder="0" vertical="center"/>
    </xf>
    <xf borderId="0" fillId="3" fontId="5" numFmtId="164" xfId="0" applyAlignment="1" applyFill="1" applyFont="1" applyNumberFormat="1">
      <alignment horizontal="center" readingOrder="0" vertical="center"/>
    </xf>
    <xf borderId="32" fillId="9" fontId="5" numFmtId="164" xfId="0" applyAlignment="1" applyBorder="1" applyFill="1" applyFont="1" applyNumberFormat="1">
      <alignment horizontal="left" readingOrder="0" vertical="center"/>
    </xf>
    <xf borderId="32" fillId="3" fontId="5" numFmtId="164" xfId="0" applyAlignment="1" applyBorder="1" applyFill="1" applyFont="1" applyNumberFormat="1">
      <alignment horizontal="left" readingOrder="0" vertical="center"/>
    </xf>
    <xf borderId="27" fillId="10" fontId="11" numFmtId="0" xfId="0" applyAlignment="1" applyBorder="1" applyFill="1" applyFont="1">
      <alignment horizontal="left" readingOrder="0" vertical="center"/>
    </xf>
    <xf borderId="0" fillId="10" fontId="5" numFmtId="164" xfId="0" applyAlignment="1" applyFill="1" applyFont="1" applyNumberFormat="1">
      <alignment horizontal="left" shrinkToFit="0" wrapText="1"/>
    </xf>
    <xf borderId="28" fillId="10" fontId="12" numFmtId="164" xfId="0" applyAlignment="1" applyBorder="1" applyFill="1" applyFont="1" applyNumberFormat="1">
      <alignment horizontal="left" readingOrder="0" vertical="center"/>
    </xf>
    <xf borderId="29" fillId="10" fontId="12" numFmtId="164" xfId="0" applyAlignment="1" applyBorder="1" applyFill="1" applyFont="1" applyNumberFormat="1">
      <alignment horizontal="left" readingOrder="0" vertical="center"/>
    </xf>
    <xf borderId="32" fillId="10" fontId="12" numFmtId="164" xfId="0" applyAlignment="1" applyBorder="1" applyFill="1" applyFont="1" applyNumberFormat="1">
      <alignment horizontal="center" readingOrder="0" vertical="center"/>
    </xf>
    <xf borderId="29" fillId="10" fontId="12" numFmtId="164" xfId="0" applyAlignment="1" applyBorder="1" applyFill="1" applyFont="1" applyNumberFormat="1">
      <alignment horizontal="center" readingOrder="0" vertical="center"/>
    </xf>
    <xf borderId="30" fillId="10" fontId="12" numFmtId="164" xfId="0" applyAlignment="1" applyBorder="1" applyFill="1" applyFont="1" applyNumberFormat="1">
      <alignment horizontal="left" readingOrder="0" vertical="center"/>
    </xf>
    <xf borderId="31" fillId="10" fontId="5" numFmtId="164" xfId="0" applyAlignment="1" applyBorder="1" applyFill="1" applyFont="1" applyNumberFormat="1">
      <alignment horizontal="center" vertical="center"/>
    </xf>
    <xf borderId="32" fillId="10" fontId="5" numFmtId="164" xfId="0" applyAlignment="1" applyBorder="1" applyFill="1" applyFont="1" applyNumberFormat="1">
      <alignment horizontal="left" vertical="center"/>
    </xf>
    <xf borderId="33" fillId="10" fontId="12" numFmtId="164" xfId="0" applyAlignment="1" applyBorder="1" applyFill="1" applyFont="1" applyNumberFormat="1">
      <alignment horizontal="center" readingOrder="0" vertical="center"/>
    </xf>
    <xf borderId="34" fillId="10" fontId="11" numFmtId="0" xfId="0" applyAlignment="1" applyBorder="1" applyFill="1" applyFont="1">
      <alignment horizontal="left" readingOrder="0" vertical="center"/>
    </xf>
    <xf borderId="35" fillId="10" fontId="5" numFmtId="169" xfId="0" applyAlignment="1" applyBorder="1" applyFill="1" applyFont="1" applyNumberFormat="1">
      <alignment horizontal="right" readingOrder="0" shrinkToFit="0" wrapText="1"/>
    </xf>
    <xf borderId="36" fillId="10" fontId="12" numFmtId="166" xfId="0" applyAlignment="1" applyBorder="1" applyFill="1" applyFont="1" applyNumberFormat="1">
      <alignment horizontal="right" readingOrder="0" vertical="center"/>
    </xf>
    <xf borderId="37" fillId="10" fontId="22" numFmtId="167" xfId="0" applyAlignment="1" applyBorder="1" applyFill="1" applyFont="1" applyNumberFormat="1">
      <alignment horizontal="left" readingOrder="0" vertical="center"/>
    </xf>
    <xf borderId="36" fillId="10" fontId="12" numFmtId="164" xfId="0" applyAlignment="1" applyBorder="1" applyFill="1" applyFont="1" applyNumberFormat="1">
      <alignment horizontal="center" readingOrder="0" vertical="center"/>
    </xf>
    <xf borderId="37" fillId="10" fontId="12" numFmtId="164" xfId="0" applyAlignment="1" applyBorder="1" applyFill="1" applyFont="1" applyNumberFormat="1">
      <alignment horizontal="center" readingOrder="0" vertical="center"/>
    </xf>
    <xf borderId="37" fillId="10" fontId="12" numFmtId="166" xfId="0" applyAlignment="1" applyBorder="1" applyFill="1" applyFont="1" applyNumberFormat="1">
      <alignment horizontal="center" readingOrder="0" vertical="center"/>
    </xf>
    <xf borderId="57" fillId="10" fontId="12" numFmtId="166" xfId="0" applyAlignment="1" applyBorder="1" applyFill="1" applyFont="1" applyNumberFormat="1">
      <alignment horizontal="center" readingOrder="0" vertical="center"/>
    </xf>
    <xf borderId="58" fillId="10" fontId="12" numFmtId="171" xfId="0" applyAlignment="1" applyBorder="1" applyFill="1" applyFont="1" applyNumberFormat="1">
      <alignment horizontal="center" readingOrder="0" vertical="center"/>
    </xf>
    <xf borderId="36" fillId="10" fontId="4" numFmtId="164" xfId="0" applyAlignment="1" applyBorder="1" applyFill="1" applyFont="1" applyNumberFormat="1">
      <alignment horizontal="left" vertical="center"/>
    </xf>
    <xf borderId="38" fillId="10" fontId="11" numFmtId="164" xfId="0" applyAlignment="1" applyBorder="1" applyFill="1" applyFont="1" applyNumberFormat="1">
      <alignment horizontal="center" readingOrder="0" vertical="center"/>
    </xf>
    <xf borderId="65" fillId="9" fontId="5" numFmtId="164" xfId="0" applyAlignment="1" applyBorder="1" applyFill="1" applyFont="1" applyNumberFormat="1">
      <alignment horizontal="center" readingOrder="0" vertical="center"/>
    </xf>
    <xf borderId="68" fillId="9" fontId="5" numFmtId="164" xfId="0" applyAlignment="1" applyBorder="1" applyFill="1" applyFont="1" applyNumberFormat="1">
      <alignment horizontal="center" readingOrder="0" vertical="center"/>
    </xf>
    <xf borderId="66" fillId="9" fontId="5" numFmtId="164" xfId="0" applyAlignment="1" applyBorder="1" applyFill="1" applyFont="1" applyNumberFormat="1">
      <alignment horizontal="left" readingOrder="0" vertical="center"/>
    </xf>
    <xf borderId="69" fillId="9" fontId="4" numFmtId="164" xfId="0" applyAlignment="1" applyBorder="1" applyFill="1" applyFont="1" applyNumberFormat="1">
      <alignment horizontal="center" readingOrder="0" vertical="center"/>
    </xf>
    <xf borderId="70" fillId="5" fontId="4" numFmtId="0" xfId="0" applyAlignment="1" applyBorder="1" applyFill="1" applyFont="1">
      <alignment horizontal="left" readingOrder="0" vertical="center"/>
    </xf>
    <xf borderId="71" fillId="5" fontId="4" numFmtId="164" xfId="0" applyAlignment="1" applyBorder="1" applyFill="1" applyFont="1" applyNumberFormat="1">
      <alignment horizontal="left" readingOrder="0" shrinkToFit="0" wrapText="1"/>
    </xf>
    <xf borderId="72" fillId="5" fontId="5" numFmtId="164" xfId="0" applyAlignment="1" applyBorder="1" applyFill="1" applyFont="1" applyNumberFormat="1">
      <alignment horizontal="center" readingOrder="0" vertical="center"/>
    </xf>
    <xf borderId="73" fillId="5" fontId="5" numFmtId="164" xfId="0" applyAlignment="1" applyBorder="1" applyFill="1" applyFont="1" applyNumberFormat="1">
      <alignment horizontal="center" readingOrder="0" vertical="center"/>
    </xf>
    <xf borderId="71" fillId="5" fontId="5" numFmtId="164" xfId="0" applyAlignment="1" applyBorder="1" applyFill="1" applyFont="1" applyNumberFormat="1">
      <alignment horizontal="center" readingOrder="0" vertical="center"/>
    </xf>
    <xf borderId="74" fillId="5" fontId="5" numFmtId="164" xfId="0" applyAlignment="1" applyBorder="1" applyFill="1" applyFont="1" applyNumberFormat="1">
      <alignment horizontal="center" readingOrder="0" vertical="center"/>
    </xf>
    <xf borderId="72" fillId="5" fontId="5" numFmtId="164" xfId="0" applyAlignment="1" applyBorder="1" applyFill="1" applyFont="1" applyNumberFormat="1">
      <alignment horizontal="left" readingOrder="0" vertical="center"/>
    </xf>
    <xf borderId="75" fillId="5" fontId="4" numFmtId="164" xfId="0" applyAlignment="1" applyBorder="1" applyFill="1" applyFont="1" applyNumberFormat="1">
      <alignment horizontal="center" readingOrder="0" vertical="center"/>
    </xf>
    <xf borderId="66" fillId="3" fontId="5" numFmtId="164" xfId="0" applyAlignment="1" applyBorder="1" applyFill="1" applyFont="1" applyNumberFormat="1">
      <alignment horizontal="left" readingOrder="0" vertical="center"/>
    </xf>
    <xf borderId="19" fillId="5" fontId="12" numFmtId="164" xfId="0" applyAlignment="1" applyBorder="1" applyFill="1" applyFont="1" applyNumberFormat="1">
      <alignment horizontal="center" readingOrder="0" vertical="center"/>
    </xf>
    <xf borderId="17" fillId="5" fontId="12" numFmtId="164" xfId="0" applyAlignment="1" applyBorder="1" applyFill="1" applyFont="1" applyNumberFormat="1">
      <alignment horizontal="center" readingOrder="0" vertical="center"/>
    </xf>
    <xf borderId="30" fillId="3" fontId="4" numFmtId="164" xfId="0" applyAlignment="1" applyBorder="1" applyFill="1" applyFont="1" applyNumberFormat="1">
      <alignment horizontal="center" readingOrder="0" shrinkToFit="0" vertical="center" wrapText="1"/>
    </xf>
    <xf borderId="29" fillId="0" fontId="2" numFmtId="164" xfId="0" applyAlignment="1" applyBorder="1" applyFont="1" applyNumberFormat="1">
      <alignment horizontal="left" vertical="center"/>
    </xf>
    <xf borderId="30" fillId="0" fontId="2" numFmtId="164" xfId="0" applyAlignment="1" applyBorder="1" applyFont="1" applyNumberFormat="1">
      <alignment horizontal="left" vertical="center"/>
    </xf>
    <xf borderId="76" fillId="10" fontId="4" numFmtId="0" xfId="0" applyAlignment="1" applyBorder="1" applyFill="1" applyFont="1">
      <alignment horizontal="left" readingOrder="0" vertical="center"/>
    </xf>
    <xf borderId="77" fillId="10" fontId="4" numFmtId="164" xfId="0" applyAlignment="1" applyBorder="1" applyFill="1" applyFont="1" applyNumberFormat="1">
      <alignment horizontal="left" readingOrder="0" shrinkToFit="0" wrapText="1"/>
    </xf>
    <xf borderId="78" fillId="10" fontId="5" numFmtId="164" xfId="0" applyAlignment="1" applyBorder="1" applyFill="1" applyFont="1" applyNumberFormat="1">
      <alignment horizontal="center" readingOrder="0" vertical="center"/>
    </xf>
    <xf borderId="79" fillId="10" fontId="5" numFmtId="164" xfId="0" applyAlignment="1" applyBorder="1" applyFill="1" applyFont="1" applyNumberFormat="1">
      <alignment horizontal="center" readingOrder="0" vertical="center"/>
    </xf>
    <xf borderId="77" fillId="10" fontId="5" numFmtId="164" xfId="0" applyAlignment="1" applyBorder="1" applyFill="1" applyFont="1" applyNumberFormat="1">
      <alignment horizontal="center" readingOrder="0" vertical="center"/>
    </xf>
    <xf borderId="80" fillId="10" fontId="5" numFmtId="164" xfId="0" applyAlignment="1" applyBorder="1" applyFill="1" applyFont="1" applyNumberFormat="1">
      <alignment horizontal="center" vertical="center"/>
    </xf>
    <xf borderId="78" fillId="10" fontId="4" numFmtId="164" xfId="0" applyAlignment="1" applyBorder="1" applyFill="1" applyFont="1" applyNumberFormat="1">
      <alignment horizontal="left" vertical="center"/>
    </xf>
    <xf borderId="81" fillId="10" fontId="4" numFmtId="164" xfId="0" applyAlignment="1" applyBorder="1" applyFill="1" applyFont="1" applyNumberFormat="1">
      <alignment horizontal="center" readingOrder="0" vertical="center"/>
    </xf>
    <xf borderId="30" fillId="3" fontId="26" numFmtId="164" xfId="0" applyAlignment="1" applyBorder="1" applyFill="1" applyFont="1" applyNumberFormat="1">
      <alignment horizontal="center" readingOrder="0" vertical="center"/>
    </xf>
    <xf borderId="0" fillId="9" fontId="26" numFmtId="0" xfId="0" applyFill="1" applyFont="1"/>
    <xf borderId="30" fillId="9" fontId="26" numFmtId="164" xfId="0" applyAlignment="1" applyBorder="1" applyFill="1" applyFont="1" applyNumberFormat="1">
      <alignment horizontal="center" readingOrder="0" vertical="center"/>
    </xf>
    <xf borderId="32" fillId="9" fontId="26" numFmtId="164" xfId="0" applyAlignment="1" applyBorder="1" applyFill="1" applyFont="1" applyNumberFormat="1">
      <alignment horizontal="center" readingOrder="0" vertical="center"/>
    </xf>
    <xf borderId="32" fillId="3" fontId="26" numFmtId="164" xfId="0" applyAlignment="1" applyBorder="1" applyFill="1" applyFont="1" applyNumberFormat="1">
      <alignment horizontal="center" readingOrder="0" vertical="center"/>
    </xf>
    <xf borderId="32" fillId="3" fontId="27" numFmtId="164" xfId="0" applyAlignment="1" applyBorder="1" applyFill="1" applyFont="1" applyNumberFormat="1">
      <alignment horizontal="center" vertical="center"/>
    </xf>
    <xf borderId="29" fillId="3" fontId="27" numFmtId="164" xfId="0" applyAlignment="1" applyBorder="1" applyFill="1" applyFont="1" applyNumberFormat="1">
      <alignment horizontal="center" vertical="center"/>
    </xf>
    <xf borderId="31" fillId="3" fontId="27" numFmtId="164" xfId="0" applyAlignment="1" applyBorder="1" applyFill="1" applyFont="1" applyNumberFormat="1">
      <alignment horizontal="center" vertical="center"/>
    </xf>
    <xf borderId="0" fillId="3" fontId="27" numFmtId="164" xfId="0" applyAlignment="1" applyFill="1" applyFont="1" applyNumberFormat="1">
      <alignment horizontal="center" vertical="center"/>
    </xf>
    <xf borderId="32" fillId="9" fontId="27" numFmtId="164" xfId="0" applyAlignment="1" applyBorder="1" applyFill="1" applyFont="1" applyNumberFormat="1">
      <alignment horizontal="center" vertical="center"/>
    </xf>
    <xf borderId="29" fillId="9" fontId="27" numFmtId="164" xfId="0" applyAlignment="1" applyBorder="1" applyFill="1" applyFont="1" applyNumberFormat="1">
      <alignment horizontal="center" vertical="center"/>
    </xf>
    <xf borderId="31" fillId="3" fontId="27" numFmtId="164" xfId="0" applyAlignment="1" applyBorder="1" applyFill="1" applyFont="1" applyNumberFormat="1">
      <alignment horizontal="center" readingOrder="0" vertical="center"/>
    </xf>
    <xf borderId="0" fillId="9" fontId="27" numFmtId="164" xfId="0" applyAlignment="1" applyFill="1" applyFont="1" applyNumberFormat="1">
      <alignment horizontal="center" vertical="center"/>
    </xf>
    <xf borderId="30" fillId="9" fontId="26" numFmtId="164" xfId="0" applyAlignment="1" applyBorder="1" applyFill="1" applyFont="1" applyNumberFormat="1">
      <alignment horizontal="center" vertical="center"/>
    </xf>
    <xf borderId="31" fillId="9" fontId="27" numFmtId="164" xfId="0" applyAlignment="1" applyBorder="1" applyFill="1" applyFont="1" applyNumberFormat="1">
      <alignment horizontal="center" vertical="center"/>
    </xf>
    <xf borderId="30" fillId="3" fontId="26" numFmtId="164" xfId="0" applyAlignment="1" applyBorder="1" applyFill="1" applyFont="1" applyNumberFormat="1">
      <alignment horizontal="center" vertical="center"/>
    </xf>
    <xf borderId="39" fillId="9" fontId="11" numFmtId="0" xfId="0" applyAlignment="1" applyBorder="1" applyFill="1" applyFont="1">
      <alignment horizontal="left" readingOrder="0" vertical="center"/>
    </xf>
    <xf borderId="31" fillId="0" fontId="12" numFmtId="164" xfId="0" applyAlignment="1" applyBorder="1" applyFont="1" applyNumberFormat="1">
      <alignment horizontal="center" readingOrder="0" vertical="center"/>
    </xf>
    <xf borderId="29" fillId="9" fontId="12" numFmtId="164" xfId="0" applyAlignment="1" applyBorder="1" applyFill="1" applyFont="1" applyNumberFormat="1">
      <alignment horizontal="center" readingOrder="0" vertical="center"/>
    </xf>
    <xf borderId="30" fillId="9" fontId="12" numFmtId="164" xfId="0" applyAlignment="1" applyBorder="1" applyFill="1" applyFont="1" applyNumberFormat="1">
      <alignment horizontal="center" readingOrder="0" vertical="center"/>
    </xf>
    <xf borderId="31" fillId="0" fontId="12" numFmtId="164" xfId="0" applyAlignment="1" applyBorder="1" applyFont="1" applyNumberFormat="1">
      <alignment horizontal="center" vertical="center"/>
    </xf>
    <xf borderId="32" fillId="0" fontId="12" numFmtId="164" xfId="0" applyAlignment="1" applyBorder="1" applyFont="1" applyNumberFormat="1">
      <alignment horizontal="left" vertical="center"/>
    </xf>
    <xf borderId="30" fillId="0" fontId="5" numFmtId="164" xfId="0" applyAlignment="1" applyBorder="1" applyFont="1" applyNumberFormat="1">
      <alignment horizontal="left" readingOrder="0" shrinkToFit="0" wrapText="1"/>
    </xf>
    <xf borderId="29" fillId="9" fontId="5" numFmtId="164" xfId="0" applyAlignment="1" applyBorder="1" applyFill="1" applyFont="1" applyNumberFormat="1">
      <alignment horizontal="center" readingOrder="0" vertical="center"/>
    </xf>
    <xf borderId="30" fillId="9" fontId="5" numFmtId="164" xfId="0" applyAlignment="1" applyBorder="1" applyFill="1" applyFont="1" applyNumberFormat="1">
      <alignment horizontal="center" readingOrder="0" vertical="center"/>
    </xf>
    <xf borderId="29" fillId="3" fontId="5" numFmtId="164" xfId="0" applyAlignment="1" applyBorder="1" applyFill="1" applyFont="1" applyNumberFormat="1">
      <alignment horizontal="center" readingOrder="0" vertical="center"/>
    </xf>
    <xf borderId="30" fillId="3" fontId="5" numFmtId="164" xfId="0" applyAlignment="1" applyBorder="1" applyFill="1" applyFont="1" applyNumberFormat="1">
      <alignment horizontal="center" readingOrder="0" vertical="center"/>
    </xf>
    <xf borderId="32" fillId="0" fontId="5" numFmtId="164" xfId="0" applyAlignment="1" applyBorder="1" applyFont="1" applyNumberFormat="1">
      <alignment horizontal="left" readingOrder="0" vertical="center"/>
    </xf>
    <xf borderId="0" fillId="0" fontId="3" numFmtId="0" xfId="0" applyAlignment="1" applyFont="1">
      <alignment horizontal="left"/>
    </xf>
    <xf borderId="32" fillId="0" fontId="2" numFmtId="164" xfId="0" applyAlignment="1" applyBorder="1" applyFont="1" applyNumberFormat="1">
      <alignment vertical="center"/>
    </xf>
    <xf borderId="29" fillId="0" fontId="2" numFmtId="164" xfId="0" applyAlignment="1" applyBorder="1" applyFont="1" applyNumberFormat="1">
      <alignment vertical="center"/>
    </xf>
    <xf borderId="30" fillId="0" fontId="2" numFmtId="164" xfId="0" applyAlignment="1" applyBorder="1" applyFont="1" applyNumberFormat="1">
      <alignment vertical="center"/>
    </xf>
    <xf borderId="66" fillId="9" fontId="4" numFmtId="164" xfId="0" applyAlignment="1" applyBorder="1" applyFill="1" applyFont="1" applyNumberFormat="1">
      <alignment horizontal="left" vertical="center"/>
    </xf>
    <xf borderId="19" fillId="4" fontId="9" numFmtId="168" xfId="0" applyAlignment="1" applyBorder="1" applyFill="1" applyFont="1" applyNumberFormat="1">
      <alignment horizontal="center" readingOrder="0" vertical="center"/>
    </xf>
    <xf borderId="17" fillId="4" fontId="9" numFmtId="164" xfId="0" applyAlignment="1" applyBorder="1" applyFill="1" applyFont="1" applyNumberFormat="1">
      <alignment horizontal="center" readingOrder="0" vertical="center"/>
    </xf>
    <xf borderId="18" fillId="4" fontId="9" numFmtId="164" xfId="0" applyAlignment="1" applyBorder="1" applyFill="1" applyFont="1" applyNumberFormat="1">
      <alignment horizontal="center" readingOrder="0" vertical="center"/>
    </xf>
    <xf borderId="19" fillId="4" fontId="9" numFmtId="164" xfId="0" applyAlignment="1" applyBorder="1" applyFill="1" applyFont="1" applyNumberFormat="1">
      <alignment horizontal="center" readingOrder="0" vertical="center"/>
    </xf>
    <xf borderId="0" fillId="0" fontId="4" numFmtId="0" xfId="0" applyAlignment="1" applyFont="1">
      <alignment horizontal="left" readingOrder="0" vertical="center"/>
    </xf>
    <xf borderId="23" fillId="4" fontId="9" numFmtId="164" xfId="0" applyAlignment="1" applyBorder="1" applyFill="1" applyFont="1" applyNumberFormat="1">
      <alignment horizontal="center" readingOrder="0" vertical="center"/>
    </xf>
    <xf borderId="82" fillId="10" fontId="11" numFmtId="0" xfId="0" applyAlignment="1" applyBorder="1" applyFill="1" applyFont="1">
      <alignment horizontal="left" readingOrder="0" vertical="center"/>
    </xf>
    <xf borderId="83" fillId="10" fontId="11" numFmtId="164" xfId="0" applyAlignment="1" applyBorder="1" applyFill="1" applyFont="1" applyNumberFormat="1">
      <alignment horizontal="left" readingOrder="0" shrinkToFit="0" wrapText="1"/>
    </xf>
    <xf borderId="84" fillId="10" fontId="12" numFmtId="164" xfId="0" applyAlignment="1" applyBorder="1" applyFill="1" applyFont="1" applyNumberFormat="1">
      <alignment horizontal="center" readingOrder="0" vertical="center"/>
    </xf>
    <xf borderId="85" fillId="10" fontId="12" numFmtId="164" xfId="0" applyAlignment="1" applyBorder="1" applyFill="1" applyFont="1" applyNumberFormat="1">
      <alignment horizontal="center" readingOrder="0" vertical="center"/>
    </xf>
    <xf borderId="32" fillId="0" fontId="5" numFmtId="164" xfId="0" applyAlignment="1" applyBorder="1" applyFont="1" applyNumberFormat="1">
      <alignment horizontal="center" readingOrder="0" vertical="center"/>
    </xf>
    <xf borderId="29" fillId="0" fontId="5" numFmtId="164" xfId="0" applyAlignment="1" applyBorder="1" applyFont="1" applyNumberFormat="1">
      <alignment horizontal="center" readingOrder="0" vertical="center"/>
    </xf>
    <xf borderId="86" fillId="10" fontId="12" numFmtId="164" xfId="0" applyAlignment="1" applyBorder="1" applyFill="1" applyFont="1" applyNumberFormat="1">
      <alignment horizontal="center" readingOrder="0" vertical="center"/>
    </xf>
    <xf borderId="32" fillId="0" fontId="5" numFmtId="164" xfId="0" applyAlignment="1" applyBorder="1" applyFont="1" applyNumberFormat="1">
      <alignment horizontal="center" vertical="center"/>
    </xf>
    <xf borderId="0" fillId="0" fontId="4" numFmtId="164" xfId="0" applyAlignment="1" applyFont="1" applyNumberFormat="1">
      <alignment horizontal="center" readingOrder="0" vertical="center"/>
    </xf>
    <xf borderId="86" fillId="10" fontId="6" numFmtId="164" xfId="0" applyAlignment="1" applyBorder="1" applyFill="1" applyFont="1" applyNumberFormat="1">
      <alignment horizontal="left" readingOrder="0" shrinkToFit="0" vertical="center" wrapText="1"/>
    </xf>
    <xf borderId="84" fillId="10" fontId="11" numFmtId="164" xfId="0" applyAlignment="1" applyBorder="1" applyFill="1" applyFont="1" applyNumberFormat="1">
      <alignment horizontal="left" readingOrder="0" vertical="center"/>
    </xf>
    <xf borderId="87" fillId="10" fontId="11" numFmtId="164" xfId="0" applyAlignment="1" applyBorder="1" applyFill="1" applyFont="1" applyNumberFormat="1">
      <alignment horizontal="center" readingOrder="0" vertical="center"/>
    </xf>
    <xf borderId="30" fillId="0" fontId="6" numFmtId="164" xfId="0" applyAlignment="1" applyBorder="1" applyFont="1" applyNumberFormat="1">
      <alignment horizontal="left" readingOrder="0" shrinkToFit="0" vertical="center" wrapText="1"/>
    </xf>
    <xf borderId="0" fillId="9" fontId="12" numFmtId="164" xfId="0" applyAlignment="1" applyFill="1" applyFont="1" applyNumberFormat="1">
      <alignment horizontal="center" readingOrder="0" vertical="center"/>
    </xf>
    <xf borderId="19" fillId="5" fontId="12" numFmtId="164" xfId="0" applyAlignment="1" applyBorder="1" applyFill="1" applyFont="1" applyNumberFormat="1">
      <alignment horizontal="left" readingOrder="0" vertical="center"/>
    </xf>
    <xf borderId="19" fillId="5" fontId="5" numFmtId="164" xfId="0" applyAlignment="1" applyBorder="1" applyFill="1" applyFont="1" applyNumberFormat="1">
      <alignment horizontal="left" readingOrder="0" vertical="center"/>
    </xf>
    <xf borderId="35" fillId="5" fontId="4" numFmtId="164" xfId="0" applyAlignment="1" applyBorder="1" applyFill="1" applyFont="1" applyNumberFormat="1">
      <alignment horizontal="left" shrinkToFit="0" wrapText="1"/>
    </xf>
    <xf borderId="36" fillId="5" fontId="12" numFmtId="164" xfId="0" applyAlignment="1" applyBorder="1" applyFill="1" applyFont="1" applyNumberFormat="1">
      <alignment horizontal="left" readingOrder="0" vertical="center"/>
    </xf>
    <xf borderId="19" fillId="4" fontId="8" numFmtId="168" xfId="0" applyAlignment="1" applyBorder="1" applyFill="1" applyFont="1" applyNumberFormat="1">
      <alignment horizontal="center" readingOrder="0" vertical="center"/>
    </xf>
    <xf borderId="37" fillId="5" fontId="12" numFmtId="164" xfId="0" applyAlignment="1" applyBorder="1" applyFill="1" applyFont="1" applyNumberFormat="1">
      <alignment horizontal="left" readingOrder="0" vertical="center"/>
    </xf>
    <xf borderId="0" fillId="0" fontId="28" numFmtId="0" xfId="0" applyAlignment="1" applyFont="1">
      <alignment readingOrder="0" vertical="center"/>
    </xf>
    <xf borderId="37" fillId="5" fontId="5" numFmtId="164" xfId="0" applyAlignment="1" applyBorder="1" applyFill="1" applyFont="1" applyNumberFormat="1">
      <alignment horizontal="left" vertical="center"/>
    </xf>
    <xf borderId="0" fillId="0" fontId="28" numFmtId="0" xfId="0" applyAlignment="1" applyFont="1">
      <alignment vertical="center"/>
    </xf>
    <xf borderId="57" fillId="5" fontId="5" numFmtId="164" xfId="0" applyAlignment="1" applyBorder="1" applyFill="1" applyFont="1" applyNumberFormat="1">
      <alignment horizontal="left" vertical="center"/>
    </xf>
    <xf borderId="57" fillId="5" fontId="6" numFmtId="164" xfId="0" applyAlignment="1" applyBorder="1" applyFill="1" applyFont="1" applyNumberFormat="1">
      <alignment horizontal="left" shrinkToFit="0" vertical="center" wrapText="1"/>
    </xf>
    <xf borderId="58" fillId="5" fontId="5" numFmtId="164" xfId="0" applyAlignment="1" applyBorder="1" applyFill="1" applyFont="1" applyNumberFormat="1">
      <alignment horizontal="center" vertical="center"/>
    </xf>
    <xf borderId="0" fillId="0" fontId="29" numFmtId="0" xfId="0" applyAlignment="1" applyFont="1">
      <alignment readingOrder="0" shrinkToFit="0" vertical="center" wrapText="1"/>
    </xf>
    <xf borderId="0" fillId="0" fontId="5" numFmtId="0" xfId="0" applyAlignment="1" applyFont="1">
      <alignment vertical="center"/>
    </xf>
    <xf borderId="1" fillId="10" fontId="4" numFmtId="0" xfId="0" applyAlignment="1" applyBorder="1" applyFill="1" applyFont="1">
      <alignment horizontal="center" readingOrder="0" shrinkToFit="0" vertical="center" wrapText="1"/>
    </xf>
    <xf borderId="0" fillId="0" fontId="6" numFmtId="164" xfId="0" applyAlignment="1" applyFont="1" applyNumberFormat="1">
      <alignment horizontal="left" shrinkToFit="0" vertical="center" wrapText="1"/>
    </xf>
    <xf borderId="1" fillId="0" fontId="5" numFmtId="0" xfId="0" applyAlignment="1" applyBorder="1" applyFont="1">
      <alignment horizontal="center" readingOrder="0" vertical="center"/>
    </xf>
    <xf borderId="1" fillId="0" fontId="5" numFmtId="0" xfId="0" applyAlignment="1" applyBorder="1" applyFont="1">
      <alignment readingOrder="0" vertical="center"/>
    </xf>
    <xf borderId="1" fillId="0" fontId="5" numFmtId="1" xfId="0" applyAlignment="1" applyBorder="1" applyFont="1" applyNumberFormat="1">
      <alignment horizontal="center" vertical="center"/>
    </xf>
    <xf borderId="1" fillId="0" fontId="5" numFmtId="165" xfId="0" applyAlignment="1" applyBorder="1" applyFont="1" applyNumberFormat="1">
      <alignment vertical="center"/>
    </xf>
    <xf borderId="1" fillId="3" fontId="4" numFmtId="165" xfId="0" applyAlignment="1" applyBorder="1" applyFill="1" applyFont="1" applyNumberFormat="1">
      <alignment vertical="center"/>
    </xf>
    <xf borderId="39" fillId="9" fontId="4" numFmtId="172" xfId="0" applyAlignment="1" applyBorder="1" applyFill="1" applyFont="1" applyNumberFormat="1">
      <alignment horizontal="left" readingOrder="0" vertical="center"/>
    </xf>
    <xf borderId="1" fillId="0" fontId="5" numFmtId="189" xfId="0" applyAlignment="1" applyBorder="1" applyFont="1" applyNumberFormat="1">
      <alignment horizontal="center" vertical="center"/>
    </xf>
    <xf borderId="0" fillId="9" fontId="12" numFmtId="164" xfId="0" applyAlignment="1" applyFill="1" applyFont="1" applyNumberFormat="1">
      <alignment horizontal="center" readingOrder="0" vertical="center"/>
    </xf>
    <xf borderId="39" fillId="3" fontId="4" numFmtId="172" xfId="0" applyAlignment="1" applyBorder="1" applyFill="1" applyFont="1" applyNumberFormat="1">
      <alignment horizontal="left" readingOrder="0" vertical="center"/>
    </xf>
    <xf borderId="0" fillId="3" fontId="12" numFmtId="164" xfId="0" applyAlignment="1" applyFill="1" applyFont="1" applyNumberFormat="1">
      <alignment horizontal="center" readingOrder="0" vertical="center"/>
    </xf>
    <xf borderId="39" fillId="0" fontId="4" numFmtId="0" xfId="0" applyAlignment="1" applyBorder="1" applyFont="1">
      <alignment horizontal="left" readingOrder="0" vertical="center"/>
    </xf>
    <xf borderId="32" fillId="0" fontId="19" numFmtId="164" xfId="0" applyAlignment="1" applyBorder="1" applyFont="1" applyNumberFormat="1">
      <alignment horizontal="center" readingOrder="0" vertical="center"/>
    </xf>
    <xf borderId="29" fillId="0" fontId="19" numFmtId="164" xfId="0" applyAlignment="1" applyBorder="1" applyFont="1" applyNumberFormat="1">
      <alignment horizontal="center" readingOrder="0" vertical="center"/>
    </xf>
    <xf borderId="32" fillId="3" fontId="19" numFmtId="164" xfId="0" applyAlignment="1" applyBorder="1" applyFill="1" applyFont="1" applyNumberFormat="1">
      <alignment horizontal="left" vertical="center"/>
    </xf>
    <xf borderId="0" fillId="3" fontId="19" numFmtId="164" xfId="0" applyAlignment="1" applyFill="1" applyFont="1" applyNumberFormat="1">
      <alignment horizontal="center" readingOrder="0" vertical="center"/>
    </xf>
    <xf borderId="32" fillId="9" fontId="19" numFmtId="164" xfId="0" applyAlignment="1" applyBorder="1" applyFill="1" applyFont="1" applyNumberFormat="1">
      <alignment horizontal="left" vertical="center"/>
    </xf>
    <xf borderId="0" fillId="9" fontId="19" numFmtId="164" xfId="0" applyAlignment="1" applyFill="1" applyFont="1" applyNumberFormat="1">
      <alignment horizontal="center" readingOrder="0" vertical="center"/>
    </xf>
    <xf borderId="0" fillId="0" fontId="30" numFmtId="0" xfId="0" applyAlignment="1" applyFont="1">
      <alignment readingOrder="0" vertical="center"/>
    </xf>
    <xf borderId="0" fillId="0" fontId="30" numFmtId="0" xfId="0" applyAlignment="1" applyFont="1">
      <alignment vertical="center"/>
    </xf>
    <xf borderId="88" fillId="10" fontId="4" numFmtId="0" xfId="0" applyAlignment="1" applyBorder="1" applyFill="1" applyFont="1">
      <alignment horizontal="center" readingOrder="0" shrinkToFit="0" vertical="center" wrapText="1"/>
    </xf>
    <xf borderId="88" fillId="0" fontId="5" numFmtId="0" xfId="0" applyAlignment="1" applyBorder="1" applyFont="1">
      <alignment readingOrder="0" vertical="center"/>
    </xf>
    <xf borderId="39" fillId="3" fontId="11" numFmtId="0" xfId="0" applyAlignment="1" applyBorder="1" applyFill="1" applyFont="1">
      <alignment horizontal="left" readingOrder="0" vertical="center"/>
    </xf>
    <xf borderId="30" fillId="3" fontId="5" numFmtId="164" xfId="0" applyAlignment="1" applyBorder="1" applyFill="1" applyFont="1" applyNumberFormat="1">
      <alignment horizontal="left" shrinkToFit="0" wrapText="1"/>
    </xf>
    <xf borderId="88" fillId="0" fontId="5" numFmtId="1" xfId="0" applyAlignment="1" applyBorder="1" applyFont="1" applyNumberFormat="1">
      <alignment horizontal="center" vertical="center"/>
    </xf>
    <xf borderId="30" fillId="3" fontId="12" numFmtId="164" xfId="0" applyAlignment="1" applyBorder="1" applyFill="1" applyFont="1" applyNumberFormat="1">
      <alignment horizontal="center" readingOrder="0" vertical="center"/>
    </xf>
    <xf borderId="88" fillId="0" fontId="5" numFmtId="0" xfId="0" applyAlignment="1" applyBorder="1" applyFont="1">
      <alignment readingOrder="0" shrinkToFit="0" vertical="center" wrapText="1"/>
    </xf>
    <xf borderId="88" fillId="0" fontId="5" numFmtId="0" xfId="0" applyAlignment="1" applyBorder="1" applyFont="1">
      <alignment shrinkToFit="0" vertical="center" wrapText="1"/>
    </xf>
    <xf borderId="29" fillId="0" fontId="5" numFmtId="164" xfId="0" applyAlignment="1" applyBorder="1" applyFont="1" applyNumberFormat="1">
      <alignment horizontal="center" vertical="center"/>
    </xf>
    <xf borderId="30" fillId="0" fontId="5" numFmtId="164" xfId="0" applyAlignment="1" applyBorder="1" applyFont="1" applyNumberFormat="1">
      <alignment horizontal="center" vertical="center"/>
    </xf>
    <xf borderId="39" fillId="0" fontId="26" numFmtId="0" xfId="0" applyAlignment="1" applyBorder="1" applyFont="1">
      <alignment readingOrder="0"/>
    </xf>
    <xf borderId="39" fillId="9" fontId="4" numFmtId="3" xfId="0" applyAlignment="1" applyBorder="1" applyFill="1" applyFont="1" applyNumberFormat="1">
      <alignment horizontal="left" readingOrder="0" vertical="center"/>
    </xf>
    <xf borderId="30" fillId="0" fontId="26" numFmtId="164" xfId="0" applyAlignment="1" applyBorder="1" applyFont="1" applyNumberFormat="1">
      <alignment readingOrder="0" shrinkToFit="0" vertical="bottom" wrapText="1"/>
    </xf>
    <xf borderId="32" fillId="0" fontId="26" numFmtId="164" xfId="0" applyAlignment="1" applyBorder="1" applyFont="1" applyNumberFormat="1">
      <alignment horizontal="center" readingOrder="0" vertical="center"/>
    </xf>
    <xf borderId="32" fillId="0" fontId="5" numFmtId="164" xfId="0" applyAlignment="1" applyBorder="1" applyFont="1" applyNumberFormat="1">
      <alignment horizontal="center" vertical="center"/>
    </xf>
    <xf borderId="32" fillId="0" fontId="4" numFmtId="164" xfId="0" applyAlignment="1" applyBorder="1" applyFont="1" applyNumberFormat="1">
      <alignment horizontal="left" vertical="center"/>
    </xf>
    <xf borderId="39" fillId="3" fontId="4" numFmtId="3" xfId="0" applyAlignment="1" applyBorder="1" applyFill="1" applyFont="1" applyNumberFormat="1">
      <alignment horizontal="left" readingOrder="0" vertical="center"/>
    </xf>
    <xf borderId="0" fillId="0" fontId="4" numFmtId="0" xfId="0" applyAlignment="1" applyFont="1">
      <alignment horizontal="left" readingOrder="0" vertical="center"/>
    </xf>
    <xf borderId="30" fillId="0" fontId="4" numFmtId="164" xfId="0" applyAlignment="1" applyBorder="1" applyFont="1" applyNumberFormat="1">
      <alignment horizontal="center" readingOrder="0" shrinkToFit="0" wrapText="1"/>
    </xf>
    <xf borderId="0" fillId="9" fontId="26" numFmtId="0" xfId="0" applyFill="1" applyFont="1"/>
    <xf borderId="0" fillId="9" fontId="26" numFmtId="164" xfId="0" applyAlignment="1" applyFill="1" applyFont="1" applyNumberFormat="1">
      <alignment readingOrder="0" shrinkToFit="0" vertical="bottom" wrapText="1"/>
    </xf>
    <xf borderId="0" fillId="9" fontId="26" numFmtId="164" xfId="0" applyAlignment="1" applyFill="1" applyFont="1" applyNumberFormat="1">
      <alignment horizontal="center" vertical="center"/>
    </xf>
    <xf borderId="0" fillId="9" fontId="26" numFmtId="164" xfId="0" applyAlignment="1" applyFill="1" applyFont="1" applyNumberFormat="1">
      <alignment horizontal="center" readingOrder="0" vertical="center"/>
    </xf>
    <xf borderId="0" fillId="9" fontId="27" numFmtId="164" xfId="0" applyAlignment="1" applyFill="1" applyFont="1" applyNumberFormat="1">
      <alignment vertical="center"/>
    </xf>
    <xf borderId="88" fillId="0" fontId="31" numFmtId="1" xfId="0" applyAlignment="1" applyBorder="1" applyFont="1" applyNumberFormat="1">
      <alignment horizontal="center" readingOrder="0" vertical="center"/>
    </xf>
    <xf borderId="30" fillId="9" fontId="5" numFmtId="164" xfId="0" applyAlignment="1" applyBorder="1" applyFill="1" applyFont="1" applyNumberFormat="1">
      <alignment horizontal="left" shrinkToFit="0" wrapText="1"/>
    </xf>
    <xf borderId="30" fillId="9" fontId="12" numFmtId="164" xfId="0" applyAlignment="1" applyBorder="1" applyFill="1" applyFont="1" applyNumberFormat="1">
      <alignment horizontal="center" readingOrder="0" vertical="center"/>
    </xf>
    <xf borderId="88" fillId="3" fontId="4" numFmtId="0" xfId="0" applyAlignment="1" applyBorder="1" applyFill="1" applyFont="1">
      <alignment readingOrder="0" vertical="center"/>
    </xf>
    <xf borderId="88" fillId="3" fontId="4" numFmtId="0" xfId="0" applyAlignment="1" applyBorder="1" applyFill="1" applyFont="1">
      <alignment vertical="center"/>
    </xf>
    <xf borderId="88" fillId="3" fontId="4" numFmtId="1" xfId="0" applyAlignment="1" applyBorder="1" applyFill="1" applyFont="1" applyNumberFormat="1">
      <alignment horizontal="center" vertical="center"/>
    </xf>
    <xf quotePrefix="1" borderId="88" fillId="0" fontId="5" numFmtId="0" xfId="0" applyAlignment="1" applyBorder="1" applyFont="1">
      <alignment horizontal="center" readingOrder="0" vertical="center"/>
    </xf>
    <xf borderId="88" fillId="0" fontId="5" numFmtId="190" xfId="0" applyAlignment="1" applyBorder="1" applyFont="1" applyNumberFormat="1">
      <alignment horizontal="center" readingOrder="0" vertical="center"/>
    </xf>
    <xf borderId="88" fillId="0" fontId="5" numFmtId="190" xfId="0" applyAlignment="1" applyBorder="1" applyFont="1" applyNumberFormat="1">
      <alignment horizontal="center" vertical="center"/>
    </xf>
    <xf borderId="39" fillId="3" fontId="12" numFmtId="0" xfId="0" applyAlignment="1" applyBorder="1" applyFill="1" applyFont="1">
      <alignment horizontal="left" readingOrder="0" vertical="center"/>
    </xf>
    <xf borderId="39" fillId="9" fontId="12" numFmtId="0" xfId="0" applyAlignment="1" applyBorder="1" applyFill="1" applyFont="1">
      <alignment horizontal="left" readingOrder="0" vertical="center"/>
    </xf>
    <xf borderId="30" fillId="3" fontId="12" numFmtId="164" xfId="0" applyAlignment="1" applyBorder="1" applyFill="1" applyFont="1" applyNumberFormat="1">
      <alignment horizontal="left" readingOrder="0" shrinkToFit="0" wrapText="1"/>
    </xf>
    <xf borderId="19" fillId="5" fontId="11" numFmtId="164" xfId="0" applyAlignment="1" applyBorder="1" applyFill="1" applyFont="1" applyNumberFormat="1">
      <alignment horizontal="center" readingOrder="0" vertical="center"/>
    </xf>
    <xf borderId="17" fillId="5" fontId="11" numFmtId="164" xfId="0" applyAlignment="1" applyBorder="1" applyFill="1" applyFont="1" applyNumberFormat="1">
      <alignment horizontal="center" readingOrder="0" vertical="center"/>
    </xf>
    <xf borderId="36" fillId="5" fontId="11" numFmtId="164" xfId="0" applyAlignment="1" applyBorder="1" applyFill="1" applyFont="1" applyNumberFormat="1">
      <alignment horizontal="center" readingOrder="0" vertical="center"/>
    </xf>
    <xf borderId="37" fillId="5" fontId="11" numFmtId="164" xfId="0" applyAlignment="1" applyBorder="1" applyFill="1" applyFont="1" applyNumberFormat="1">
      <alignment horizontal="center" readingOrder="0" vertical="center"/>
    </xf>
    <xf borderId="36" fillId="3" fontId="12" numFmtId="164" xfId="0" applyAlignment="1" applyBorder="1" applyFill="1" applyFont="1" applyNumberFormat="1">
      <alignment horizontal="center" readingOrder="0" vertical="center"/>
    </xf>
    <xf borderId="37" fillId="3" fontId="12" numFmtId="164" xfId="0" applyAlignment="1" applyBorder="1" applyFill="1" applyFont="1" applyNumberFormat="1">
      <alignment horizontal="center" readingOrder="0" vertical="center"/>
    </xf>
    <xf borderId="32" fillId="3" fontId="12" numFmtId="164" xfId="0" applyAlignment="1" applyBorder="1" applyFill="1" applyFont="1" applyNumberFormat="1">
      <alignment horizontal="left" readingOrder="0" vertical="center"/>
    </xf>
    <xf borderId="55" fillId="3" fontId="5" numFmtId="164" xfId="0" applyAlignment="1" applyBorder="1" applyFill="1" applyFont="1" applyNumberFormat="1">
      <alignment horizontal="center" readingOrder="0" vertical="center"/>
    </xf>
    <xf borderId="32" fillId="9" fontId="12" numFmtId="164" xfId="0" applyAlignment="1" applyBorder="1" applyFill="1" applyFont="1" applyNumberFormat="1">
      <alignment horizontal="left" readingOrder="0" vertical="center"/>
    </xf>
    <xf borderId="29" fillId="9" fontId="12" numFmtId="164" xfId="0" applyAlignment="1" applyBorder="1" applyFill="1" applyFont="1" applyNumberFormat="1">
      <alignment horizontal="left" readingOrder="0" vertical="center"/>
    </xf>
    <xf borderId="55" fillId="9" fontId="5" numFmtId="164" xfId="0" applyAlignment="1" applyBorder="1" applyFill="1" applyFont="1" applyNumberFormat="1">
      <alignment horizontal="center" readingOrder="0" vertical="center"/>
    </xf>
    <xf quotePrefix="1" borderId="39" fillId="9" fontId="11" numFmtId="0" xfId="0" applyAlignment="1" applyBorder="1" applyFill="1" applyFont="1">
      <alignment horizontal="left" readingOrder="0" vertical="center"/>
    </xf>
    <xf quotePrefix="1" borderId="39" fillId="3" fontId="11" numFmtId="0" xfId="0" applyAlignment="1" applyBorder="1" applyFill="1" applyFont="1">
      <alignment horizontal="left" readingOrder="0" vertical="center"/>
    </xf>
    <xf borderId="39" fillId="9" fontId="23" numFmtId="0" xfId="0" applyAlignment="1" applyBorder="1" applyFill="1" applyFont="1">
      <alignment horizontal="left" readingOrder="0" vertical="center"/>
    </xf>
    <xf borderId="30" fillId="9" fontId="19" numFmtId="164" xfId="0" applyAlignment="1" applyBorder="1" applyFill="1" applyFont="1" applyNumberFormat="1">
      <alignment horizontal="left" readingOrder="0" shrinkToFit="0" wrapText="1"/>
    </xf>
    <xf borderId="32" fillId="9" fontId="19" numFmtId="164" xfId="0" applyAlignment="1" applyBorder="1" applyFill="1" applyFont="1" applyNumberFormat="1">
      <alignment horizontal="left" readingOrder="0" vertical="center"/>
    </xf>
    <xf borderId="29" fillId="9" fontId="19" numFmtId="164" xfId="0" applyAlignment="1" applyBorder="1" applyFill="1" applyFont="1" applyNumberFormat="1">
      <alignment horizontal="left" readingOrder="0" vertical="center"/>
    </xf>
    <xf borderId="32" fillId="9" fontId="19" numFmtId="164" xfId="0" applyAlignment="1" applyBorder="1" applyFill="1" applyFont="1" applyNumberFormat="1">
      <alignment horizontal="center" readingOrder="0" vertical="center"/>
    </xf>
    <xf borderId="29" fillId="9" fontId="19" numFmtId="164" xfId="0" applyAlignment="1" applyBorder="1" applyFill="1" applyFont="1" applyNumberFormat="1">
      <alignment horizontal="center" readingOrder="0" vertical="center"/>
    </xf>
    <xf borderId="39" fillId="3" fontId="23" numFmtId="0" xfId="0" applyAlignment="1" applyBorder="1" applyFill="1" applyFont="1">
      <alignment horizontal="left" readingOrder="0" vertical="center"/>
    </xf>
    <xf borderId="30" fillId="3" fontId="19" numFmtId="164" xfId="0" applyAlignment="1" applyBorder="1" applyFill="1" applyFont="1" applyNumberFormat="1">
      <alignment horizontal="left" readingOrder="0" shrinkToFit="0" wrapText="1"/>
    </xf>
    <xf borderId="32" fillId="3" fontId="19" numFmtId="164" xfId="0" applyAlignment="1" applyBorder="1" applyFill="1" applyFont="1" applyNumberFormat="1">
      <alignment horizontal="left" readingOrder="0" vertical="center"/>
    </xf>
    <xf borderId="29" fillId="3" fontId="19" numFmtId="164" xfId="0" applyAlignment="1" applyBorder="1" applyFill="1" applyFont="1" applyNumberFormat="1">
      <alignment horizontal="left" readingOrder="0" vertical="center"/>
    </xf>
    <xf borderId="32" fillId="3" fontId="19" numFmtId="164" xfId="0" applyAlignment="1" applyBorder="1" applyFill="1" applyFont="1" applyNumberFormat="1">
      <alignment horizontal="center" readingOrder="0" vertical="center"/>
    </xf>
    <xf borderId="29" fillId="3" fontId="19" numFmtId="164" xfId="0" applyAlignment="1" applyBorder="1" applyFill="1" applyFont="1" applyNumberFormat="1">
      <alignment horizontal="center" readingOrder="0" vertical="center"/>
    </xf>
    <xf borderId="29" fillId="3" fontId="5" numFmtId="164" xfId="0" applyAlignment="1" applyBorder="1" applyFill="1" applyFont="1" applyNumberFormat="1">
      <alignment horizontal="left" vertical="center"/>
    </xf>
    <xf borderId="30" fillId="3" fontId="5" numFmtId="164" xfId="0" applyAlignment="1" applyBorder="1" applyFill="1" applyFont="1" applyNumberFormat="1">
      <alignment horizontal="left" vertical="center"/>
    </xf>
    <xf borderId="1" fillId="3" fontId="4" numFmtId="0" xfId="0" applyAlignment="1" applyBorder="1" applyFill="1" applyFont="1">
      <alignment vertical="center"/>
    </xf>
    <xf borderId="1" fillId="3" fontId="4" numFmtId="0" xfId="0" applyAlignment="1" applyBorder="1" applyFill="1" applyFont="1">
      <alignment readingOrder="0" vertical="center"/>
    </xf>
    <xf borderId="1" fillId="3" fontId="4" numFmtId="1" xfId="0" applyAlignment="1" applyBorder="1" applyFill="1" applyFont="1" applyNumberFormat="1">
      <alignment horizontal="center" vertical="center"/>
    </xf>
    <xf borderId="1" fillId="3" fontId="4" numFmtId="189" xfId="0" applyAlignment="1" applyBorder="1" applyFill="1" applyFont="1" applyNumberFormat="1">
      <alignment horizontal="center" vertical="center"/>
    </xf>
    <xf borderId="29" fillId="9" fontId="5" numFmtId="164" xfId="0" applyAlignment="1" applyBorder="1" applyFill="1" applyFont="1" applyNumberFormat="1">
      <alignment horizontal="left" vertical="center"/>
    </xf>
    <xf borderId="30" fillId="9" fontId="5" numFmtId="164" xfId="0" applyAlignment="1" applyBorder="1" applyFill="1" applyFont="1" applyNumberFormat="1">
      <alignment horizontal="left" vertical="center"/>
    </xf>
    <xf borderId="29" fillId="3" fontId="5" numFmtId="164" xfId="0" applyAlignment="1" applyBorder="1" applyFill="1" applyFont="1" applyNumberFormat="1">
      <alignment horizontal="left" readingOrder="0" vertical="center"/>
    </xf>
    <xf borderId="30" fillId="3" fontId="5" numFmtId="164" xfId="0" applyAlignment="1" applyBorder="1" applyFill="1" applyFont="1" applyNumberFormat="1">
      <alignment horizontal="left" readingOrder="0" vertical="center"/>
    </xf>
    <xf borderId="29" fillId="9" fontId="5" numFmtId="164" xfId="0" applyAlignment="1" applyBorder="1" applyFill="1" applyFont="1" applyNumberFormat="1">
      <alignment horizontal="left" readingOrder="0" vertical="center"/>
    </xf>
    <xf borderId="30" fillId="9" fontId="5" numFmtId="164" xfId="0" applyAlignment="1" applyBorder="1" applyFill="1" applyFont="1" applyNumberFormat="1">
      <alignment horizontal="left" readingOrder="0" vertical="center"/>
    </xf>
    <xf borderId="39" fillId="9" fontId="4" numFmtId="0" xfId="0" applyAlignment="1" applyBorder="1" applyFill="1" applyFont="1">
      <alignment horizontal="left" readingOrder="0" vertical="center"/>
    </xf>
    <xf borderId="29" fillId="9" fontId="5" numFmtId="164" xfId="0" applyAlignment="1" applyBorder="1" applyFill="1" applyFont="1" applyNumberFormat="1">
      <alignment horizontal="center" vertical="center"/>
    </xf>
    <xf borderId="39" fillId="3" fontId="4" numFmtId="0" xfId="0" applyAlignment="1" applyBorder="1" applyFill="1" applyFont="1">
      <alignment horizontal="left" readingOrder="0" vertical="center"/>
    </xf>
    <xf borderId="29" fillId="3" fontId="5" numFmtId="164" xfId="0" applyAlignment="1" applyBorder="1" applyFill="1" applyFont="1" applyNumberFormat="1">
      <alignment horizontal="center" vertical="center"/>
    </xf>
    <xf borderId="88" fillId="0" fontId="5" numFmtId="0" xfId="0" applyAlignment="1" applyBorder="1" applyFont="1">
      <alignment horizontal="center" readingOrder="0" vertical="center"/>
    </xf>
    <xf borderId="32" fillId="9" fontId="5" numFmtId="0" xfId="0" applyAlignment="1" applyBorder="1" applyFill="1" applyFont="1">
      <alignment horizontal="left" readingOrder="0" vertical="center"/>
    </xf>
    <xf borderId="89" fillId="5" fontId="32" numFmtId="0" xfId="0" applyBorder="1" applyFill="1" applyFont="1"/>
    <xf borderId="90" fillId="5" fontId="32" numFmtId="164" xfId="0" applyAlignment="1" applyBorder="1" applyFill="1" applyFont="1" applyNumberFormat="1">
      <alignment readingOrder="0" shrinkToFit="0" vertical="bottom" wrapText="1"/>
    </xf>
    <xf borderId="91" fillId="5" fontId="26" numFmtId="164" xfId="0" applyAlignment="1" applyBorder="1" applyFill="1" applyFont="1" applyNumberFormat="1">
      <alignment horizontal="center" vertical="center"/>
    </xf>
    <xf borderId="92" fillId="5" fontId="26" numFmtId="164" xfId="0" applyAlignment="1" applyBorder="1" applyFill="1" applyFont="1" applyNumberFormat="1">
      <alignment horizontal="center" vertical="center"/>
    </xf>
    <xf borderId="91" fillId="5" fontId="27" numFmtId="164" xfId="0" applyAlignment="1" applyBorder="1" applyFill="1" applyFont="1" applyNumberFormat="1">
      <alignment vertical="center"/>
    </xf>
    <xf borderId="92" fillId="5" fontId="27" numFmtId="164" xfId="0" applyAlignment="1" applyBorder="1" applyFill="1" applyFont="1" applyNumberFormat="1">
      <alignment vertical="center"/>
    </xf>
    <xf borderId="93" fillId="5" fontId="27" numFmtId="164" xfId="0" applyAlignment="1" applyBorder="1" applyFill="1" applyFont="1" applyNumberFormat="1">
      <alignment vertical="center"/>
    </xf>
    <xf borderId="91" fillId="5" fontId="33" numFmtId="164" xfId="0" applyAlignment="1" applyBorder="1" applyFill="1" applyFont="1" applyNumberFormat="1">
      <alignment vertical="center"/>
    </xf>
    <xf borderId="94" fillId="5" fontId="33" numFmtId="164" xfId="0" applyAlignment="1" applyBorder="1" applyFill="1" applyFont="1" applyNumberFormat="1">
      <alignment vertical="center"/>
    </xf>
    <xf borderId="29" fillId="3" fontId="5" numFmtId="164" xfId="0" applyAlignment="1" applyBorder="1" applyFill="1" applyFont="1" applyNumberFormat="1">
      <alignment vertical="center"/>
    </xf>
    <xf borderId="29" fillId="9" fontId="5" numFmtId="164" xfId="0" applyAlignment="1" applyBorder="1" applyFill="1" applyFont="1" applyNumberFormat="1">
      <alignment vertical="center"/>
    </xf>
    <xf borderId="56" fillId="9" fontId="11" numFmtId="0" xfId="0" applyAlignment="1" applyBorder="1" applyFill="1" applyFont="1">
      <alignment horizontal="left" readingOrder="0" vertical="center"/>
    </xf>
    <xf borderId="57" fillId="9" fontId="5" numFmtId="164" xfId="0" applyAlignment="1" applyBorder="1" applyFill="1" applyFont="1" applyNumberFormat="1">
      <alignment horizontal="left" shrinkToFit="0" wrapText="1"/>
    </xf>
    <xf borderId="36" fillId="9" fontId="12" numFmtId="164" xfId="0" applyAlignment="1" applyBorder="1" applyFill="1" applyFont="1" applyNumberFormat="1">
      <alignment horizontal="left" readingOrder="0" vertical="center"/>
    </xf>
    <xf borderId="37" fillId="9" fontId="12" numFmtId="164" xfId="0" applyAlignment="1" applyBorder="1" applyFill="1" applyFont="1" applyNumberFormat="1">
      <alignment horizontal="left" readingOrder="0" vertical="center"/>
    </xf>
    <xf borderId="36" fillId="9" fontId="12" numFmtId="164" xfId="0" applyAlignment="1" applyBorder="1" applyFill="1" applyFont="1" applyNumberFormat="1">
      <alignment horizontal="center" readingOrder="0" vertical="center"/>
    </xf>
    <xf borderId="37" fillId="9" fontId="12" numFmtId="164" xfId="0" applyAlignment="1" applyBorder="1" applyFill="1" applyFont="1" applyNumberFormat="1">
      <alignment horizontal="center" readingOrder="0" vertical="center"/>
    </xf>
    <xf borderId="37" fillId="9" fontId="5" numFmtId="164" xfId="0" applyAlignment="1" applyBorder="1" applyFill="1" applyFont="1" applyNumberFormat="1">
      <alignment horizontal="left" vertical="center"/>
    </xf>
    <xf borderId="57" fillId="9" fontId="5" numFmtId="164" xfId="0" applyAlignment="1" applyBorder="1" applyFill="1" applyFont="1" applyNumberFormat="1">
      <alignment horizontal="left" vertical="center"/>
    </xf>
    <xf borderId="58" fillId="9" fontId="5" numFmtId="164" xfId="0" applyAlignment="1" applyBorder="1" applyFill="1" applyFont="1" applyNumberFormat="1">
      <alignment horizontal="center" vertical="center"/>
    </xf>
    <xf borderId="36" fillId="9" fontId="5" numFmtId="164" xfId="0" applyAlignment="1" applyBorder="1" applyFill="1" applyFont="1" applyNumberFormat="1">
      <alignment horizontal="left" vertical="center"/>
    </xf>
    <xf borderId="35" fillId="9" fontId="12" numFmtId="164" xfId="0" applyAlignment="1" applyBorder="1" applyFill="1" applyFont="1" applyNumberFormat="1">
      <alignment horizontal="center" readingOrder="0" vertical="center"/>
    </xf>
    <xf borderId="55" fillId="9" fontId="12" numFmtId="164" xfId="0" applyAlignment="1" applyBorder="1" applyFill="1" applyFont="1" applyNumberFormat="1">
      <alignment horizontal="center" readingOrder="0" vertical="center"/>
    </xf>
    <xf borderId="29" fillId="9" fontId="2" numFmtId="164" xfId="0" applyAlignment="1" applyBorder="1" applyFill="1" applyFont="1" applyNumberFormat="1">
      <alignment horizontal="left" vertical="center"/>
    </xf>
    <xf borderId="30" fillId="9" fontId="2" numFmtId="164" xfId="0" applyAlignment="1" applyBorder="1" applyFill="1" applyFont="1" applyNumberFormat="1">
      <alignment horizontal="left" vertical="center"/>
    </xf>
    <xf borderId="31" fillId="9" fontId="12" numFmtId="164" xfId="0" applyAlignment="1" applyBorder="1" applyFill="1" applyFont="1" applyNumberFormat="1">
      <alignment horizontal="center" readingOrder="0" vertical="center"/>
    </xf>
    <xf borderId="31" fillId="3" fontId="12" numFmtId="164" xfId="0" applyAlignment="1" applyBorder="1" applyFill="1" applyFont="1" applyNumberFormat="1">
      <alignment horizontal="center" vertical="center"/>
    </xf>
    <xf borderId="32" fillId="3" fontId="12" numFmtId="164" xfId="0" applyAlignment="1" applyBorder="1" applyFill="1" applyFont="1" applyNumberFormat="1">
      <alignment horizontal="left" vertical="center"/>
    </xf>
    <xf borderId="0" fillId="9" fontId="3" numFmtId="0" xfId="0" applyAlignment="1" applyFill="1" applyFont="1">
      <alignment horizontal="left"/>
    </xf>
    <xf borderId="0" fillId="9" fontId="2" numFmtId="164" xfId="0" applyFill="1" applyFont="1" applyNumberFormat="1"/>
    <xf borderId="32" fillId="9" fontId="2" numFmtId="164" xfId="0" applyAlignment="1" applyBorder="1" applyFill="1" applyFont="1" applyNumberFormat="1">
      <alignment vertical="center"/>
    </xf>
    <xf borderId="29" fillId="9" fontId="2" numFmtId="164" xfId="0" applyAlignment="1" applyBorder="1" applyFill="1" applyFont="1" applyNumberFormat="1">
      <alignment vertical="center"/>
    </xf>
    <xf borderId="30" fillId="9" fontId="2" numFmtId="164" xfId="0" applyAlignment="1" applyBorder="1" applyFill="1" applyFont="1" applyNumberFormat="1">
      <alignment vertical="center"/>
    </xf>
    <xf borderId="31" fillId="9" fontId="12" numFmtId="164" xfId="0" applyAlignment="1" applyBorder="1" applyFill="1" applyFont="1" applyNumberFormat="1">
      <alignment horizontal="center" vertical="center"/>
    </xf>
    <xf borderId="32" fillId="9" fontId="12" numFmtId="164" xfId="0" applyAlignment="1" applyBorder="1" applyFill="1" applyFont="1" applyNumberFormat="1">
      <alignment horizontal="left" vertical="center"/>
    </xf>
    <xf borderId="84" fillId="10" fontId="12" numFmtId="164" xfId="0" applyAlignment="1" applyBorder="1" applyFill="1" applyFont="1" applyNumberFormat="1">
      <alignment horizontal="center" vertical="center"/>
    </xf>
    <xf borderId="30" fillId="9" fontId="12" numFmtId="164" xfId="0" applyAlignment="1" applyBorder="1" applyFill="1" applyFont="1" applyNumberFormat="1">
      <alignment horizontal="left" readingOrder="0" shrinkToFit="0" wrapText="1"/>
    </xf>
    <xf borderId="31" fillId="3" fontId="12" numFmtId="164" xfId="0" applyAlignment="1" applyBorder="1" applyFill="1" applyFont="1" applyNumberFormat="1">
      <alignment horizontal="center" readingOrder="0" vertical="center"/>
    </xf>
    <xf borderId="0" fillId="3" fontId="11" numFmtId="0" xfId="0" applyAlignment="1" applyFill="1" applyFont="1">
      <alignment horizontal="left" readingOrder="0" vertical="center"/>
    </xf>
    <xf borderId="55" fillId="3" fontId="12" numFmtId="164" xfId="0" applyAlignment="1" applyBorder="1" applyFill="1" applyFont="1" applyNumberFormat="1">
      <alignment horizontal="center" readingOrder="0" vertical="center"/>
    </xf>
    <xf borderId="30" fillId="3" fontId="5" numFmtId="164" xfId="0" applyAlignment="1" applyBorder="1" applyFill="1" applyFont="1" applyNumberFormat="1">
      <alignment horizontal="center" vertical="center"/>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DBDBD"/>
          <bgColor rgb="FFBDBDBD"/>
        </patternFill>
      </fill>
      <border/>
    </dxf>
    <dxf>
      <font>
        <color rgb="FFA61C00"/>
      </font>
      <fill>
        <patternFill patternType="none"/>
      </fill>
      <border/>
    </dxf>
    <dxf>
      <font/>
      <fill>
        <patternFill patternType="solid">
          <fgColor rgb="FFFBE4CD"/>
          <bgColor rgb="FFFBE4CD"/>
        </patternFill>
      </fill>
      <border/>
    </dxf>
  </dxfs>
  <tableStyles count="8">
    <tableStyle count="2" pivot="0" name="GERAL-style">
      <tableStyleElement dxfId="1" type="firstRowStripe"/>
      <tableStyleElement dxfId="2" type="secondRowStripe"/>
    </tableStyle>
    <tableStyle count="3" pivot="0" name="questionamentos-style">
      <tableStyleElement dxfId="3" type="headerRow"/>
      <tableStyleElement dxfId="1" type="firstRowStripe"/>
      <tableStyleElement dxfId="2" type="secondRowStripe"/>
    </tableStyle>
    <tableStyle count="3" pivot="0" name="questionamentos-style 2">
      <tableStyleElement dxfId="3" type="headerRow"/>
      <tableStyleElement dxfId="1" type="firstRowStripe"/>
      <tableStyleElement dxfId="2" type="secondRowStripe"/>
    </tableStyle>
    <tableStyle count="3" pivot="0" name="questionamentos-style 3">
      <tableStyleElement dxfId="3" type="headerRow"/>
      <tableStyleElement dxfId="1" type="firstRowStripe"/>
      <tableStyleElement dxfId="2" type="secondRowStripe"/>
    </tableStyle>
    <tableStyle count="3" pivot="0" name="questionamentos-style 4">
      <tableStyleElement dxfId="3" type="headerRow"/>
      <tableStyleElement dxfId="1" type="firstRowStripe"/>
      <tableStyleElement dxfId="2" type="secondRowStripe"/>
    </tableStyle>
    <tableStyle count="3" pivot="0" name="questionamentos-style 5">
      <tableStyleElement dxfId="3" type="headerRow"/>
      <tableStyleElement dxfId="1" type="firstRowStripe"/>
      <tableStyleElement dxfId="2" type="secondRowStripe"/>
    </tableStyle>
    <tableStyle count="3" pivot="0" name="questionamentos-style 6">
      <tableStyleElement dxfId="3" type="headerRow"/>
      <tableStyleElement dxfId="1" type="firstRowStripe"/>
      <tableStyleElement dxfId="2" type="secondRowStripe"/>
    </tableStyle>
    <tableStyle count="3" pivot="0" name="questionamentos-style 7">
      <tableStyleElement dxfId="3"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Walter" id="{9e7437d5-dbd5-45dc-9d8e-7eb72ca55462}" providerId="google-sheets"/>
  <x18tc:person displayName="Luís Artur Siviero" id="{0c46a82e-16d5-488c-841e-70bfeba8c72e}" providerId="google-sheets"/>
</x18tc:personList>
</file>

<file path=xl/tables/table1.xml><?xml version="1.0" encoding="utf-8"?>
<table xmlns="http://schemas.openxmlformats.org/spreadsheetml/2006/main" headerRowCount="0" ref="A1:L758"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GERAL-style" showColumnStripes="0" showFirstColumn="1" showLastColumn="1" showRowStripes="1"/>
</table>
</file>

<file path=xl/tables/table2.xml><?xml version="1.0" encoding="utf-8"?>
<table xmlns="http://schemas.openxmlformats.org/spreadsheetml/2006/main" ref="B6:E46" displayName="Table_2" name="Table_2" id="2">
  <tableColumns count="4">
    <tableColumn name="Nome do Loteamento" id="1"/>
    <tableColumn name="Lotes 2018" id="2"/>
    <tableColumn name="Lotes 2025" id="3"/>
    <tableColumn name="Negociados" id="4"/>
  </tableColumns>
  <tableStyleInfo name="questionamentos-style" showColumnStripes="0" showFirstColumn="1" showLastColumn="1" showRowStripes="1"/>
</table>
</file>

<file path=xl/tables/table3.xml><?xml version="1.0" encoding="utf-8"?>
<table xmlns="http://schemas.openxmlformats.org/spreadsheetml/2006/main" ref="B48:B57" displayName="Table_3" name="Table_3" id="3">
  <tableColumns count="1">
    <tableColumn name="Situação dos empreendimentos citados em 2018" id="1"/>
  </tableColumns>
  <tableStyleInfo name="questionamentos-style 2" showColumnStripes="0" showFirstColumn="1" showLastColumn="1" showRowStripes="1"/>
</table>
</file>

<file path=xl/tables/table4.xml><?xml version="1.0" encoding="utf-8"?>
<table xmlns="http://schemas.openxmlformats.org/spreadsheetml/2006/main" headerRowCount="0" ref="B61:C70" displayName="Table_4" name="Table_4" id="4">
  <tableColumns count="2">
    <tableColumn name="Column1" id="1"/>
    <tableColumn name="Column2" id="2"/>
  </tableColumns>
  <tableStyleInfo name="questionamentos-style 3"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B73:C78" displayName="Table_5" name="Table_5" id="5">
  <tableColumns count="2">
    <tableColumn name="Column1" id="1"/>
    <tableColumn name="Column2" id="2"/>
  </tableColumns>
  <tableStyleInfo name="questionamentos-style 4"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B81:C86" displayName="Table_6" name="Table_6" id="6">
  <tableColumns count="2">
    <tableColumn name="Column1" id="1"/>
    <tableColumn name="Column2" id="2"/>
  </tableColumns>
  <tableStyleInfo name="questionamentos-style 5"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B89:B101" displayName="Table_7" name="Table_7" id="7">
  <tableColumns count="1">
    <tableColumn name="Empreendimentos não concluídos" id="1"/>
  </tableColumns>
  <tableStyleInfo name="questionamentos-style 6" showColumnStripes="0" showFirstColumn="1" showLastColumn="1" showRowStripes="1"/>
</table>
</file>

<file path=xl/tables/table8.xml><?xml version="1.0" encoding="utf-8"?>
<table xmlns="http://schemas.openxmlformats.org/spreadsheetml/2006/main" headerRowCount="0" ref="B103:C111" displayName="Table_8" name="Table_8" id="8">
  <tableColumns count="2">
    <tableColumn name="Column1" id="1"/>
    <tableColumn name="Column2" id="2"/>
  </tableColumns>
  <tableStyleInfo name="questionamentos-style 7"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1" dT="2025-11-26T18:38:46.00" personId="{0c46a82e-16d5-488c-841e-70bfeba8c72e}" id="{beb2a02c-51a0-40f4-8f12-e2a33358be14}" done="0">
    <x18tc:text xml:space="preserve">DESCRIÇÃO ANTIGA:
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R$ 10.000,00 cada chácara. | valor: R$ 100.000,00</x18tc:text>
  </x18tc:threadedComment>
  <x18tc:threadedComment ref="B83" dT="2025-11-26T18:41:34.00" personId="{0c46a82e-16d5-488c-841e-70bfeba8c72e}" id="{f190a087-cc9a-4483-a107-e1ce74a8de6d}" done="0">
    <x18tc:text xml:space="preserve">DESCRIÇÃO ANTIGA:
Uma área de terras rurais, denominada de LOTE Nº 33, com área total de 15,1 hectares, localizada no Município de Cotiporã – RS, na Linha Júlio de Castilhos, adquirida do Senhor ARMELINDO CALZA, área esta registrada sob Matrícula nº.: 1.218. Matrícula nº 1.218 = 15,1 hectares X R$ 5.000,00 | valor: R$ 75.500,00</x18tc:text>
  </x18tc:threadedComment>
  <x18tc:threadedComment ref="B85" dT="2025-11-26T18:44:58.00" personId="{0c46a82e-16d5-488c-841e-70bfeba8c72e}" id="{dc078dba-63bd-4bf1-9624-61bb451ac379}" done="0">
    <x18tc:text xml:space="preserve">DESCRIÇÃO ANTIGA:
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
Cadastrada no ITR – Receita Federal sob nº 1.893.570-2
INCRA/CCIR nº 854.093.042.013-5 | valor: R$ 45.000,00</x18tc:text>
  </x18tc:threadedComment>
  <x18tc:threadedComment ref="B71" dT="2025-11-26T18:24:46.00" personId="{0c46a82e-16d5-488c-841e-70bfeba8c72e}" id="{fb8d1111-9313-47fd-99a1-eb30f1252544}" done="0">
    <x18tc:text xml:space="preserve">DESCRIÇÃO ANTIGA:
Um terreno urbano, com a área de 1.942,03m², localizado na Rodovia BR 470, Km 175,4, no Bairro Valverde, devidamente registrado no Ofício de Registro de Imóveis da Comarca de Veranópolis, sob a Matrícula nº 17.409, localizado ao lado da empresa Oleoplan S/A, considerado o valor de R$ 2.000,00, ao metro quadrado, conforme sua localização e referência comercial = R$ 3.884.060,00.
Um terreno urbano, com a área de 2.850,00m², localizado na Rodovia BR 470, Km 175,4, no Bairro Valverde, devidamente registrado no Ofício de Registro de Imóveis da Comarca de Veranópolis, sob a Matrícula nº 6.136, localizado ao lado da empresa Oleoplan S/A, considerado o valor de R$ 2.000,00, ao metro quadrado, conforme sua localização e referência comercial = R$ 5.700.000,00.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 | valor: R$ 13.631.378,60</x18tc:text>
  </x18tc:threadedComment>
  <x18tc:threadedComment ref="B78" dT="2025-11-26T18:34:42.00" personId="{0c46a82e-16d5-488c-841e-70bfeba8c72e}" id="{dabdc746-6347-419a-97ed-9c67a238efce}" done="0">
    <x18tc:text xml:space="preserve">DESCRIÇÃO ANTIGA:
Uma área de terras rurais, denominada de PARTE DO LOTE RURAL Nº 12, com área total de 13,0 hectares, localizada na Linha Júlio de Castilhos, no Município de Veranópolis – RS, adquirida da FAMÍLIA SANGALI, área registrada sob Matrícula nº.: 3.062.
Matrícula nº 3.062 = 13,0 hectares X 11.000,00
Cadastrada no CCIR – Receita Federal sob nº 2.481.950-6 | valor: R$ 143.000,00</x18tc:text>
  </x18tc:threadedComment>
  <x18tc:threadedComment ref="B86" dT="2025-11-26T18:45:16.00" personId="{0c46a82e-16d5-488c-841e-70bfeba8c72e}" id="{4d56bd02-92d5-47a1-9dc5-78f9ca4fd8e1}" done="0">
    <x18tc:text xml:space="preserve">DESCRIÇÃO ANTIGA:
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
Cadastrada no ITR – Receita Federal sob nº 1.731.666-9
INCRA/CCIR nº 854.093.030.619-7 | valor: R$ 50.000,00</x18tc:text>
  </x18tc:threadedComment>
  <x18tc:threadedComment ref="E1" dT="2026-10-26T19:47:44.00" personId="{9e7437d5-dbd5-45dc-9d8e-7eb72ca55462}" id="{74b63f75-903d-471b-9bac-e7ce238b1934}" done="0">
    <x18tc:text xml:space="preserve">Patrimônio liquido da empresa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15" Type="http://schemas.openxmlformats.org/officeDocument/2006/relationships/table" Target="../tables/table8.xml"/><Relationship Id="rId14"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6.xml"/><Relationship Id="rId3"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outlineLevelRow="1"/>
  <cols>
    <col customWidth="1" min="1" max="1" width="6.75"/>
    <col customWidth="1" min="2" max="2" width="45.88"/>
    <col customWidth="1" min="3" max="3" width="19.75"/>
    <col customWidth="1" min="4" max="4" width="21.63"/>
    <col customWidth="1" min="5" max="7" width="16.0"/>
    <col customWidth="1" min="8" max="8" width="26.0"/>
    <col customWidth="1" min="9" max="9" width="47.63"/>
    <col customWidth="1" min="10" max="10" width="21.63"/>
    <col customWidth="1" min="11" max="11" width="85.88"/>
    <col customWidth="1" min="12" max="12" width="25.13"/>
  </cols>
  <sheetData>
    <row r="1">
      <c r="A1" s="5">
        <v>11.0</v>
      </c>
      <c r="B1" s="6" t="s">
        <v>8</v>
      </c>
      <c r="C1" s="10">
        <f>C3+C664</f>
        <v>137471260.6</v>
      </c>
      <c r="D1" s="12">
        <f>D3</f>
        <v>267220197.8</v>
      </c>
      <c r="E1" s="12">
        <f>E3+E664</f>
        <v>100874027.6</v>
      </c>
      <c r="F1" s="13"/>
      <c r="G1" s="13"/>
      <c r="H1" s="15"/>
      <c r="I1" s="15"/>
      <c r="J1" s="16"/>
      <c r="K1" s="17"/>
      <c r="L1" s="18"/>
    </row>
    <row r="2">
      <c r="A2" s="19"/>
      <c r="B2" s="20"/>
      <c r="C2" s="21" t="s">
        <v>19</v>
      </c>
      <c r="D2" s="22"/>
      <c r="E2" s="23"/>
      <c r="F2" s="24" t="s">
        <v>20</v>
      </c>
      <c r="G2" s="24" t="s">
        <v>24</v>
      </c>
      <c r="H2" s="25"/>
      <c r="I2" s="25"/>
      <c r="J2" s="26" t="str">
        <f>IF(J1&lt;0,"patrimônio diminuiu","patrimônio aumentou")</f>
        <v>patrimônio aumentou</v>
      </c>
      <c r="K2" s="27"/>
      <c r="L2" s="28"/>
    </row>
    <row r="3">
      <c r="A3" s="29">
        <v>11.1</v>
      </c>
      <c r="B3" s="30" t="s">
        <v>28</v>
      </c>
      <c r="C3" s="31">
        <f>C5+C29+C47+C62+C66+C73+C92</f>
        <v>137471260.6</v>
      </c>
      <c r="D3" s="32">
        <f t="shared" ref="D3:E3" si="1">D5+D29+D47+D66+D73+D92</f>
        <v>267220197.8</v>
      </c>
      <c r="E3" s="32">
        <f t="shared" si="1"/>
        <v>152796260.6</v>
      </c>
      <c r="F3" s="33"/>
      <c r="G3" s="33"/>
      <c r="H3" s="34"/>
      <c r="I3" s="34"/>
      <c r="J3" s="35">
        <f>E3-D3</f>
        <v>-114423937.2</v>
      </c>
      <c r="K3" s="36"/>
      <c r="L3" s="37"/>
    </row>
    <row r="4">
      <c r="A4" s="38"/>
      <c r="B4" s="39"/>
      <c r="C4" s="40"/>
      <c r="D4" s="41">
        <f>(D3/C3)-1</f>
        <v>0.9438259067</v>
      </c>
      <c r="E4" s="42"/>
      <c r="F4" s="43"/>
      <c r="G4" s="43"/>
      <c r="H4" s="44"/>
      <c r="I4" s="44"/>
      <c r="J4" s="45" t="str">
        <f>IF(#REF!&lt;0,"patrimônio diminuiu","patrimônio aumentou")</f>
        <v>#REF!</v>
      </c>
      <c r="K4" s="46"/>
      <c r="L4" s="47"/>
    </row>
    <row r="5">
      <c r="A5" s="48" t="s">
        <v>51</v>
      </c>
      <c r="B5" s="49" t="s">
        <v>52</v>
      </c>
      <c r="C5" s="50">
        <f t="shared" ref="C5:E5" si="2">SUM(C7:C27)</f>
        <v>983000</v>
      </c>
      <c r="D5" s="52">
        <f t="shared" si="2"/>
        <v>963000</v>
      </c>
      <c r="E5" s="52">
        <f t="shared" si="2"/>
        <v>1217000</v>
      </c>
      <c r="F5" s="55"/>
      <c r="G5" s="55"/>
      <c r="H5" s="56"/>
      <c r="I5" s="56"/>
      <c r="J5" s="58">
        <f>SUM(J7:J27)</f>
        <v>254000</v>
      </c>
      <c r="K5" s="59"/>
      <c r="L5" s="60"/>
    </row>
    <row r="6" collapsed="1">
      <c r="A6" s="63"/>
      <c r="B6" s="66"/>
      <c r="C6" s="71">
        <f>COUNTIF(C7:C28,"&gt;1")</f>
        <v>18</v>
      </c>
      <c r="D6" s="73">
        <f>(D5/C5)-1</f>
        <v>-0.02034587996</v>
      </c>
      <c r="E6" s="76">
        <f>COUNTIF(E7:E28,"&gt;1")</f>
        <v>15</v>
      </c>
      <c r="F6" s="76"/>
      <c r="G6" s="76"/>
      <c r="H6" s="77"/>
      <c r="I6" s="77"/>
      <c r="J6" s="78"/>
      <c r="K6" s="79"/>
      <c r="L6" s="82"/>
    </row>
    <row r="7" hidden="1" outlineLevel="1">
      <c r="A7" s="84">
        <v>1.0</v>
      </c>
      <c r="B7" s="86" t="s">
        <v>69</v>
      </c>
      <c r="C7" s="88">
        <v>198000.0</v>
      </c>
      <c r="D7" s="90">
        <v>198000.0</v>
      </c>
      <c r="E7" s="90">
        <v>198000.0</v>
      </c>
      <c r="F7" s="93"/>
      <c r="G7" s="93"/>
      <c r="H7" s="94"/>
      <c r="I7" s="94"/>
      <c r="J7" s="88">
        <f t="shared" ref="J7:J27" si="3">E7-D7</f>
        <v>0</v>
      </c>
      <c r="K7" s="98"/>
      <c r="L7" s="99"/>
    </row>
    <row r="8" hidden="1" outlineLevel="1">
      <c r="A8" s="84">
        <v>2.0</v>
      </c>
      <c r="B8" s="86" t="s">
        <v>83</v>
      </c>
      <c r="C8" s="88">
        <v>198000.0</v>
      </c>
      <c r="D8" s="90">
        <v>198000.0</v>
      </c>
      <c r="E8" s="90">
        <v>198000.0</v>
      </c>
      <c r="F8" s="93"/>
      <c r="G8" s="93"/>
      <c r="H8" s="94"/>
      <c r="I8" s="94"/>
      <c r="J8" s="88">
        <f t="shared" si="3"/>
        <v>0</v>
      </c>
      <c r="K8" s="98"/>
      <c r="L8" s="99"/>
    </row>
    <row r="9" hidden="1" outlineLevel="1">
      <c r="A9" s="84">
        <v>3.0</v>
      </c>
      <c r="B9" s="86" t="s">
        <v>85</v>
      </c>
      <c r="C9" s="88">
        <v>98000.0</v>
      </c>
      <c r="D9" s="90">
        <v>98000.0</v>
      </c>
      <c r="E9" s="90">
        <v>98000.0</v>
      </c>
      <c r="F9" s="93"/>
      <c r="G9" s="93"/>
      <c r="H9" s="94"/>
      <c r="I9" s="94"/>
      <c r="J9" s="88">
        <f t="shared" si="3"/>
        <v>0</v>
      </c>
      <c r="K9" s="98"/>
      <c r="L9" s="99"/>
    </row>
    <row r="10" hidden="1" outlineLevel="1">
      <c r="A10" s="84">
        <v>4.0</v>
      </c>
      <c r="B10" s="86" t="s">
        <v>87</v>
      </c>
      <c r="C10" s="88">
        <v>53000.0</v>
      </c>
      <c r="D10" s="90">
        <v>53000.0</v>
      </c>
      <c r="E10" s="90">
        <v>53000.0</v>
      </c>
      <c r="F10" s="93"/>
      <c r="G10" s="93"/>
      <c r="H10" s="94"/>
      <c r="I10" s="94"/>
      <c r="J10" s="88">
        <f t="shared" si="3"/>
        <v>0</v>
      </c>
      <c r="K10" s="98"/>
      <c r="L10" s="99"/>
    </row>
    <row r="11" hidden="1" outlineLevel="1">
      <c r="A11" s="84">
        <v>5.0</v>
      </c>
      <c r="B11" s="86" t="s">
        <v>103</v>
      </c>
      <c r="C11" s="88">
        <v>28000.0</v>
      </c>
      <c r="D11" s="90">
        <v>28000.0</v>
      </c>
      <c r="E11" s="90">
        <v>25000.0</v>
      </c>
      <c r="F11" s="93"/>
      <c r="G11" s="93"/>
      <c r="H11" s="94"/>
      <c r="I11" s="94"/>
      <c r="J11" s="88">
        <f t="shared" si="3"/>
        <v>-3000</v>
      </c>
      <c r="K11" s="98"/>
      <c r="L11" s="99"/>
    </row>
    <row r="12" hidden="1" outlineLevel="1">
      <c r="A12" s="84">
        <v>6.0</v>
      </c>
      <c r="B12" s="86" t="s">
        <v>111</v>
      </c>
      <c r="C12" s="88">
        <v>25000.0</v>
      </c>
      <c r="D12" s="90">
        <v>25000.0</v>
      </c>
      <c r="E12" s="90">
        <v>25000.0</v>
      </c>
      <c r="F12" s="93"/>
      <c r="G12" s="93"/>
      <c r="H12" s="94"/>
      <c r="I12" s="94"/>
      <c r="J12" s="88">
        <f t="shared" si="3"/>
        <v>0</v>
      </c>
      <c r="K12" s="98"/>
      <c r="L12" s="99"/>
    </row>
    <row r="13" hidden="1" outlineLevel="1">
      <c r="A13" s="84">
        <v>7.0</v>
      </c>
      <c r="B13" s="86" t="s">
        <v>117</v>
      </c>
      <c r="C13" s="88">
        <v>20000.0</v>
      </c>
      <c r="D13" s="90">
        <v>20000.0</v>
      </c>
      <c r="E13" s="90">
        <v>20000.0</v>
      </c>
      <c r="F13" s="93"/>
      <c r="G13" s="93"/>
      <c r="H13" s="94"/>
      <c r="I13" s="94"/>
      <c r="J13" s="88">
        <f t="shared" si="3"/>
        <v>0</v>
      </c>
      <c r="K13" s="98"/>
      <c r="L13" s="99"/>
    </row>
    <row r="14" hidden="1" outlineLevel="1">
      <c r="A14" s="84">
        <v>8.0</v>
      </c>
      <c r="B14" s="86" t="s">
        <v>119</v>
      </c>
      <c r="C14" s="88">
        <v>50000.0</v>
      </c>
      <c r="D14" s="90">
        <v>50000.0</v>
      </c>
      <c r="E14" s="90">
        <v>50000.0</v>
      </c>
      <c r="F14" s="93"/>
      <c r="G14" s="93"/>
      <c r="H14" s="94"/>
      <c r="I14" s="94"/>
      <c r="J14" s="88">
        <f t="shared" si="3"/>
        <v>0</v>
      </c>
      <c r="K14" s="98"/>
      <c r="L14" s="99"/>
    </row>
    <row r="15" hidden="1" outlineLevel="1">
      <c r="A15" s="84">
        <v>9.0</v>
      </c>
      <c r="B15" s="86" t="s">
        <v>123</v>
      </c>
      <c r="C15" s="88">
        <v>30000.0</v>
      </c>
      <c r="D15" s="90">
        <v>30000.0</v>
      </c>
      <c r="E15" s="90">
        <v>30000.0</v>
      </c>
      <c r="F15" s="93"/>
      <c r="G15" s="93"/>
      <c r="H15" s="94"/>
      <c r="I15" s="94"/>
      <c r="J15" s="88">
        <f t="shared" si="3"/>
        <v>0</v>
      </c>
      <c r="K15" s="98"/>
      <c r="L15" s="99"/>
    </row>
    <row r="16" hidden="1" outlineLevel="1">
      <c r="A16" s="84">
        <v>10.0</v>
      </c>
      <c r="B16" s="86" t="s">
        <v>129</v>
      </c>
      <c r="C16" s="88">
        <v>40000.0</v>
      </c>
      <c r="D16" s="90">
        <v>25000.0</v>
      </c>
      <c r="E16" s="90">
        <v>25000.0</v>
      </c>
      <c r="F16" s="93"/>
      <c r="G16" s="93"/>
      <c r="H16" s="94"/>
      <c r="I16" s="94"/>
      <c r="J16" s="88">
        <f t="shared" si="3"/>
        <v>0</v>
      </c>
      <c r="K16" s="115" t="s">
        <v>132</v>
      </c>
      <c r="L16" s="99"/>
    </row>
    <row r="17" hidden="1" outlineLevel="1">
      <c r="A17" s="84">
        <v>11.0</v>
      </c>
      <c r="B17" s="86" t="s">
        <v>136</v>
      </c>
      <c r="C17" s="88">
        <v>0.0</v>
      </c>
      <c r="D17" s="90">
        <v>0.0</v>
      </c>
      <c r="E17" s="90">
        <v>188000.0</v>
      </c>
      <c r="F17" s="93"/>
      <c r="G17" s="93"/>
      <c r="H17" s="94"/>
      <c r="I17" s="94"/>
      <c r="J17" s="88">
        <f t="shared" si="3"/>
        <v>188000</v>
      </c>
      <c r="K17" s="98"/>
      <c r="L17" s="99"/>
    </row>
    <row r="18" hidden="1" outlineLevel="1">
      <c r="A18" s="84">
        <v>12.0</v>
      </c>
      <c r="B18" s="86" t="s">
        <v>139</v>
      </c>
      <c r="C18" s="88">
        <v>30000.0</v>
      </c>
      <c r="D18" s="90">
        <v>25000.0</v>
      </c>
      <c r="E18" s="90">
        <v>25000.0</v>
      </c>
      <c r="F18" s="93"/>
      <c r="G18" s="93"/>
      <c r="H18" s="94"/>
      <c r="I18" s="94"/>
      <c r="J18" s="88">
        <f t="shared" si="3"/>
        <v>0</v>
      </c>
      <c r="K18" s="115" t="s">
        <v>142</v>
      </c>
      <c r="L18" s="99"/>
    </row>
    <row r="19" hidden="1" outlineLevel="1">
      <c r="A19" s="84">
        <v>13.0</v>
      </c>
      <c r="B19" s="86" t="s">
        <v>145</v>
      </c>
      <c r="C19" s="88">
        <v>40000.0</v>
      </c>
      <c r="D19" s="90">
        <v>40000.0</v>
      </c>
      <c r="E19" s="90">
        <v>60000.0</v>
      </c>
      <c r="F19" s="93"/>
      <c r="G19" s="93"/>
      <c r="H19" s="94"/>
      <c r="I19" s="94"/>
      <c r="J19" s="88">
        <f t="shared" si="3"/>
        <v>20000</v>
      </c>
      <c r="K19" s="98"/>
      <c r="L19" s="99"/>
    </row>
    <row r="20" hidden="1" outlineLevel="1">
      <c r="A20" s="84">
        <v>14.0</v>
      </c>
      <c r="B20" s="86" t="s">
        <v>148</v>
      </c>
      <c r="C20" s="88">
        <v>0.0</v>
      </c>
      <c r="D20" s="90">
        <v>0.0</v>
      </c>
      <c r="E20" s="90">
        <v>67000.0</v>
      </c>
      <c r="F20" s="93"/>
      <c r="G20" s="93"/>
      <c r="H20" s="94"/>
      <c r="I20" s="94"/>
      <c r="J20" s="88">
        <f t="shared" si="3"/>
        <v>67000</v>
      </c>
      <c r="K20" s="98"/>
      <c r="L20" s="99"/>
    </row>
    <row r="21" hidden="1" outlineLevel="1">
      <c r="A21" s="84">
        <v>15.0</v>
      </c>
      <c r="B21" s="86" t="s">
        <v>152</v>
      </c>
      <c r="C21" s="88">
        <v>0.0</v>
      </c>
      <c r="D21" s="90">
        <v>0.0</v>
      </c>
      <c r="E21" s="90">
        <v>155000.0</v>
      </c>
      <c r="F21" s="93"/>
      <c r="G21" s="93"/>
      <c r="H21" s="94"/>
      <c r="I21" s="94" t="s">
        <v>154</v>
      </c>
      <c r="J21" s="88">
        <f t="shared" si="3"/>
        <v>155000</v>
      </c>
      <c r="K21" s="98"/>
      <c r="L21" s="99"/>
    </row>
    <row r="22" hidden="1" outlineLevel="1">
      <c r="A22" s="84">
        <v>1.0</v>
      </c>
      <c r="B22" s="86" t="s">
        <v>159</v>
      </c>
      <c r="C22" s="88">
        <v>30000.0</v>
      </c>
      <c r="D22" s="90">
        <v>30000.0</v>
      </c>
      <c r="E22" s="90">
        <v>0.0</v>
      </c>
      <c r="F22" s="93"/>
      <c r="G22" s="93"/>
      <c r="H22" s="94"/>
      <c r="I22" s="94"/>
      <c r="J22" s="88">
        <f t="shared" si="3"/>
        <v>-30000</v>
      </c>
      <c r="K22" s="124"/>
      <c r="L22" s="125"/>
    </row>
    <row r="23" hidden="1" outlineLevel="1">
      <c r="A23" s="84">
        <f t="shared" ref="A23:A27" si="4">A22+1</f>
        <v>2</v>
      </c>
      <c r="B23" s="86" t="s">
        <v>170</v>
      </c>
      <c r="C23" s="88">
        <v>20000.0</v>
      </c>
      <c r="D23" s="90">
        <v>20000.0</v>
      </c>
      <c r="E23" s="90">
        <v>0.0</v>
      </c>
      <c r="F23" s="93"/>
      <c r="G23" s="93"/>
      <c r="H23" s="94"/>
      <c r="I23" s="94"/>
      <c r="J23" s="88">
        <f t="shared" si="3"/>
        <v>-20000</v>
      </c>
      <c r="K23" s="124"/>
      <c r="L23" s="125"/>
    </row>
    <row r="24" hidden="1" outlineLevel="1">
      <c r="A24" s="84">
        <f t="shared" si="4"/>
        <v>3</v>
      </c>
      <c r="B24" s="86" t="s">
        <v>178</v>
      </c>
      <c r="C24" s="88">
        <v>35000.0</v>
      </c>
      <c r="D24" s="90">
        <v>35000.0</v>
      </c>
      <c r="E24" s="90">
        <v>0.0</v>
      </c>
      <c r="F24" s="93"/>
      <c r="G24" s="93"/>
      <c r="H24" s="94"/>
      <c r="I24" s="94"/>
      <c r="J24" s="88">
        <f t="shared" si="3"/>
        <v>-35000</v>
      </c>
      <c r="K24" s="124"/>
      <c r="L24" s="125"/>
    </row>
    <row r="25" hidden="1" outlineLevel="1">
      <c r="A25" s="84">
        <f t="shared" si="4"/>
        <v>4</v>
      </c>
      <c r="B25" s="86" t="s">
        <v>183</v>
      </c>
      <c r="C25" s="88">
        <v>33000.0</v>
      </c>
      <c r="D25" s="90">
        <v>33000.0</v>
      </c>
      <c r="E25" s="90">
        <v>0.0</v>
      </c>
      <c r="F25" s="93"/>
      <c r="G25" s="93"/>
      <c r="H25" s="94"/>
      <c r="I25" s="94"/>
      <c r="J25" s="88">
        <f t="shared" si="3"/>
        <v>-33000</v>
      </c>
      <c r="K25" s="124"/>
      <c r="L25" s="125"/>
    </row>
    <row r="26" hidden="1" outlineLevel="1">
      <c r="A26" s="84">
        <f t="shared" si="4"/>
        <v>5</v>
      </c>
      <c r="B26" s="86" t="s">
        <v>187</v>
      </c>
      <c r="C26" s="88">
        <v>25000.0</v>
      </c>
      <c r="D26" s="90">
        <v>25000.0</v>
      </c>
      <c r="E26" s="90">
        <v>0.0</v>
      </c>
      <c r="F26" s="93"/>
      <c r="G26" s="93"/>
      <c r="H26" s="94"/>
      <c r="I26" s="94"/>
      <c r="J26" s="88">
        <f t="shared" si="3"/>
        <v>-25000</v>
      </c>
      <c r="K26" s="124"/>
      <c r="L26" s="125"/>
    </row>
    <row r="27" hidden="1" outlineLevel="1">
      <c r="A27" s="84">
        <f t="shared" si="4"/>
        <v>6</v>
      </c>
      <c r="B27" s="86" t="s">
        <v>189</v>
      </c>
      <c r="C27" s="88">
        <v>30000.0</v>
      </c>
      <c r="D27" s="90">
        <v>30000.0</v>
      </c>
      <c r="E27" s="90">
        <v>0.0</v>
      </c>
      <c r="F27" s="93"/>
      <c r="G27" s="93"/>
      <c r="H27" s="94"/>
      <c r="I27" s="94"/>
      <c r="J27" s="88">
        <f t="shared" si="3"/>
        <v>-30000</v>
      </c>
      <c r="K27" s="98"/>
      <c r="L27" s="93"/>
    </row>
    <row r="28" hidden="1" outlineLevel="1">
      <c r="A28" s="132"/>
      <c r="B28" s="133"/>
      <c r="C28" s="134"/>
      <c r="D28" s="135"/>
      <c r="E28" s="135"/>
      <c r="F28" s="136"/>
      <c r="G28" s="136"/>
      <c r="H28" s="137"/>
      <c r="I28" s="137"/>
      <c r="J28" s="138" t="str">
        <f>IF(or(#REF!=0,#REF!=""),"",IF((#REF!-#REF!)=0,"",IF(AND(#REF!&lt;&gt;0,or(#REF!=0,#REF!="")),"verificar situação",IF((#REF!-#REF!)&lt;&gt;0,#REF!-#REF!,"ERRO"))))</f>
        <v>#REF!</v>
      </c>
      <c r="K28" s="139"/>
      <c r="L28" s="140"/>
    </row>
    <row r="29">
      <c r="A29" s="141" t="s">
        <v>56</v>
      </c>
      <c r="B29" s="142" t="s">
        <v>57</v>
      </c>
      <c r="C29" s="143">
        <f t="shared" ref="C29:E29" si="5">SUM(C31:C45)</f>
        <v>1350000</v>
      </c>
      <c r="D29" s="144">
        <f t="shared" si="5"/>
        <v>1180000</v>
      </c>
      <c r="E29" s="144">
        <f t="shared" si="5"/>
        <v>2517000</v>
      </c>
      <c r="F29" s="145"/>
      <c r="G29" s="145"/>
      <c r="H29" s="146"/>
      <c r="I29" s="146"/>
      <c r="J29" s="147">
        <f>E29-D29</f>
        <v>1337000</v>
      </c>
      <c r="K29" s="148"/>
      <c r="L29" s="149"/>
    </row>
    <row r="30" collapsed="1">
      <c r="A30" s="63"/>
      <c r="B30" s="66"/>
      <c r="C30" s="71">
        <f>COUNTIF(C31:C45,"&gt;1")</f>
        <v>12</v>
      </c>
      <c r="D30" s="73">
        <f>(D29/C29)-1</f>
        <v>-0.1259259259</v>
      </c>
      <c r="E30" s="76">
        <f>COUNTIF(E31:E45,"&gt;1")</f>
        <v>14</v>
      </c>
      <c r="F30" s="76"/>
      <c r="G30" s="76"/>
      <c r="H30" s="77"/>
      <c r="I30" s="77"/>
      <c r="J30" s="78"/>
      <c r="K30" s="79"/>
      <c r="L30" s="82"/>
    </row>
    <row r="31" hidden="1" outlineLevel="1">
      <c r="A31" s="153">
        <v>1.0</v>
      </c>
      <c r="B31" s="86" t="s">
        <v>235</v>
      </c>
      <c r="C31" s="88">
        <v>0.0</v>
      </c>
      <c r="D31" s="90">
        <v>0.0</v>
      </c>
      <c r="E31" s="90">
        <v>887000.0</v>
      </c>
      <c r="F31" s="93"/>
      <c r="G31" s="93"/>
      <c r="H31" s="94"/>
      <c r="I31" s="94"/>
      <c r="J31" s="88">
        <f t="shared" ref="J31:J44" si="6">E31-D31</f>
        <v>887000</v>
      </c>
      <c r="K31" s="98"/>
      <c r="L31" s="99"/>
    </row>
    <row r="32" hidden="1" outlineLevel="1">
      <c r="A32" s="153">
        <f t="shared" ref="A32:A44" si="7">A31+1</f>
        <v>2</v>
      </c>
      <c r="B32" s="86" t="s">
        <v>239</v>
      </c>
      <c r="C32" s="88">
        <v>400000.0</v>
      </c>
      <c r="D32" s="90">
        <v>350000.0</v>
      </c>
      <c r="E32" s="90">
        <v>350000.0</v>
      </c>
      <c r="F32" s="93"/>
      <c r="G32" s="93"/>
      <c r="H32" s="94"/>
      <c r="I32" s="94"/>
      <c r="J32" s="88">
        <f t="shared" si="6"/>
        <v>0</v>
      </c>
      <c r="K32" s="115" t="s">
        <v>241</v>
      </c>
      <c r="L32" s="99"/>
    </row>
    <row r="33" hidden="1" outlineLevel="1">
      <c r="A33" s="153">
        <f t="shared" si="7"/>
        <v>3</v>
      </c>
      <c r="B33" s="86" t="s">
        <v>242</v>
      </c>
      <c r="C33" s="88">
        <v>250000.0</v>
      </c>
      <c r="D33" s="90">
        <v>200000.0</v>
      </c>
      <c r="E33" s="90">
        <v>200000.0</v>
      </c>
      <c r="F33" s="93"/>
      <c r="G33" s="93"/>
      <c r="H33" s="94"/>
      <c r="I33" s="94"/>
      <c r="J33" s="88">
        <f t="shared" si="6"/>
        <v>0</v>
      </c>
      <c r="K33" s="98" t="s">
        <v>244</v>
      </c>
      <c r="L33" s="99"/>
    </row>
    <row r="34" hidden="1" outlineLevel="1">
      <c r="A34" s="153">
        <f t="shared" si="7"/>
        <v>4</v>
      </c>
      <c r="B34" s="86" t="s">
        <v>246</v>
      </c>
      <c r="C34" s="88">
        <v>80000.0</v>
      </c>
      <c r="D34" s="90">
        <v>80000.0</v>
      </c>
      <c r="E34" s="90">
        <v>80000.0</v>
      </c>
      <c r="F34" s="93"/>
      <c r="G34" s="93"/>
      <c r="H34" s="94"/>
      <c r="I34" s="94"/>
      <c r="J34" s="88">
        <f t="shared" si="6"/>
        <v>0</v>
      </c>
      <c r="K34" s="98"/>
      <c r="L34" s="99"/>
    </row>
    <row r="35" hidden="1" outlineLevel="1">
      <c r="A35" s="153">
        <f t="shared" si="7"/>
        <v>5</v>
      </c>
      <c r="B35" s="86" t="s">
        <v>248</v>
      </c>
      <c r="C35" s="88">
        <v>100000.0</v>
      </c>
      <c r="D35" s="90">
        <v>80000.0</v>
      </c>
      <c r="E35" s="90">
        <v>80000.0</v>
      </c>
      <c r="F35" s="93"/>
      <c r="G35" s="93"/>
      <c r="H35" s="94"/>
      <c r="I35" s="94"/>
      <c r="J35" s="88">
        <f t="shared" si="6"/>
        <v>0</v>
      </c>
      <c r="K35" s="115" t="s">
        <v>249</v>
      </c>
      <c r="L35" s="99"/>
    </row>
    <row r="36" hidden="1" outlineLevel="1">
      <c r="A36" s="153">
        <f t="shared" si="7"/>
        <v>6</v>
      </c>
      <c r="B36" s="86" t="s">
        <v>248</v>
      </c>
      <c r="C36" s="88">
        <v>100000.0</v>
      </c>
      <c r="D36" s="90">
        <v>50000.0</v>
      </c>
      <c r="E36" s="90">
        <v>50000.0</v>
      </c>
      <c r="F36" s="93"/>
      <c r="G36" s="93"/>
      <c r="H36" s="94"/>
      <c r="I36" s="94"/>
      <c r="J36" s="88">
        <f t="shared" si="6"/>
        <v>0</v>
      </c>
      <c r="K36" s="115" t="s">
        <v>249</v>
      </c>
      <c r="L36" s="99"/>
    </row>
    <row r="37" hidden="1" outlineLevel="1">
      <c r="A37" s="153">
        <f t="shared" si="7"/>
        <v>7</v>
      </c>
      <c r="B37" s="86" t="s">
        <v>251</v>
      </c>
      <c r="C37" s="88">
        <v>60000.0</v>
      </c>
      <c r="D37" s="90">
        <v>60000.0</v>
      </c>
      <c r="E37" s="90">
        <v>60000.0</v>
      </c>
      <c r="F37" s="93"/>
      <c r="G37" s="93"/>
      <c r="H37" s="94"/>
      <c r="I37" s="94"/>
      <c r="J37" s="88">
        <f t="shared" si="6"/>
        <v>0</v>
      </c>
      <c r="K37" s="98"/>
      <c r="L37" s="99"/>
    </row>
    <row r="38" hidden="1" outlineLevel="1">
      <c r="A38" s="153">
        <f t="shared" si="7"/>
        <v>8</v>
      </c>
      <c r="B38" s="86" t="s">
        <v>252</v>
      </c>
      <c r="C38" s="88">
        <v>60000.0</v>
      </c>
      <c r="D38" s="90">
        <v>60000.0</v>
      </c>
      <c r="E38" s="90">
        <v>60000.0</v>
      </c>
      <c r="F38" s="93"/>
      <c r="G38" s="93"/>
      <c r="H38" s="94"/>
      <c r="I38" s="94"/>
      <c r="J38" s="88">
        <f t="shared" si="6"/>
        <v>0</v>
      </c>
      <c r="K38" s="98"/>
      <c r="L38" s="99"/>
    </row>
    <row r="39" hidden="1" outlineLevel="1">
      <c r="A39" s="153">
        <f t="shared" si="7"/>
        <v>9</v>
      </c>
      <c r="B39" s="86" t="s">
        <v>253</v>
      </c>
      <c r="C39" s="88">
        <v>150000.0</v>
      </c>
      <c r="D39" s="90">
        <v>150000.0</v>
      </c>
      <c r="E39" s="90">
        <v>150000.0</v>
      </c>
      <c r="F39" s="93"/>
      <c r="G39" s="93"/>
      <c r="H39" s="94"/>
      <c r="I39" s="94"/>
      <c r="J39" s="88">
        <f t="shared" si="6"/>
        <v>0</v>
      </c>
      <c r="K39" s="98"/>
      <c r="L39" s="99"/>
    </row>
    <row r="40" hidden="1" outlineLevel="1">
      <c r="A40" s="153">
        <f t="shared" si="7"/>
        <v>10</v>
      </c>
      <c r="B40" s="86" t="s">
        <v>255</v>
      </c>
      <c r="C40" s="88">
        <v>10000.0</v>
      </c>
      <c r="D40" s="90">
        <v>10000.0</v>
      </c>
      <c r="E40" s="90">
        <v>10000.0</v>
      </c>
      <c r="F40" s="93"/>
      <c r="G40" s="93"/>
      <c r="H40" s="94"/>
      <c r="I40" s="94"/>
      <c r="J40" s="88">
        <f t="shared" si="6"/>
        <v>0</v>
      </c>
      <c r="K40" s="98"/>
      <c r="L40" s="99"/>
    </row>
    <row r="41" hidden="1" outlineLevel="1">
      <c r="A41" s="153">
        <f t="shared" si="7"/>
        <v>11</v>
      </c>
      <c r="B41" s="86" t="s">
        <v>258</v>
      </c>
      <c r="C41" s="88">
        <v>30000.0</v>
      </c>
      <c r="D41" s="90">
        <v>30000.0</v>
      </c>
      <c r="E41" s="90">
        <v>30000.0</v>
      </c>
      <c r="F41" s="93"/>
      <c r="G41" s="93"/>
      <c r="H41" s="94"/>
      <c r="I41" s="94"/>
      <c r="J41" s="88">
        <f t="shared" si="6"/>
        <v>0</v>
      </c>
      <c r="K41" s="98"/>
      <c r="L41" s="99"/>
    </row>
    <row r="42" hidden="1" outlineLevel="1">
      <c r="A42" s="153">
        <f t="shared" si="7"/>
        <v>12</v>
      </c>
      <c r="B42" s="86" t="s">
        <v>260</v>
      </c>
      <c r="C42" s="88">
        <v>10000.0</v>
      </c>
      <c r="D42" s="90">
        <v>10000.0</v>
      </c>
      <c r="E42" s="90">
        <v>10000.0</v>
      </c>
      <c r="F42" s="93"/>
      <c r="G42" s="93"/>
      <c r="H42" s="94"/>
      <c r="I42" s="94"/>
      <c r="J42" s="88">
        <f t="shared" si="6"/>
        <v>0</v>
      </c>
      <c r="K42" s="98"/>
      <c r="L42" s="99"/>
    </row>
    <row r="43" hidden="1" outlineLevel="1">
      <c r="A43" s="153">
        <f t="shared" si="7"/>
        <v>13</v>
      </c>
      <c r="B43" s="86" t="s">
        <v>264</v>
      </c>
      <c r="C43" s="88">
        <v>100000.0</v>
      </c>
      <c r="D43" s="90">
        <v>100000.0</v>
      </c>
      <c r="E43" s="90">
        <v>100000.0</v>
      </c>
      <c r="F43" s="93"/>
      <c r="G43" s="93"/>
      <c r="H43" s="94"/>
      <c r="I43" s="94"/>
      <c r="J43" s="88">
        <f t="shared" si="6"/>
        <v>0</v>
      </c>
      <c r="K43" s="98"/>
      <c r="L43" s="99"/>
    </row>
    <row r="44" hidden="1" outlineLevel="1">
      <c r="A44" s="153">
        <f t="shared" si="7"/>
        <v>14</v>
      </c>
      <c r="B44" s="86" t="s">
        <v>267</v>
      </c>
      <c r="C44" s="88">
        <v>0.0</v>
      </c>
      <c r="D44" s="90">
        <v>0.0</v>
      </c>
      <c r="E44" s="90">
        <v>450000.0</v>
      </c>
      <c r="F44" s="93"/>
      <c r="G44" s="93"/>
      <c r="H44" s="94"/>
      <c r="I44" s="94"/>
      <c r="J44" s="88">
        <f t="shared" si="6"/>
        <v>450000</v>
      </c>
      <c r="K44" s="98"/>
      <c r="L44" s="99"/>
    </row>
    <row r="45" hidden="1" outlineLevel="1">
      <c r="A45" s="84"/>
      <c r="B45" s="86"/>
      <c r="C45" s="88"/>
      <c r="D45" s="90"/>
      <c r="E45" s="90"/>
      <c r="F45" s="93"/>
      <c r="G45" s="93"/>
      <c r="H45" s="94"/>
      <c r="I45" s="94"/>
      <c r="J45" s="88"/>
      <c r="K45" s="98"/>
      <c r="L45" s="99"/>
    </row>
    <row r="46" hidden="1" outlineLevel="1">
      <c r="A46" s="84"/>
      <c r="B46" s="86"/>
      <c r="C46" s="88"/>
      <c r="D46" s="90"/>
      <c r="E46" s="90"/>
      <c r="F46" s="93"/>
      <c r="G46" s="93"/>
      <c r="H46" s="94"/>
      <c r="I46" s="94"/>
      <c r="J46" s="88"/>
      <c r="K46" s="98"/>
      <c r="L46" s="99"/>
    </row>
    <row r="47">
      <c r="A47" s="141" t="s">
        <v>11</v>
      </c>
      <c r="B47" s="142" t="s">
        <v>12</v>
      </c>
      <c r="C47" s="143">
        <f t="shared" ref="C47:F47" si="8">SUM(C49:C60)</f>
        <v>2820000</v>
      </c>
      <c r="D47" s="144">
        <f t="shared" si="8"/>
        <v>3070000</v>
      </c>
      <c r="E47" s="144">
        <f t="shared" si="8"/>
        <v>3290000</v>
      </c>
      <c r="F47" s="145">
        <f t="shared" si="8"/>
        <v>3510000</v>
      </c>
      <c r="G47" s="145">
        <f>F47-E47</f>
        <v>220000</v>
      </c>
      <c r="H47" s="146"/>
      <c r="I47" s="146"/>
      <c r="J47" s="147">
        <f>SUM(J49:J60)</f>
        <v>220000</v>
      </c>
      <c r="K47" s="148"/>
      <c r="L47" s="149"/>
    </row>
    <row r="48" collapsed="1">
      <c r="A48" s="63"/>
      <c r="B48" s="66"/>
      <c r="C48" s="71">
        <f>COUNTIF(C49:C60,"&gt;1")</f>
        <v>11</v>
      </c>
      <c r="D48" s="73">
        <f>(D47/C47)-1</f>
        <v>0.08865248227</v>
      </c>
      <c r="E48" s="76">
        <f>COUNTIF(E49:E60,"&gt;1")</f>
        <v>8</v>
      </c>
      <c r="F48" s="76"/>
      <c r="G48" s="76"/>
      <c r="H48" s="77"/>
      <c r="I48" s="77"/>
      <c r="J48" s="78"/>
      <c r="K48" s="79"/>
      <c r="L48" s="82"/>
    </row>
    <row r="49" hidden="1" outlineLevel="1">
      <c r="A49" s="153">
        <v>1.0</v>
      </c>
      <c r="B49" s="86" t="s">
        <v>290</v>
      </c>
      <c r="C49" s="88">
        <v>150000.0</v>
      </c>
      <c r="D49" s="90">
        <v>280000.0</v>
      </c>
      <c r="E49" s="90">
        <v>280000.0</v>
      </c>
      <c r="F49" s="93">
        <v>280000.0</v>
      </c>
      <c r="G49" s="93">
        <f t="shared" ref="G49:G56" si="9">F49-E49</f>
        <v>0</v>
      </c>
      <c r="H49" s="94"/>
      <c r="I49" s="94"/>
      <c r="J49" s="88">
        <f t="shared" ref="J49:J60" si="10">E49-D49</f>
        <v>0</v>
      </c>
      <c r="K49" s="98"/>
      <c r="L49" s="99"/>
    </row>
    <row r="50" hidden="1" outlineLevel="1">
      <c r="A50" s="153">
        <f t="shared" ref="A50:A56" si="11">A49+1</f>
        <v>2</v>
      </c>
      <c r="B50" s="86" t="s">
        <v>295</v>
      </c>
      <c r="C50" s="88">
        <v>220000.0</v>
      </c>
      <c r="D50" s="90">
        <v>250000.0</v>
      </c>
      <c r="E50" s="90">
        <v>250000.0</v>
      </c>
      <c r="F50" s="93">
        <v>450000.0</v>
      </c>
      <c r="G50" s="93">
        <f t="shared" si="9"/>
        <v>200000</v>
      </c>
      <c r="H50" s="94"/>
      <c r="I50" s="94"/>
      <c r="J50" s="88">
        <f t="shared" si="10"/>
        <v>0</v>
      </c>
      <c r="K50" s="98"/>
      <c r="L50" s="99"/>
    </row>
    <row r="51" hidden="1" outlineLevel="1">
      <c r="A51" s="153">
        <f t="shared" si="11"/>
        <v>3</v>
      </c>
      <c r="B51" s="86" t="s">
        <v>300</v>
      </c>
      <c r="C51" s="88">
        <v>850000.0</v>
      </c>
      <c r="D51" s="90">
        <v>850000.0</v>
      </c>
      <c r="E51" s="90">
        <v>850000.0</v>
      </c>
      <c r="F51" s="93">
        <v>850000.0</v>
      </c>
      <c r="G51" s="93">
        <f t="shared" si="9"/>
        <v>0</v>
      </c>
      <c r="H51" s="94"/>
      <c r="I51" s="94"/>
      <c r="J51" s="88">
        <f t="shared" si="10"/>
        <v>0</v>
      </c>
      <c r="K51" s="98"/>
      <c r="L51" s="99"/>
    </row>
    <row r="52" hidden="1" outlineLevel="1">
      <c r="A52" s="153">
        <f t="shared" si="11"/>
        <v>4</v>
      </c>
      <c r="B52" s="86" t="s">
        <v>303</v>
      </c>
      <c r="C52" s="88">
        <v>60000.0</v>
      </c>
      <c r="D52" s="90">
        <v>60000.0</v>
      </c>
      <c r="E52" s="90">
        <v>60000.0</v>
      </c>
      <c r="F52" s="93">
        <v>60000.0</v>
      </c>
      <c r="G52" s="93">
        <f t="shared" si="9"/>
        <v>0</v>
      </c>
      <c r="H52" s="94"/>
      <c r="I52" s="94"/>
      <c r="J52" s="88">
        <f t="shared" si="10"/>
        <v>0</v>
      </c>
      <c r="K52" s="98"/>
      <c r="L52" s="99"/>
    </row>
    <row r="53" hidden="1" outlineLevel="1">
      <c r="A53" s="153">
        <f t="shared" si="11"/>
        <v>5</v>
      </c>
      <c r="B53" s="86" t="s">
        <v>304</v>
      </c>
      <c r="C53" s="88">
        <v>850000.0</v>
      </c>
      <c r="D53" s="90">
        <v>850000.0</v>
      </c>
      <c r="E53" s="90">
        <v>550000.0</v>
      </c>
      <c r="F53" s="93">
        <v>550000.0</v>
      </c>
      <c r="G53" s="93">
        <f t="shared" si="9"/>
        <v>0</v>
      </c>
      <c r="H53" s="94"/>
      <c r="I53" s="94"/>
      <c r="J53" s="88">
        <f t="shared" si="10"/>
        <v>-300000</v>
      </c>
      <c r="K53" s="98"/>
      <c r="L53" s="99"/>
    </row>
    <row r="54" hidden="1" outlineLevel="1">
      <c r="A54" s="153">
        <f t="shared" si="11"/>
        <v>6</v>
      </c>
      <c r="B54" s="86" t="s">
        <v>308</v>
      </c>
      <c r="C54" s="88">
        <v>0.0</v>
      </c>
      <c r="D54" s="90">
        <v>0.0</v>
      </c>
      <c r="E54" s="90">
        <v>1010000.0</v>
      </c>
      <c r="F54" s="93">
        <v>1010000.0</v>
      </c>
      <c r="G54" s="93">
        <f t="shared" si="9"/>
        <v>0</v>
      </c>
      <c r="H54" s="94"/>
      <c r="I54" s="94"/>
      <c r="J54" s="88">
        <f t="shared" si="10"/>
        <v>1010000</v>
      </c>
      <c r="K54" s="115" t="s">
        <v>311</v>
      </c>
      <c r="L54" s="99"/>
    </row>
    <row r="55" hidden="1" outlineLevel="1">
      <c r="A55" s="153">
        <f t="shared" si="11"/>
        <v>7</v>
      </c>
      <c r="B55" s="86" t="s">
        <v>313</v>
      </c>
      <c r="C55" s="88">
        <v>100000.0</v>
      </c>
      <c r="D55" s="90">
        <v>130000.0</v>
      </c>
      <c r="E55" s="90">
        <v>130000.0</v>
      </c>
      <c r="F55" s="93">
        <v>150000.0</v>
      </c>
      <c r="G55" s="93">
        <f t="shared" si="9"/>
        <v>20000</v>
      </c>
      <c r="H55" s="94"/>
      <c r="I55" s="94"/>
      <c r="J55" s="88">
        <f t="shared" si="10"/>
        <v>0</v>
      </c>
      <c r="K55" s="98"/>
      <c r="L55" s="99"/>
    </row>
    <row r="56" hidden="1" outlineLevel="1">
      <c r="A56" s="153">
        <f t="shared" si="11"/>
        <v>8</v>
      </c>
      <c r="B56" s="86" t="s">
        <v>316</v>
      </c>
      <c r="C56" s="88">
        <v>100000.0</v>
      </c>
      <c r="D56" s="90">
        <v>160000.0</v>
      </c>
      <c r="E56" s="90">
        <v>160000.0</v>
      </c>
      <c r="F56" s="93">
        <v>160000.0</v>
      </c>
      <c r="G56" s="93">
        <f t="shared" si="9"/>
        <v>0</v>
      </c>
      <c r="H56" s="94"/>
      <c r="I56" s="94"/>
      <c r="J56" s="88">
        <f t="shared" si="10"/>
        <v>0</v>
      </c>
      <c r="K56" s="98"/>
      <c r="L56" s="99"/>
    </row>
    <row r="57" hidden="1" outlineLevel="1">
      <c r="A57" s="84" t="s">
        <v>320</v>
      </c>
      <c r="B57" s="86" t="s">
        <v>322</v>
      </c>
      <c r="C57" s="88">
        <v>220000.0</v>
      </c>
      <c r="D57" s="90">
        <v>220000.0</v>
      </c>
      <c r="E57" s="90">
        <v>0.0</v>
      </c>
      <c r="F57" s="93"/>
      <c r="G57" s="93"/>
      <c r="H57" s="94"/>
      <c r="I57" s="94"/>
      <c r="J57" s="88">
        <f t="shared" si="10"/>
        <v>-220000</v>
      </c>
      <c r="K57" s="98"/>
      <c r="L57" s="99"/>
    </row>
    <row r="58" hidden="1" outlineLevel="1">
      <c r="A58" s="84" t="s">
        <v>330</v>
      </c>
      <c r="B58" s="86" t="s">
        <v>333</v>
      </c>
      <c r="C58" s="88">
        <v>70000.0</v>
      </c>
      <c r="D58" s="90">
        <v>70000.0</v>
      </c>
      <c r="E58" s="90">
        <v>0.0</v>
      </c>
      <c r="F58" s="93"/>
      <c r="G58" s="93"/>
      <c r="H58" s="94"/>
      <c r="I58" s="94"/>
      <c r="J58" s="88">
        <f t="shared" si="10"/>
        <v>-70000</v>
      </c>
      <c r="K58" s="98"/>
      <c r="L58" s="99"/>
    </row>
    <row r="59" hidden="1" outlineLevel="1">
      <c r="A59" s="84" t="s">
        <v>339</v>
      </c>
      <c r="B59" s="86" t="s">
        <v>341</v>
      </c>
      <c r="C59" s="88">
        <v>100000.0</v>
      </c>
      <c r="D59" s="90">
        <v>100000.0</v>
      </c>
      <c r="E59" s="90">
        <v>0.0</v>
      </c>
      <c r="F59" s="93"/>
      <c r="G59" s="93"/>
      <c r="H59" s="94"/>
      <c r="I59" s="94"/>
      <c r="J59" s="88">
        <f t="shared" si="10"/>
        <v>-100000</v>
      </c>
      <c r="K59" s="98"/>
      <c r="L59" s="99"/>
    </row>
    <row r="60" hidden="1" outlineLevel="1">
      <c r="A60" s="84" t="s">
        <v>343</v>
      </c>
      <c r="B60" s="86" t="s">
        <v>345</v>
      </c>
      <c r="C60" s="88">
        <v>100000.0</v>
      </c>
      <c r="D60" s="90">
        <v>100000.0</v>
      </c>
      <c r="E60" s="90">
        <v>0.0</v>
      </c>
      <c r="F60" s="93"/>
      <c r="G60" s="93"/>
      <c r="H60" s="94"/>
      <c r="I60" s="94"/>
      <c r="J60" s="88">
        <f t="shared" si="10"/>
        <v>-100000</v>
      </c>
      <c r="K60" s="98"/>
      <c r="L60" s="99"/>
    </row>
    <row r="61" hidden="1" outlineLevel="1">
      <c r="A61" s="132"/>
      <c r="B61" s="133"/>
      <c r="C61" s="134"/>
      <c r="D61" s="135"/>
      <c r="E61" s="135"/>
      <c r="F61" s="136"/>
      <c r="G61" s="136"/>
      <c r="H61" s="137"/>
      <c r="I61" s="137"/>
      <c r="J61" s="138"/>
      <c r="K61" s="139"/>
      <c r="L61" s="140"/>
    </row>
    <row r="62">
      <c r="A62" s="141" t="s">
        <v>58</v>
      </c>
      <c r="B62" s="142" t="s">
        <v>351</v>
      </c>
      <c r="C62" s="143">
        <f t="shared" ref="C62:E62" si="12">SUM(C64:C65)</f>
        <v>110000</v>
      </c>
      <c r="D62" s="144">
        <f t="shared" si="12"/>
        <v>110000</v>
      </c>
      <c r="E62" s="144">
        <f t="shared" si="12"/>
        <v>0</v>
      </c>
      <c r="F62" s="145"/>
      <c r="G62" s="145"/>
      <c r="H62" s="146"/>
      <c r="I62" s="146"/>
      <c r="J62" s="147">
        <f>SUM(J64:J65)</f>
        <v>-110000</v>
      </c>
      <c r="K62" s="148"/>
      <c r="L62" s="149"/>
    </row>
    <row r="63" collapsed="1">
      <c r="A63" s="63"/>
      <c r="B63" s="66"/>
      <c r="C63" s="71">
        <v>2.0</v>
      </c>
      <c r="D63" s="73">
        <f>(D62/C62)-1</f>
        <v>0</v>
      </c>
      <c r="E63" s="76">
        <v>0.0</v>
      </c>
      <c r="F63" s="76"/>
      <c r="G63" s="76"/>
      <c r="H63" s="77"/>
      <c r="I63" s="77"/>
      <c r="J63" s="78"/>
      <c r="K63" s="79"/>
      <c r="L63" s="82"/>
    </row>
    <row r="64" hidden="1" outlineLevel="1">
      <c r="A64" s="84">
        <v>1.0</v>
      </c>
      <c r="B64" s="86" t="s">
        <v>354</v>
      </c>
      <c r="C64" s="88">
        <v>100000.0</v>
      </c>
      <c r="D64" s="90">
        <v>100000.0</v>
      </c>
      <c r="E64" s="90">
        <v>0.0</v>
      </c>
      <c r="F64" s="93"/>
      <c r="G64" s="93"/>
      <c r="H64" s="94"/>
      <c r="I64" s="94"/>
      <c r="J64" s="88">
        <f t="shared" ref="J64:J65" si="13">E64-D64</f>
        <v>-100000</v>
      </c>
      <c r="K64" s="98"/>
      <c r="L64" s="99"/>
    </row>
    <row r="65" hidden="1" outlineLevel="1">
      <c r="A65" s="84">
        <v>2.0</v>
      </c>
      <c r="B65" s="86" t="s">
        <v>355</v>
      </c>
      <c r="C65" s="88">
        <v>10000.0</v>
      </c>
      <c r="D65" s="90">
        <v>10000.0</v>
      </c>
      <c r="E65" s="90">
        <v>0.0</v>
      </c>
      <c r="F65" s="93"/>
      <c r="G65" s="93"/>
      <c r="H65" s="94"/>
      <c r="I65" s="94"/>
      <c r="J65" s="88">
        <f t="shared" si="13"/>
        <v>-10000</v>
      </c>
      <c r="K65" s="98"/>
      <c r="L65" s="99"/>
    </row>
    <row r="66">
      <c r="A66" s="141" t="s">
        <v>60</v>
      </c>
      <c r="B66" s="142" t="s">
        <v>62</v>
      </c>
      <c r="C66" s="143">
        <f t="shared" ref="C66:E66" si="14">SUM(C68:C72)</f>
        <v>26629394.6</v>
      </c>
      <c r="D66" s="144">
        <f t="shared" si="14"/>
        <v>26929394.6</v>
      </c>
      <c r="E66" s="144">
        <f t="shared" si="14"/>
        <v>26929394.6</v>
      </c>
      <c r="F66" s="144"/>
      <c r="G66" s="144"/>
      <c r="H66" s="193"/>
      <c r="I66" s="193"/>
      <c r="J66" s="144">
        <f>SUM(J68:J72)</f>
        <v>0</v>
      </c>
      <c r="K66" s="148"/>
      <c r="L66" s="149"/>
    </row>
    <row r="67" collapsed="1">
      <c r="A67" s="63"/>
      <c r="B67" s="66"/>
      <c r="C67" s="71">
        <f>COUNTIF(C68:C71,"&gt;1")</f>
        <v>4</v>
      </c>
      <c r="D67" s="73">
        <f>(D66/C66)-1</f>
        <v>0.01126574616</v>
      </c>
      <c r="E67" s="76">
        <f>COUNTIF(E68:E71,"&gt;1")</f>
        <v>4</v>
      </c>
      <c r="F67" s="76"/>
      <c r="G67" s="76"/>
      <c r="H67" s="77"/>
      <c r="I67" s="77"/>
      <c r="J67" s="78"/>
      <c r="K67" s="79"/>
      <c r="L67" s="82"/>
    </row>
    <row r="68" hidden="1" outlineLevel="1">
      <c r="A68" s="194">
        <v>1.0</v>
      </c>
      <c r="B68" s="86" t="s">
        <v>356</v>
      </c>
      <c r="C68" s="134">
        <v>900000.0</v>
      </c>
      <c r="D68" s="135">
        <v>1200000.0</v>
      </c>
      <c r="E68" s="135">
        <v>1200000.0</v>
      </c>
      <c r="F68" s="136"/>
      <c r="G68" s="136"/>
      <c r="H68" s="137"/>
      <c r="I68" s="137"/>
      <c r="J68" s="138">
        <f t="shared" ref="J68:J71" si="15">E68-D68</f>
        <v>0</v>
      </c>
      <c r="K68" s="98"/>
      <c r="L68" s="99"/>
    </row>
    <row r="69" hidden="1" outlineLevel="1">
      <c r="A69" s="194">
        <v>2.0</v>
      </c>
      <c r="B69" s="86" t="s">
        <v>357</v>
      </c>
      <c r="C69" s="134">
        <v>7148016.0</v>
      </c>
      <c r="D69" s="135">
        <v>7148016.0</v>
      </c>
      <c r="E69" s="135">
        <v>7148016.0</v>
      </c>
      <c r="F69" s="136"/>
      <c r="G69" s="136"/>
      <c r="H69" s="137"/>
      <c r="I69" s="137"/>
      <c r="J69" s="138">
        <f t="shared" si="15"/>
        <v>0</v>
      </c>
      <c r="K69" s="115" t="s">
        <v>358</v>
      </c>
      <c r="L69" s="99"/>
    </row>
    <row r="70" hidden="1" outlineLevel="1">
      <c r="A70" s="194">
        <v>3.0</v>
      </c>
      <c r="B70" s="86" t="s">
        <v>359</v>
      </c>
      <c r="C70" s="134">
        <v>4950000.0</v>
      </c>
      <c r="D70" s="135">
        <v>4950000.0</v>
      </c>
      <c r="E70" s="135">
        <v>4950000.0</v>
      </c>
      <c r="F70" s="136"/>
      <c r="G70" s="136"/>
      <c r="H70" s="137"/>
      <c r="I70" s="137"/>
      <c r="J70" s="138">
        <f t="shared" si="15"/>
        <v>0</v>
      </c>
      <c r="K70" s="98"/>
      <c r="L70" s="99"/>
    </row>
    <row r="71" hidden="1" outlineLevel="1">
      <c r="A71" s="194">
        <v>4.0</v>
      </c>
      <c r="B71" s="86" t="s">
        <v>360</v>
      </c>
      <c r="C71" s="134">
        <v>1.36313786E7</v>
      </c>
      <c r="D71" s="135">
        <v>1.36313786E7</v>
      </c>
      <c r="E71" s="135">
        <v>1.36313786E7</v>
      </c>
      <c r="F71" s="136"/>
      <c r="G71" s="136"/>
      <c r="H71" s="137"/>
      <c r="I71" s="137"/>
      <c r="J71" s="138">
        <f t="shared" si="15"/>
        <v>0</v>
      </c>
      <c r="K71" s="115" t="s">
        <v>361</v>
      </c>
      <c r="L71" s="99"/>
    </row>
    <row r="72" hidden="1" outlineLevel="1">
      <c r="A72" s="132"/>
      <c r="B72" s="133"/>
      <c r="C72" s="134"/>
      <c r="D72" s="135"/>
      <c r="E72" s="135"/>
      <c r="F72" s="136"/>
      <c r="G72" s="136"/>
      <c r="H72" s="137"/>
      <c r="I72" s="137"/>
      <c r="J72" s="138"/>
      <c r="K72" s="139"/>
      <c r="L72" s="140"/>
    </row>
    <row r="73">
      <c r="A73" s="141" t="s">
        <v>14</v>
      </c>
      <c r="B73" s="142" t="s">
        <v>15</v>
      </c>
      <c r="C73" s="143">
        <f t="shared" ref="C73:F73" si="16">SUM(C75:C89)</f>
        <v>7838866</v>
      </c>
      <c r="D73" s="144">
        <f t="shared" si="16"/>
        <v>8155866</v>
      </c>
      <c r="E73" s="144">
        <f t="shared" si="16"/>
        <v>7663866</v>
      </c>
      <c r="F73" s="144">
        <f t="shared" si="16"/>
        <v>10918666</v>
      </c>
      <c r="G73" s="144">
        <f>F73-E73</f>
        <v>3254800</v>
      </c>
      <c r="H73" s="193"/>
      <c r="I73" s="193"/>
      <c r="J73" s="144">
        <f>SUM(J75:J89)</f>
        <v>-492000</v>
      </c>
      <c r="K73" s="148"/>
      <c r="L73" s="149"/>
    </row>
    <row r="74" collapsed="1">
      <c r="A74" s="63"/>
      <c r="B74" s="66"/>
      <c r="C74" s="71">
        <f>COUNTIF(C75:C90,"&gt;1")</f>
        <v>11</v>
      </c>
      <c r="D74" s="73">
        <f>(D73/C73)-1</f>
        <v>0.04043952276</v>
      </c>
      <c r="E74" s="76">
        <f>COUNTIF(E75:E90,"&gt;1")</f>
        <v>12</v>
      </c>
      <c r="F74" s="76"/>
      <c r="G74" s="76"/>
      <c r="H74" s="77"/>
      <c r="I74" s="77"/>
      <c r="J74" s="78"/>
      <c r="K74" s="79"/>
      <c r="L74" s="82"/>
    </row>
    <row r="75" hidden="1" outlineLevel="1">
      <c r="A75" s="132">
        <v>1.0</v>
      </c>
      <c r="B75" s="86" t="s">
        <v>372</v>
      </c>
      <c r="C75" s="134">
        <v>1200000.0</v>
      </c>
      <c r="D75" s="135">
        <v>1200000.0</v>
      </c>
      <c r="E75" s="135">
        <v>1200000.0</v>
      </c>
      <c r="F75" s="136">
        <v>1200000.0</v>
      </c>
      <c r="G75" s="136">
        <f t="shared" ref="G75:G86" si="17">F75-E75</f>
        <v>0</v>
      </c>
      <c r="H75" s="137"/>
      <c r="I75" s="137"/>
      <c r="J75" s="138">
        <f t="shared" ref="J75:J89" si="18">E75-D75</f>
        <v>0</v>
      </c>
      <c r="K75" s="98"/>
      <c r="L75" s="99"/>
    </row>
    <row r="76" hidden="1" outlineLevel="1">
      <c r="A76" s="132">
        <v>2.0</v>
      </c>
      <c r="B76" s="86" t="s">
        <v>377</v>
      </c>
      <c r="C76" s="134">
        <v>0.0</v>
      </c>
      <c r="D76" s="135">
        <v>0.0</v>
      </c>
      <c r="E76" s="135">
        <v>1500000.0</v>
      </c>
      <c r="F76" s="136">
        <v>1500000.0</v>
      </c>
      <c r="G76" s="136">
        <f t="shared" si="17"/>
        <v>0</v>
      </c>
      <c r="H76" s="200"/>
      <c r="I76" s="200"/>
      <c r="J76" s="202">
        <f t="shared" si="18"/>
        <v>1500000</v>
      </c>
      <c r="K76" s="115"/>
      <c r="L76" s="99"/>
    </row>
    <row r="77" hidden="1" outlineLevel="1">
      <c r="A77" s="132">
        <v>3.0</v>
      </c>
      <c r="B77" s="86" t="s">
        <v>381</v>
      </c>
      <c r="C77" s="134">
        <v>280000.0</v>
      </c>
      <c r="D77" s="135">
        <v>220000.0</v>
      </c>
      <c r="E77" s="135">
        <v>220000.0</v>
      </c>
      <c r="F77" s="136">
        <v>375000.0</v>
      </c>
      <c r="G77" s="136">
        <f t="shared" si="17"/>
        <v>155000</v>
      </c>
      <c r="H77" s="137"/>
      <c r="I77" s="137"/>
      <c r="J77" s="138">
        <f t="shared" si="18"/>
        <v>0</v>
      </c>
      <c r="K77" s="98"/>
      <c r="L77" s="99"/>
    </row>
    <row r="78" hidden="1" outlineLevel="1">
      <c r="A78" s="132">
        <v>4.0</v>
      </c>
      <c r="B78" s="86" t="s">
        <v>384</v>
      </c>
      <c r="C78" s="134">
        <f>13*11000</f>
        <v>143000</v>
      </c>
      <c r="D78" s="135">
        <v>520000.0</v>
      </c>
      <c r="E78" s="135">
        <v>520000.0</v>
      </c>
      <c r="F78" s="136">
        <v>650000.0</v>
      </c>
      <c r="G78" s="136">
        <f t="shared" si="17"/>
        <v>130000</v>
      </c>
      <c r="H78" s="200"/>
      <c r="I78" s="200"/>
      <c r="J78" s="202">
        <f t="shared" si="18"/>
        <v>0</v>
      </c>
      <c r="K78" s="115" t="s">
        <v>385</v>
      </c>
      <c r="L78" s="99"/>
    </row>
    <row r="79" hidden="1" outlineLevel="1">
      <c r="A79" s="132">
        <v>5.0</v>
      </c>
      <c r="B79" s="86" t="s">
        <v>387</v>
      </c>
      <c r="C79" s="134">
        <v>1000000.0</v>
      </c>
      <c r="D79" s="135">
        <v>1000000.0</v>
      </c>
      <c r="E79" s="135">
        <v>1000000.0</v>
      </c>
      <c r="F79" s="136">
        <v>1800000.0</v>
      </c>
      <c r="G79" s="136">
        <f t="shared" si="17"/>
        <v>800000</v>
      </c>
      <c r="H79" s="137"/>
      <c r="I79" s="137"/>
      <c r="J79" s="138">
        <f t="shared" si="18"/>
        <v>0</v>
      </c>
      <c r="K79" s="98"/>
      <c r="L79" s="99"/>
    </row>
    <row r="80" hidden="1" outlineLevel="1">
      <c r="A80" s="132">
        <v>6.0</v>
      </c>
      <c r="B80" s="86" t="s">
        <v>393</v>
      </c>
      <c r="C80" s="134">
        <v>2263666.0</v>
      </c>
      <c r="D80" s="135">
        <v>2263666.0</v>
      </c>
      <c r="E80" s="135">
        <v>2263666.0</v>
      </c>
      <c r="F80" s="136">
        <v>2263666.0</v>
      </c>
      <c r="G80" s="136">
        <f t="shared" si="17"/>
        <v>0</v>
      </c>
      <c r="H80" s="137"/>
      <c r="I80" s="137"/>
      <c r="J80" s="138">
        <f t="shared" si="18"/>
        <v>0</v>
      </c>
      <c r="K80" s="98"/>
      <c r="L80" s="99"/>
    </row>
    <row r="81" hidden="1" outlineLevel="1">
      <c r="A81" s="132">
        <v>7.0</v>
      </c>
      <c r="B81" s="86" t="s">
        <v>395</v>
      </c>
      <c r="C81" s="134">
        <v>0.0</v>
      </c>
      <c r="D81" s="135">
        <v>0.0</v>
      </c>
      <c r="E81" s="135">
        <v>20000.0</v>
      </c>
      <c r="F81" s="136">
        <v>20000.0</v>
      </c>
      <c r="G81" s="136">
        <f t="shared" si="17"/>
        <v>0</v>
      </c>
      <c r="H81" s="137"/>
      <c r="I81" s="137"/>
      <c r="J81" s="138">
        <f t="shared" si="18"/>
        <v>20000</v>
      </c>
      <c r="K81" s="115" t="s">
        <v>398</v>
      </c>
      <c r="L81" s="99"/>
    </row>
    <row r="82" hidden="1" outlineLevel="1">
      <c r="A82" s="132">
        <v>8.0</v>
      </c>
      <c r="B82" s="86" t="s">
        <v>399</v>
      </c>
      <c r="C82" s="134">
        <f>27.8*9000</f>
        <v>250200</v>
      </c>
      <c r="D82" s="135">
        <v>250200.0</v>
      </c>
      <c r="E82" s="135">
        <v>250200.0</v>
      </c>
      <c r="F82" s="136">
        <v>1500000.0</v>
      </c>
      <c r="G82" s="136">
        <f t="shared" si="17"/>
        <v>1249800</v>
      </c>
      <c r="H82" s="137"/>
      <c r="I82" s="137"/>
      <c r="J82" s="138">
        <f t="shared" si="18"/>
        <v>0</v>
      </c>
      <c r="K82" s="98"/>
      <c r="L82" s="99"/>
    </row>
    <row r="83" hidden="1" outlineLevel="1">
      <c r="A83" s="222">
        <v>9.0</v>
      </c>
      <c r="B83" s="224" t="s">
        <v>403</v>
      </c>
      <c r="C83" s="225">
        <v>75500.0</v>
      </c>
      <c r="D83" s="226">
        <v>75500.0</v>
      </c>
      <c r="E83" s="226">
        <v>40000.0</v>
      </c>
      <c r="F83" s="230">
        <v>250000.0</v>
      </c>
      <c r="G83" s="230">
        <f t="shared" si="17"/>
        <v>210000</v>
      </c>
      <c r="H83" s="232"/>
      <c r="I83" s="232"/>
      <c r="J83" s="233">
        <f t="shared" si="18"/>
        <v>-35500</v>
      </c>
      <c r="K83" s="234"/>
      <c r="L83" s="235"/>
    </row>
    <row r="84" hidden="1" outlineLevel="1">
      <c r="A84" s="132">
        <v>10.0</v>
      </c>
      <c r="B84" s="86" t="s">
        <v>410</v>
      </c>
      <c r="C84" s="134">
        <v>600000.0</v>
      </c>
      <c r="D84" s="135">
        <v>600000.0</v>
      </c>
      <c r="E84" s="135">
        <v>600000.0</v>
      </c>
      <c r="F84" s="136">
        <v>600000.0</v>
      </c>
      <c r="G84" s="136">
        <f t="shared" si="17"/>
        <v>0</v>
      </c>
      <c r="H84" s="137"/>
      <c r="I84" s="137"/>
      <c r="J84" s="138">
        <f t="shared" si="18"/>
        <v>0</v>
      </c>
      <c r="K84" s="98"/>
      <c r="L84" s="99"/>
    </row>
    <row r="85" hidden="1" outlineLevel="1">
      <c r="A85" s="222">
        <v>11.0</v>
      </c>
      <c r="B85" s="224" t="s">
        <v>413</v>
      </c>
      <c r="C85" s="225">
        <v>0.0</v>
      </c>
      <c r="D85" s="226">
        <v>0.0</v>
      </c>
      <c r="E85" s="226">
        <v>20000.0</v>
      </c>
      <c r="F85" s="230">
        <v>380000.0</v>
      </c>
      <c r="G85" s="230">
        <f t="shared" si="17"/>
        <v>360000</v>
      </c>
      <c r="H85" s="236"/>
      <c r="I85" s="236"/>
      <c r="J85" s="237">
        <f t="shared" si="18"/>
        <v>20000</v>
      </c>
      <c r="K85" s="234" t="s">
        <v>398</v>
      </c>
      <c r="L85" s="235"/>
    </row>
    <row r="86" hidden="1" outlineLevel="1">
      <c r="A86" s="222">
        <v>12.0</v>
      </c>
      <c r="B86" s="224" t="s">
        <v>418</v>
      </c>
      <c r="C86" s="225">
        <v>0.0</v>
      </c>
      <c r="D86" s="226">
        <v>0.0</v>
      </c>
      <c r="E86" s="226">
        <v>30000.0</v>
      </c>
      <c r="F86" s="230">
        <v>380000.0</v>
      </c>
      <c r="G86" s="230">
        <f t="shared" si="17"/>
        <v>350000</v>
      </c>
      <c r="H86" s="236"/>
      <c r="I86" s="236"/>
      <c r="J86" s="237">
        <f t="shared" si="18"/>
        <v>30000</v>
      </c>
      <c r="K86" s="234" t="s">
        <v>398</v>
      </c>
      <c r="L86" s="235"/>
    </row>
    <row r="87" hidden="1" outlineLevel="1">
      <c r="A87" s="247" t="s">
        <v>320</v>
      </c>
      <c r="B87" s="249" t="s">
        <v>420</v>
      </c>
      <c r="C87" s="250">
        <v>900000.0</v>
      </c>
      <c r="D87" s="251">
        <v>900000.0</v>
      </c>
      <c r="E87" s="252">
        <v>0.0</v>
      </c>
      <c r="F87" s="253"/>
      <c r="G87" s="253"/>
      <c r="H87" s="254"/>
      <c r="I87" s="254"/>
      <c r="J87" s="256">
        <f t="shared" si="18"/>
        <v>-900000</v>
      </c>
      <c r="K87" s="258"/>
      <c r="L87" s="260"/>
    </row>
    <row r="88" hidden="1" outlineLevel="1">
      <c r="A88" s="247" t="s">
        <v>330</v>
      </c>
      <c r="B88" s="249" t="s">
        <v>422</v>
      </c>
      <c r="C88" s="250">
        <v>900000.0</v>
      </c>
      <c r="D88" s="251">
        <v>900000.0</v>
      </c>
      <c r="E88" s="251">
        <v>0.0</v>
      </c>
      <c r="F88" s="263"/>
      <c r="G88" s="263"/>
      <c r="H88" s="254"/>
      <c r="I88" s="254"/>
      <c r="J88" s="256">
        <f t="shared" si="18"/>
        <v>-900000</v>
      </c>
      <c r="K88" s="268" t="s">
        <v>425</v>
      </c>
      <c r="L88" s="260"/>
    </row>
    <row r="89" hidden="1" outlineLevel="1">
      <c r="A89" s="247" t="s">
        <v>339</v>
      </c>
      <c r="B89" s="249" t="s">
        <v>428</v>
      </c>
      <c r="C89" s="250">
        <v>226500.0</v>
      </c>
      <c r="D89" s="251">
        <v>226500.0</v>
      </c>
      <c r="E89" s="251">
        <v>0.0</v>
      </c>
      <c r="F89" s="263"/>
      <c r="G89" s="263"/>
      <c r="H89" s="254"/>
      <c r="I89" s="254"/>
      <c r="J89" s="256">
        <f t="shared" si="18"/>
        <v>-226500</v>
      </c>
      <c r="K89" s="258"/>
      <c r="L89" s="260"/>
    </row>
    <row r="90" hidden="1" outlineLevel="1">
      <c r="A90" s="132"/>
      <c r="B90" s="271"/>
      <c r="C90" s="134"/>
      <c r="D90" s="135"/>
      <c r="E90" s="135"/>
      <c r="F90" s="136"/>
      <c r="G90" s="136"/>
      <c r="H90" s="137"/>
      <c r="I90" s="137"/>
      <c r="J90" s="138"/>
      <c r="K90" s="98"/>
      <c r="L90" s="99"/>
    </row>
    <row r="91" hidden="1" outlineLevel="1">
      <c r="A91" s="132"/>
      <c r="B91" s="133"/>
      <c r="C91" s="134"/>
      <c r="D91" s="135"/>
      <c r="E91" s="135"/>
      <c r="F91" s="136"/>
      <c r="G91" s="136"/>
      <c r="H91" s="137"/>
      <c r="I91" s="137"/>
      <c r="J91" s="138"/>
      <c r="K91" s="98"/>
      <c r="L91" s="99"/>
    </row>
    <row r="92">
      <c r="A92" s="141" t="s">
        <v>17</v>
      </c>
      <c r="B92" s="272" t="s">
        <v>433</v>
      </c>
      <c r="C92" s="276">
        <f>C94+C115+C120+C127+C136+C154+C170+C207+C316+C350+C354+C362+C379+C385+C392+C396+C403+C419+C425+C439+C451+C457+C461+C469+C499+C512+C575+C582+C599+C633+C637</f>
        <v>97740000</v>
      </c>
      <c r="D92" s="280">
        <f t="shared" ref="D92:F92" si="19">D94+D111+D115+D120+D127+D136+D154+D170+D207+D316+D350+D354+D362+D379+D385+D392+D396+D403+D419+D425+D439+D451+D457+D461+D469+D499+D512+D575+D582+D599+D633+D637</f>
        <v>226921937.2</v>
      </c>
      <c r="E92" s="280">
        <f t="shared" si="19"/>
        <v>111179000</v>
      </c>
      <c r="F92" s="280">
        <f t="shared" si="19"/>
        <v>113178000</v>
      </c>
      <c r="G92" s="280">
        <f>F92-E92</f>
        <v>1999000</v>
      </c>
      <c r="H92" s="193"/>
      <c r="I92" s="193"/>
      <c r="J92" s="280">
        <f>J94+J111+J115+J120+J127+J136+J154+J170+J207+J316+J350+J354+J362+J379+J385+J392+J396+J403+J419+J425+J439+J451+J457+J461+J469+J499+J512+J575+J582+J599+J633+J637</f>
        <v>-109232937.2</v>
      </c>
      <c r="K92" s="282" t="s">
        <v>448</v>
      </c>
      <c r="L92" s="283"/>
    </row>
    <row r="93" collapsed="1">
      <c r="A93" s="63"/>
      <c r="B93" s="284"/>
      <c r="C93" s="285">
        <f>C95+C112+C116+C121+C128+C137+C155+C171+C208+C317+C351+C355+C363+C380+C386+C393+C397+C404+C420+C426+C440+C452+C458+C462+C470+C500+C513+C576+C583+C600+C634+C638</f>
        <v>751</v>
      </c>
      <c r="D93" s="73">
        <f>(D92/C92)-1</f>
        <v>1.321689556</v>
      </c>
      <c r="E93" s="290">
        <f>E95+E112+E116+E121+E128+E137+E155+E171+E208+E317+E351+E355+E363+E380+E386+E393+E397+E404+E420+E426+E440+E452+E458+E462+E470+E500+E513+E576+E583+E600+E634+E638</f>
        <v>418</v>
      </c>
      <c r="F93" s="290"/>
      <c r="G93" s="290"/>
      <c r="H93" s="77"/>
      <c r="I93" s="77"/>
      <c r="J93" s="291"/>
      <c r="K93" s="293"/>
      <c r="L93" s="82"/>
    </row>
    <row r="94" hidden="1" outlineLevel="1">
      <c r="A94" s="294">
        <v>1.0</v>
      </c>
      <c r="B94" s="296" t="s">
        <v>450</v>
      </c>
      <c r="C94" s="299">
        <f>B95*C95</f>
        <v>2800000</v>
      </c>
      <c r="D94" s="300">
        <f>C95*J95</f>
        <v>5130363.636</v>
      </c>
      <c r="E94" s="301">
        <f t="shared" ref="E94:F94" si="20">SUM(E96:E106)</f>
        <v>4031000</v>
      </c>
      <c r="F94" s="302">
        <f t="shared" si="20"/>
        <v>4031000</v>
      </c>
      <c r="G94" s="302">
        <f>F94-E94</f>
        <v>0</v>
      </c>
      <c r="H94" s="303"/>
      <c r="I94" s="303"/>
      <c r="J94" s="304">
        <f>E94-D94</f>
        <v>-1099363.636</v>
      </c>
      <c r="K94" s="305"/>
      <c r="L94" s="306"/>
    </row>
    <row r="95" hidden="1" outlineLevel="1" collapsed="1">
      <c r="A95" s="307"/>
      <c r="B95" s="308">
        <v>200000.0</v>
      </c>
      <c r="C95" s="309">
        <v>14.0</v>
      </c>
      <c r="D95" s="316">
        <f>(D94/C94)-1</f>
        <v>0.8322727273</v>
      </c>
      <c r="E95" s="317">
        <f>COUNT(E96:E106)</f>
        <v>11</v>
      </c>
      <c r="F95" s="317"/>
      <c r="G95" s="317"/>
      <c r="H95" s="318"/>
      <c r="I95" s="318"/>
      <c r="J95" s="319">
        <f>E94/E95</f>
        <v>366454.5455</v>
      </c>
      <c r="K95" s="320"/>
      <c r="L95" s="322"/>
    </row>
    <row r="96" hidden="1" outlineLevel="2">
      <c r="A96" s="132">
        <v>1.1</v>
      </c>
      <c r="B96" s="133" t="s">
        <v>459</v>
      </c>
      <c r="C96" s="325"/>
      <c r="D96" s="326"/>
      <c r="E96" s="327">
        <v>351000.0</v>
      </c>
      <c r="F96" s="93">
        <v>351000.0</v>
      </c>
      <c r="G96" s="93">
        <f t="shared" ref="G96:G106" si="21">F96-E96</f>
        <v>0</v>
      </c>
      <c r="H96" s="328"/>
      <c r="I96" s="328"/>
      <c r="J96" s="329"/>
      <c r="K96" s="98"/>
      <c r="L96" s="99"/>
    </row>
    <row r="97" hidden="1" outlineLevel="2">
      <c r="A97" s="132">
        <v>1.2</v>
      </c>
      <c r="B97" s="133" t="s">
        <v>464</v>
      </c>
      <c r="C97" s="325"/>
      <c r="D97" s="326"/>
      <c r="E97" s="327">
        <v>351000.0</v>
      </c>
      <c r="F97" s="93">
        <v>351000.0</v>
      </c>
      <c r="G97" s="93">
        <f t="shared" si="21"/>
        <v>0</v>
      </c>
      <c r="H97" s="330"/>
      <c r="I97" s="330"/>
      <c r="J97" s="331"/>
      <c r="K97" s="98"/>
      <c r="L97" s="99"/>
    </row>
    <row r="98" hidden="1" outlineLevel="2">
      <c r="A98" s="132">
        <v>1.3</v>
      </c>
      <c r="B98" s="133" t="s">
        <v>465</v>
      </c>
      <c r="C98" s="325"/>
      <c r="D98" s="326"/>
      <c r="E98" s="327">
        <v>351000.0</v>
      </c>
      <c r="F98" s="93">
        <v>351000.0</v>
      </c>
      <c r="G98" s="93">
        <f t="shared" si="21"/>
        <v>0</v>
      </c>
      <c r="H98" s="328"/>
      <c r="I98" s="328"/>
      <c r="J98" s="329"/>
      <c r="K98" s="98"/>
      <c r="L98" s="99"/>
    </row>
    <row r="99" hidden="1" outlineLevel="2">
      <c r="A99" s="132">
        <v>1.4</v>
      </c>
      <c r="B99" s="133" t="s">
        <v>466</v>
      </c>
      <c r="C99" s="325"/>
      <c r="D99" s="326"/>
      <c r="E99" s="327">
        <v>369000.0</v>
      </c>
      <c r="F99" s="93">
        <v>369000.0</v>
      </c>
      <c r="G99" s="93">
        <f t="shared" si="21"/>
        <v>0</v>
      </c>
      <c r="H99" s="330"/>
      <c r="I99" s="330"/>
      <c r="J99" s="331"/>
      <c r="K99" s="98"/>
      <c r="L99" s="99"/>
    </row>
    <row r="100" hidden="1" outlineLevel="2">
      <c r="A100" s="132">
        <v>1.5</v>
      </c>
      <c r="B100" s="133" t="s">
        <v>468</v>
      </c>
      <c r="C100" s="325"/>
      <c r="D100" s="326"/>
      <c r="E100" s="327">
        <v>369000.0</v>
      </c>
      <c r="F100" s="93">
        <v>369000.0</v>
      </c>
      <c r="G100" s="93">
        <f t="shared" si="21"/>
        <v>0</v>
      </c>
      <c r="H100" s="328"/>
      <c r="I100" s="328"/>
      <c r="J100" s="329"/>
      <c r="K100" s="98"/>
      <c r="L100" s="99"/>
    </row>
    <row r="101" hidden="1" outlineLevel="2">
      <c r="A101" s="132">
        <v>1.6</v>
      </c>
      <c r="B101" s="133" t="s">
        <v>469</v>
      </c>
      <c r="C101" s="325"/>
      <c r="D101" s="326"/>
      <c r="E101" s="327">
        <v>389000.0</v>
      </c>
      <c r="F101" s="93">
        <v>389000.0</v>
      </c>
      <c r="G101" s="93">
        <f t="shared" si="21"/>
        <v>0</v>
      </c>
      <c r="H101" s="330"/>
      <c r="I101" s="330"/>
      <c r="J101" s="331"/>
      <c r="K101" s="98"/>
      <c r="L101" s="99"/>
    </row>
    <row r="102" hidden="1" outlineLevel="2">
      <c r="A102" s="132">
        <v>1.7</v>
      </c>
      <c r="B102" s="133" t="s">
        <v>470</v>
      </c>
      <c r="C102" s="325"/>
      <c r="D102" s="326"/>
      <c r="E102" s="327">
        <v>389000.0</v>
      </c>
      <c r="F102" s="93">
        <v>389000.0</v>
      </c>
      <c r="G102" s="93">
        <f t="shared" si="21"/>
        <v>0</v>
      </c>
      <c r="H102" s="328"/>
      <c r="I102" s="328"/>
      <c r="J102" s="329"/>
      <c r="K102" s="98"/>
      <c r="L102" s="99"/>
    </row>
    <row r="103" hidden="1" outlineLevel="2">
      <c r="A103" s="132">
        <v>1.8</v>
      </c>
      <c r="B103" s="133" t="s">
        <v>472</v>
      </c>
      <c r="C103" s="325"/>
      <c r="D103" s="326"/>
      <c r="E103" s="327">
        <v>389000.0</v>
      </c>
      <c r="F103" s="93">
        <v>389000.0</v>
      </c>
      <c r="G103" s="93">
        <f t="shared" si="21"/>
        <v>0</v>
      </c>
      <c r="H103" s="330"/>
      <c r="I103" s="330"/>
      <c r="J103" s="331"/>
      <c r="K103" s="98"/>
      <c r="L103" s="99"/>
    </row>
    <row r="104" hidden="1" outlineLevel="2">
      <c r="A104" s="132">
        <v>1.9</v>
      </c>
      <c r="B104" s="133" t="s">
        <v>474</v>
      </c>
      <c r="C104" s="325"/>
      <c r="D104" s="326"/>
      <c r="E104" s="327">
        <v>354000.0</v>
      </c>
      <c r="F104" s="93">
        <v>354000.0</v>
      </c>
      <c r="G104" s="93">
        <f t="shared" si="21"/>
        <v>0</v>
      </c>
      <c r="H104" s="328"/>
      <c r="I104" s="328"/>
      <c r="J104" s="329"/>
      <c r="K104" s="98"/>
      <c r="L104" s="99"/>
    </row>
    <row r="105" hidden="1" outlineLevel="2">
      <c r="A105" s="332" t="s">
        <v>475</v>
      </c>
      <c r="B105" s="133" t="s">
        <v>477</v>
      </c>
      <c r="C105" s="325"/>
      <c r="D105" s="326"/>
      <c r="E105" s="327">
        <v>389000.0</v>
      </c>
      <c r="F105" s="93">
        <v>389000.0</v>
      </c>
      <c r="G105" s="93">
        <f t="shared" si="21"/>
        <v>0</v>
      </c>
      <c r="H105" s="330"/>
      <c r="I105" s="330"/>
      <c r="J105" s="331"/>
      <c r="K105" s="98"/>
      <c r="L105" s="99"/>
    </row>
    <row r="106" hidden="1" outlineLevel="2">
      <c r="A106" s="332" t="s">
        <v>479</v>
      </c>
      <c r="B106" s="133" t="s">
        <v>480</v>
      </c>
      <c r="C106" s="325"/>
      <c r="D106" s="326"/>
      <c r="E106" s="327">
        <v>330000.0</v>
      </c>
      <c r="F106" s="93">
        <v>330000.0</v>
      </c>
      <c r="G106" s="93">
        <f t="shared" si="21"/>
        <v>0</v>
      </c>
      <c r="H106" s="328"/>
      <c r="I106" s="328"/>
      <c r="J106" s="329"/>
      <c r="K106" s="98"/>
      <c r="L106" s="99"/>
    </row>
    <row r="107" hidden="1" outlineLevel="2">
      <c r="A107" s="333" t="s">
        <v>481</v>
      </c>
      <c r="B107" s="334" t="s">
        <v>482</v>
      </c>
      <c r="C107" s="335"/>
      <c r="D107" s="336"/>
      <c r="E107" s="327">
        <v>0.0</v>
      </c>
      <c r="F107" s="93"/>
      <c r="G107" s="93"/>
      <c r="H107" s="330"/>
      <c r="I107" s="330"/>
      <c r="J107" s="331"/>
      <c r="K107" s="337" t="s">
        <v>485</v>
      </c>
      <c r="L107" s="125"/>
    </row>
    <row r="108" hidden="1" outlineLevel="2">
      <c r="A108" s="333" t="s">
        <v>481</v>
      </c>
      <c r="B108" s="334" t="s">
        <v>482</v>
      </c>
      <c r="C108" s="335"/>
      <c r="D108" s="336"/>
      <c r="E108" s="327">
        <v>0.0</v>
      </c>
      <c r="F108" s="93"/>
      <c r="G108" s="93"/>
      <c r="H108" s="328"/>
      <c r="I108" s="328"/>
      <c r="J108" s="329"/>
      <c r="K108" s="337" t="s">
        <v>485</v>
      </c>
      <c r="L108" s="125"/>
    </row>
    <row r="109" hidden="1" outlineLevel="2">
      <c r="A109" s="333" t="s">
        <v>481</v>
      </c>
      <c r="B109" s="334" t="s">
        <v>482</v>
      </c>
      <c r="C109" s="335"/>
      <c r="D109" s="336"/>
      <c r="E109" s="327">
        <v>0.0</v>
      </c>
      <c r="F109" s="93"/>
      <c r="G109" s="93"/>
      <c r="H109" s="330"/>
      <c r="I109" s="330"/>
      <c r="J109" s="331"/>
      <c r="K109" s="337" t="s">
        <v>485</v>
      </c>
      <c r="L109" s="125"/>
    </row>
    <row r="110" hidden="1" outlineLevel="2">
      <c r="A110" s="132"/>
      <c r="B110" s="133"/>
      <c r="C110" s="325"/>
      <c r="D110" s="326"/>
      <c r="E110" s="327"/>
      <c r="F110" s="93"/>
      <c r="G110" s="93"/>
      <c r="H110" s="330"/>
      <c r="I110" s="330"/>
      <c r="J110" s="331"/>
      <c r="K110" s="98"/>
      <c r="L110" s="99"/>
    </row>
    <row r="111" hidden="1" outlineLevel="1">
      <c r="A111" s="294">
        <v>2.0</v>
      </c>
      <c r="B111" s="296" t="s">
        <v>488</v>
      </c>
      <c r="C111" s="338" t="s">
        <v>489</v>
      </c>
      <c r="D111" s="300">
        <v>136000.0</v>
      </c>
      <c r="E111" s="301">
        <f t="shared" ref="E111:F111" si="22">E113</f>
        <v>136000</v>
      </c>
      <c r="F111" s="302">
        <f t="shared" si="22"/>
        <v>136000</v>
      </c>
      <c r="G111" s="302">
        <f>F111-E111</f>
        <v>0</v>
      </c>
      <c r="H111" s="303"/>
      <c r="I111" s="303"/>
      <c r="J111" s="304">
        <f>E111-D111</f>
        <v>0</v>
      </c>
      <c r="K111" s="305" t="s">
        <v>494</v>
      </c>
      <c r="L111" s="306"/>
    </row>
    <row r="112" hidden="1" outlineLevel="1" collapsed="1">
      <c r="A112" s="307"/>
      <c r="B112" s="308" t="s">
        <v>495</v>
      </c>
      <c r="C112" s="309">
        <v>1.0</v>
      </c>
      <c r="D112" s="316" t="s">
        <v>268</v>
      </c>
      <c r="E112" s="317">
        <v>1.0</v>
      </c>
      <c r="F112" s="317"/>
      <c r="G112" s="317"/>
      <c r="H112" s="318"/>
      <c r="I112" s="318"/>
      <c r="J112" s="319">
        <f>E111/E112</f>
        <v>136000</v>
      </c>
      <c r="K112" s="320"/>
      <c r="L112" s="322"/>
    </row>
    <row r="113" hidden="1" outlineLevel="2">
      <c r="A113" s="132">
        <v>2.1</v>
      </c>
      <c r="B113" s="86" t="s">
        <v>497</v>
      </c>
      <c r="C113" s="325"/>
      <c r="D113" s="326"/>
      <c r="E113" s="327">
        <v>136000.0</v>
      </c>
      <c r="F113" s="93">
        <v>136000.0</v>
      </c>
      <c r="G113" s="93">
        <f>F113-E113</f>
        <v>0</v>
      </c>
      <c r="H113" s="339"/>
      <c r="I113" s="339"/>
      <c r="J113" s="138"/>
      <c r="K113" s="98"/>
      <c r="L113" s="99"/>
    </row>
    <row r="114" hidden="1" outlineLevel="2">
      <c r="A114" s="132"/>
      <c r="B114" s="133"/>
      <c r="C114" s="325"/>
      <c r="D114" s="326"/>
      <c r="E114" s="340"/>
      <c r="F114" s="341"/>
      <c r="G114" s="341"/>
      <c r="H114" s="137"/>
      <c r="I114" s="137"/>
      <c r="J114" s="138"/>
      <c r="K114" s="98"/>
      <c r="L114" s="99"/>
    </row>
    <row r="115" hidden="1" outlineLevel="1">
      <c r="A115" s="342">
        <v>3.0</v>
      </c>
      <c r="B115" s="343" t="s">
        <v>498</v>
      </c>
      <c r="C115" s="344">
        <f>B116*C116</f>
        <v>4350000</v>
      </c>
      <c r="D115" s="300">
        <f>C116*J116</f>
        <v>18241000</v>
      </c>
      <c r="E115" s="300">
        <f t="shared" ref="E115:F115" si="23">SUM(E117:E118)</f>
        <v>629000</v>
      </c>
      <c r="F115" s="345">
        <f t="shared" si="23"/>
        <v>629000</v>
      </c>
      <c r="G115" s="345">
        <f>F115-E115</f>
        <v>0</v>
      </c>
      <c r="H115" s="346"/>
      <c r="I115" s="346" t="s">
        <v>501</v>
      </c>
      <c r="J115" s="347">
        <f>E115-D115</f>
        <v>-17612000</v>
      </c>
      <c r="K115" s="348" t="s">
        <v>502</v>
      </c>
      <c r="L115" s="349"/>
    </row>
    <row r="116" hidden="1" outlineLevel="1" collapsed="1">
      <c r="A116" s="307"/>
      <c r="B116" s="308">
        <v>150000.0</v>
      </c>
      <c r="C116" s="309">
        <v>29.0</v>
      </c>
      <c r="D116" s="316">
        <f>(D115/C115)-1</f>
        <v>3.193333333</v>
      </c>
      <c r="E116" s="317">
        <v>1.0</v>
      </c>
      <c r="F116" s="317"/>
      <c r="G116" s="317"/>
      <c r="H116" s="318"/>
      <c r="I116" s="318"/>
      <c r="J116" s="319">
        <f>E115/E116</f>
        <v>629000</v>
      </c>
      <c r="K116" s="320"/>
      <c r="L116" s="322"/>
    </row>
    <row r="117" hidden="1" outlineLevel="2">
      <c r="A117" s="132">
        <v>3.1</v>
      </c>
      <c r="B117" s="86" t="s">
        <v>503</v>
      </c>
      <c r="C117" s="325"/>
      <c r="D117" s="326"/>
      <c r="E117" s="327">
        <v>629000.0</v>
      </c>
      <c r="F117" s="93">
        <v>629000.0</v>
      </c>
      <c r="G117" s="93">
        <f>F117-E117</f>
        <v>0</v>
      </c>
      <c r="H117" s="339"/>
      <c r="I117" s="339"/>
      <c r="J117" s="138"/>
      <c r="K117" s="98"/>
      <c r="L117" s="99"/>
    </row>
    <row r="118" hidden="1" outlineLevel="2">
      <c r="A118" s="132" t="s">
        <v>481</v>
      </c>
      <c r="B118" s="86" t="s">
        <v>504</v>
      </c>
      <c r="C118" s="325"/>
      <c r="D118" s="326"/>
      <c r="E118" s="327">
        <v>0.0</v>
      </c>
      <c r="F118" s="93"/>
      <c r="G118" s="93"/>
      <c r="H118" s="339"/>
      <c r="I118" s="339"/>
      <c r="J118" s="138"/>
      <c r="K118" s="98"/>
      <c r="L118" s="99"/>
    </row>
    <row r="119" hidden="1" outlineLevel="2">
      <c r="A119" s="132"/>
      <c r="B119" s="133"/>
      <c r="C119" s="325"/>
      <c r="D119" s="326"/>
      <c r="E119" s="340"/>
      <c r="F119" s="341"/>
      <c r="G119" s="341"/>
      <c r="H119" s="137"/>
      <c r="I119" s="137"/>
      <c r="J119" s="138"/>
      <c r="K119" s="98"/>
      <c r="L119" s="99"/>
    </row>
    <row r="120" hidden="1" outlineLevel="1">
      <c r="A120" s="342">
        <v>4.0</v>
      </c>
      <c r="B120" s="343" t="s">
        <v>505</v>
      </c>
      <c r="C120" s="344">
        <f>B121*C121</f>
        <v>1000000</v>
      </c>
      <c r="D120" s="300">
        <f>C121*J121</f>
        <v>0</v>
      </c>
      <c r="E120" s="300">
        <v>0.0</v>
      </c>
      <c r="F120" s="345">
        <v>520000.0</v>
      </c>
      <c r="G120" s="345">
        <f>F120-E120</f>
        <v>520000</v>
      </c>
      <c r="H120" s="350"/>
      <c r="I120" s="350"/>
      <c r="J120" s="347">
        <f>E120-D120</f>
        <v>0</v>
      </c>
      <c r="K120" s="348"/>
      <c r="L120" s="349"/>
    </row>
    <row r="121" hidden="1" outlineLevel="1" collapsed="1">
      <c r="A121" s="307"/>
      <c r="B121" s="308">
        <v>250000.0</v>
      </c>
      <c r="C121" s="309">
        <v>4.0</v>
      </c>
      <c r="D121" s="316" t="s">
        <v>268</v>
      </c>
      <c r="E121" s="317">
        <v>4.0</v>
      </c>
      <c r="F121" s="317"/>
      <c r="G121" s="317"/>
      <c r="H121" s="318"/>
      <c r="I121" s="318"/>
      <c r="J121" s="319">
        <f>E120/E121</f>
        <v>0</v>
      </c>
      <c r="K121" s="320"/>
      <c r="L121" s="322"/>
    </row>
    <row r="122" hidden="1" outlineLevel="2">
      <c r="A122" s="132">
        <v>4.1</v>
      </c>
      <c r="B122" s="86" t="s">
        <v>506</v>
      </c>
      <c r="C122" s="325"/>
      <c r="D122" s="326"/>
      <c r="E122" s="351">
        <v>0.0</v>
      </c>
      <c r="F122" s="352"/>
      <c r="G122" s="352"/>
      <c r="H122" s="137"/>
      <c r="I122" s="137"/>
      <c r="J122" s="138"/>
      <c r="K122" s="98"/>
      <c r="L122" s="99"/>
    </row>
    <row r="123" hidden="1" outlineLevel="2">
      <c r="A123" s="132">
        <v>4.2</v>
      </c>
      <c r="B123" s="86" t="s">
        <v>507</v>
      </c>
      <c r="C123" s="325"/>
      <c r="D123" s="326"/>
      <c r="E123" s="353">
        <v>0.0</v>
      </c>
      <c r="F123" s="354"/>
      <c r="G123" s="354"/>
      <c r="H123" s="137"/>
      <c r="I123" s="137"/>
      <c r="J123" s="138"/>
      <c r="K123" s="98"/>
      <c r="L123" s="99"/>
    </row>
    <row r="124" hidden="1" outlineLevel="2">
      <c r="A124" s="132">
        <v>4.3</v>
      </c>
      <c r="B124" s="86" t="s">
        <v>508</v>
      </c>
      <c r="C124" s="325"/>
      <c r="D124" s="326"/>
      <c r="E124" s="351">
        <v>0.0</v>
      </c>
      <c r="F124" s="352"/>
      <c r="G124" s="352"/>
      <c r="H124" s="137"/>
      <c r="I124" s="137"/>
      <c r="J124" s="138"/>
      <c r="K124" s="98"/>
      <c r="L124" s="99"/>
    </row>
    <row r="125" hidden="1" outlineLevel="2">
      <c r="A125" s="132">
        <v>4.4</v>
      </c>
      <c r="B125" s="86" t="s">
        <v>509</v>
      </c>
      <c r="C125" s="325"/>
      <c r="D125" s="326"/>
      <c r="E125" s="353">
        <v>0.0</v>
      </c>
      <c r="F125" s="354"/>
      <c r="G125" s="354"/>
      <c r="H125" s="137"/>
      <c r="I125" s="137"/>
      <c r="J125" s="138"/>
      <c r="K125" s="98"/>
      <c r="L125" s="99"/>
    </row>
    <row r="126" hidden="1" outlineLevel="2">
      <c r="A126" s="132"/>
      <c r="B126" s="133"/>
      <c r="C126" s="325"/>
      <c r="D126" s="326"/>
      <c r="E126" s="340"/>
      <c r="F126" s="341"/>
      <c r="G126" s="341"/>
      <c r="H126" s="137"/>
      <c r="I126" s="137"/>
      <c r="J126" s="138"/>
      <c r="K126" s="98"/>
      <c r="L126" s="99"/>
    </row>
    <row r="127" hidden="1" outlineLevel="1">
      <c r="A127" s="342">
        <v>5.0</v>
      </c>
      <c r="B127" s="343" t="s">
        <v>510</v>
      </c>
      <c r="C127" s="344">
        <f>250000+9*120000</f>
        <v>1330000</v>
      </c>
      <c r="D127" s="300">
        <f>C128*J128</f>
        <v>1951666.667</v>
      </c>
      <c r="E127" s="300">
        <f t="shared" ref="E127:F127" si="24">SUM(E129:E134)</f>
        <v>1171000</v>
      </c>
      <c r="F127" s="345">
        <f t="shared" si="24"/>
        <v>1171000</v>
      </c>
      <c r="G127" s="345">
        <f>F127-E127</f>
        <v>0</v>
      </c>
      <c r="H127" s="350"/>
      <c r="I127" s="350"/>
      <c r="J127" s="347">
        <f>E127-D127</f>
        <v>-780666.6667</v>
      </c>
      <c r="K127" s="348"/>
      <c r="L127" s="349"/>
    </row>
    <row r="128" hidden="1" outlineLevel="1" collapsed="1">
      <c r="A128" s="307"/>
      <c r="B128" s="308" t="s">
        <v>511</v>
      </c>
      <c r="C128" s="309">
        <v>10.0</v>
      </c>
      <c r="D128" s="316">
        <f>(D127/C127)-1</f>
        <v>0.4674185464</v>
      </c>
      <c r="E128" s="317">
        <f>COUNT(E129:E134)</f>
        <v>6</v>
      </c>
      <c r="F128" s="317"/>
      <c r="G128" s="317"/>
      <c r="H128" s="318"/>
      <c r="I128" s="318"/>
      <c r="J128" s="319">
        <f>E127/E128</f>
        <v>195166.6667</v>
      </c>
      <c r="K128" s="320"/>
      <c r="L128" s="322"/>
    </row>
    <row r="129" hidden="1" outlineLevel="2">
      <c r="A129" s="132">
        <v>5.1</v>
      </c>
      <c r="B129" s="86" t="s">
        <v>512</v>
      </c>
      <c r="C129" s="325"/>
      <c r="D129" s="326"/>
      <c r="E129" s="327">
        <v>169000.0</v>
      </c>
      <c r="F129" s="93">
        <v>169000.0</v>
      </c>
      <c r="G129" s="93">
        <f t="shared" ref="G129:G134" si="25">F129-E129</f>
        <v>0</v>
      </c>
      <c r="H129" s="339"/>
      <c r="I129" s="339"/>
      <c r="J129" s="138"/>
      <c r="K129" s="98"/>
      <c r="L129" s="99"/>
    </row>
    <row r="130" hidden="1" outlineLevel="2">
      <c r="A130" s="132">
        <v>5.2</v>
      </c>
      <c r="B130" s="86" t="s">
        <v>513</v>
      </c>
      <c r="C130" s="325"/>
      <c r="D130" s="326"/>
      <c r="E130" s="327">
        <v>232000.0</v>
      </c>
      <c r="F130" s="93">
        <v>232000.0</v>
      </c>
      <c r="G130" s="93">
        <f t="shared" si="25"/>
        <v>0</v>
      </c>
      <c r="H130" s="339"/>
      <c r="I130" s="339"/>
      <c r="J130" s="138"/>
      <c r="K130" s="98"/>
      <c r="L130" s="99"/>
    </row>
    <row r="131" hidden="1" outlineLevel="2">
      <c r="A131" s="132">
        <v>5.3</v>
      </c>
      <c r="B131" s="86" t="s">
        <v>514</v>
      </c>
      <c r="C131" s="325"/>
      <c r="D131" s="326"/>
      <c r="E131" s="327">
        <v>204000.0</v>
      </c>
      <c r="F131" s="93">
        <v>204000.0</v>
      </c>
      <c r="G131" s="93">
        <f t="shared" si="25"/>
        <v>0</v>
      </c>
      <c r="H131" s="339"/>
      <c r="I131" s="339"/>
      <c r="J131" s="138"/>
      <c r="K131" s="98"/>
      <c r="L131" s="99"/>
    </row>
    <row r="132" hidden="1" outlineLevel="2">
      <c r="A132" s="132">
        <v>5.4</v>
      </c>
      <c r="B132" s="86" t="s">
        <v>515</v>
      </c>
      <c r="C132" s="325"/>
      <c r="D132" s="326"/>
      <c r="E132" s="327">
        <v>204000.0</v>
      </c>
      <c r="F132" s="93">
        <v>204000.0</v>
      </c>
      <c r="G132" s="93">
        <f t="shared" si="25"/>
        <v>0</v>
      </c>
      <c r="H132" s="339"/>
      <c r="I132" s="339"/>
      <c r="J132" s="138"/>
      <c r="K132" s="98"/>
      <c r="L132" s="99"/>
    </row>
    <row r="133" hidden="1" outlineLevel="2">
      <c r="A133" s="132">
        <v>5.5</v>
      </c>
      <c r="B133" s="86" t="s">
        <v>516</v>
      </c>
      <c r="C133" s="325"/>
      <c r="D133" s="326"/>
      <c r="E133" s="327">
        <v>181000.0</v>
      </c>
      <c r="F133" s="93">
        <v>181000.0</v>
      </c>
      <c r="G133" s="93">
        <f t="shared" si="25"/>
        <v>0</v>
      </c>
      <c r="H133" s="339"/>
      <c r="I133" s="339"/>
      <c r="J133" s="138"/>
      <c r="K133" s="98"/>
      <c r="L133" s="99"/>
    </row>
    <row r="134" hidden="1" outlineLevel="2">
      <c r="A134" s="132">
        <v>5.6</v>
      </c>
      <c r="B134" s="86" t="s">
        <v>517</v>
      </c>
      <c r="C134" s="325"/>
      <c r="D134" s="326"/>
      <c r="E134" s="327">
        <v>181000.0</v>
      </c>
      <c r="F134" s="93">
        <v>181000.0</v>
      </c>
      <c r="G134" s="93">
        <f t="shared" si="25"/>
        <v>0</v>
      </c>
      <c r="H134" s="339"/>
      <c r="I134" s="339"/>
      <c r="J134" s="138"/>
      <c r="K134" s="98"/>
      <c r="L134" s="99"/>
    </row>
    <row r="135" hidden="1" outlineLevel="2">
      <c r="A135" s="132"/>
      <c r="B135" s="133"/>
      <c r="C135" s="325"/>
      <c r="D135" s="326"/>
      <c r="E135" s="340"/>
      <c r="F135" s="341"/>
      <c r="G135" s="341"/>
      <c r="H135" s="137"/>
      <c r="I135" s="137"/>
      <c r="J135" s="138"/>
      <c r="K135" s="98"/>
      <c r="L135" s="99"/>
    </row>
    <row r="136" hidden="1" outlineLevel="1">
      <c r="A136" s="342">
        <v>6.0</v>
      </c>
      <c r="B136" s="343" t="s">
        <v>518</v>
      </c>
      <c r="C136" s="344">
        <f>B137*C137</f>
        <v>2000000</v>
      </c>
      <c r="D136" s="300">
        <f>C137*J137</f>
        <v>3529333.333</v>
      </c>
      <c r="E136" s="300">
        <f t="shared" ref="E136:F136" si="26">SUM(E138:E152)</f>
        <v>2647000</v>
      </c>
      <c r="F136" s="345">
        <f t="shared" si="26"/>
        <v>2647000</v>
      </c>
      <c r="G136" s="345">
        <f>F136-E136</f>
        <v>0</v>
      </c>
      <c r="H136" s="350"/>
      <c r="I136" s="350"/>
      <c r="J136" s="347">
        <f>E136-D136</f>
        <v>-882333.3333</v>
      </c>
      <c r="K136" s="348"/>
      <c r="L136" s="349"/>
    </row>
    <row r="137" hidden="1" outlineLevel="1" collapsed="1">
      <c r="A137" s="307"/>
      <c r="B137" s="308">
        <v>100000.0</v>
      </c>
      <c r="C137" s="309">
        <v>20.0</v>
      </c>
      <c r="D137" s="316">
        <f>(D136/C136)-1</f>
        <v>0.7646666667</v>
      </c>
      <c r="E137" s="317">
        <f>COUNT(E138:E152)</f>
        <v>15</v>
      </c>
      <c r="F137" s="317"/>
      <c r="G137" s="317"/>
      <c r="H137" s="318"/>
      <c r="I137" s="318"/>
      <c r="J137" s="319">
        <f>E136/E137</f>
        <v>176466.6667</v>
      </c>
      <c r="K137" s="320"/>
      <c r="L137" s="322"/>
    </row>
    <row r="138" hidden="1" outlineLevel="2">
      <c r="A138" s="132">
        <v>6.1</v>
      </c>
      <c r="B138" s="86" t="s">
        <v>519</v>
      </c>
      <c r="C138" s="325"/>
      <c r="D138" s="326"/>
      <c r="E138" s="327">
        <v>214000.0</v>
      </c>
      <c r="F138" s="93">
        <v>214000.0</v>
      </c>
      <c r="G138" s="93">
        <f t="shared" ref="G138:G152" si="27">F138-E138</f>
        <v>0</v>
      </c>
      <c r="H138" s="339"/>
      <c r="I138" s="339"/>
      <c r="J138" s="138"/>
      <c r="K138" s="98"/>
      <c r="L138" s="99"/>
    </row>
    <row r="139" hidden="1" outlineLevel="2">
      <c r="A139" s="132">
        <v>6.2</v>
      </c>
      <c r="B139" s="86" t="s">
        <v>520</v>
      </c>
      <c r="C139" s="325"/>
      <c r="D139" s="326"/>
      <c r="E139" s="327">
        <v>190000.0</v>
      </c>
      <c r="F139" s="93">
        <v>190000.0</v>
      </c>
      <c r="G139" s="93">
        <f t="shared" si="27"/>
        <v>0</v>
      </c>
      <c r="H139" s="339"/>
      <c r="I139" s="339"/>
      <c r="J139" s="138"/>
      <c r="K139" s="98"/>
      <c r="L139" s="99"/>
    </row>
    <row r="140" hidden="1" outlineLevel="2">
      <c r="A140" s="132">
        <v>6.3</v>
      </c>
      <c r="B140" s="86" t="s">
        <v>521</v>
      </c>
      <c r="C140" s="325"/>
      <c r="D140" s="326"/>
      <c r="E140" s="327">
        <v>202000.0</v>
      </c>
      <c r="F140" s="93">
        <v>202000.0</v>
      </c>
      <c r="G140" s="93">
        <f t="shared" si="27"/>
        <v>0</v>
      </c>
      <c r="H140" s="339"/>
      <c r="I140" s="339"/>
      <c r="J140" s="138"/>
      <c r="K140" s="98"/>
      <c r="L140" s="99"/>
    </row>
    <row r="141" hidden="1" outlineLevel="2">
      <c r="A141" s="132">
        <v>6.4</v>
      </c>
      <c r="B141" s="86" t="s">
        <v>522</v>
      </c>
      <c r="C141" s="325"/>
      <c r="D141" s="326"/>
      <c r="E141" s="327">
        <v>190000.0</v>
      </c>
      <c r="F141" s="93">
        <v>190000.0</v>
      </c>
      <c r="G141" s="93">
        <f t="shared" si="27"/>
        <v>0</v>
      </c>
      <c r="H141" s="339"/>
      <c r="I141" s="339"/>
      <c r="J141" s="138"/>
      <c r="K141" s="98"/>
      <c r="L141" s="99"/>
    </row>
    <row r="142" hidden="1" outlineLevel="2">
      <c r="A142" s="132">
        <v>6.5</v>
      </c>
      <c r="B142" s="86" t="s">
        <v>523</v>
      </c>
      <c r="C142" s="325"/>
      <c r="D142" s="326"/>
      <c r="E142" s="327">
        <v>220000.0</v>
      </c>
      <c r="F142" s="93">
        <v>220000.0</v>
      </c>
      <c r="G142" s="93">
        <f t="shared" si="27"/>
        <v>0</v>
      </c>
      <c r="H142" s="339"/>
      <c r="I142" s="339"/>
      <c r="J142" s="138"/>
      <c r="K142" s="98"/>
      <c r="L142" s="99"/>
    </row>
    <row r="143" hidden="1" outlineLevel="2">
      <c r="A143" s="132">
        <v>6.6</v>
      </c>
      <c r="B143" s="86" t="s">
        <v>524</v>
      </c>
      <c r="C143" s="325"/>
      <c r="D143" s="326"/>
      <c r="E143" s="327">
        <v>167000.0</v>
      </c>
      <c r="F143" s="93">
        <v>167000.0</v>
      </c>
      <c r="G143" s="93">
        <f t="shared" si="27"/>
        <v>0</v>
      </c>
      <c r="H143" s="339"/>
      <c r="I143" s="339"/>
      <c r="J143" s="138"/>
      <c r="K143" s="98"/>
      <c r="L143" s="99"/>
    </row>
    <row r="144" hidden="1" outlineLevel="2">
      <c r="A144" s="132">
        <v>6.7</v>
      </c>
      <c r="B144" s="86" t="s">
        <v>525</v>
      </c>
      <c r="C144" s="325"/>
      <c r="D144" s="326"/>
      <c r="E144" s="327">
        <v>193000.0</v>
      </c>
      <c r="F144" s="93">
        <v>193000.0</v>
      </c>
      <c r="G144" s="93">
        <f t="shared" si="27"/>
        <v>0</v>
      </c>
      <c r="H144" s="339"/>
      <c r="I144" s="339"/>
      <c r="J144" s="138"/>
      <c r="K144" s="98"/>
      <c r="L144" s="99"/>
    </row>
    <row r="145" hidden="1" outlineLevel="2">
      <c r="A145" s="132">
        <v>6.8</v>
      </c>
      <c r="B145" s="86" t="s">
        <v>526</v>
      </c>
      <c r="C145" s="325"/>
      <c r="D145" s="326"/>
      <c r="E145" s="327">
        <v>156000.0</v>
      </c>
      <c r="F145" s="93">
        <v>156000.0</v>
      </c>
      <c r="G145" s="93">
        <f t="shared" si="27"/>
        <v>0</v>
      </c>
      <c r="H145" s="339"/>
      <c r="I145" s="339"/>
      <c r="J145" s="138"/>
      <c r="K145" s="98"/>
      <c r="L145" s="99"/>
    </row>
    <row r="146" hidden="1" outlineLevel="2">
      <c r="A146" s="132">
        <v>6.9</v>
      </c>
      <c r="B146" s="86" t="s">
        <v>527</v>
      </c>
      <c r="C146" s="325"/>
      <c r="D146" s="326"/>
      <c r="E146" s="327">
        <v>156000.0</v>
      </c>
      <c r="F146" s="93">
        <v>156000.0</v>
      </c>
      <c r="G146" s="93">
        <f t="shared" si="27"/>
        <v>0</v>
      </c>
      <c r="H146" s="339"/>
      <c r="I146" s="339"/>
      <c r="J146" s="138"/>
      <c r="K146" s="98"/>
      <c r="L146" s="99"/>
    </row>
    <row r="147" hidden="1" outlineLevel="2">
      <c r="A147" s="332" t="s">
        <v>528</v>
      </c>
      <c r="B147" s="86" t="s">
        <v>529</v>
      </c>
      <c r="C147" s="325"/>
      <c r="D147" s="326"/>
      <c r="E147" s="327">
        <v>156000.0</v>
      </c>
      <c r="F147" s="93">
        <v>156000.0</v>
      </c>
      <c r="G147" s="93">
        <f t="shared" si="27"/>
        <v>0</v>
      </c>
      <c r="H147" s="339"/>
      <c r="I147" s="339"/>
      <c r="J147" s="138"/>
      <c r="K147" s="98"/>
      <c r="L147" s="99"/>
    </row>
    <row r="148" hidden="1" outlineLevel="2">
      <c r="A148" s="132">
        <v>6.11</v>
      </c>
      <c r="B148" s="86" t="s">
        <v>530</v>
      </c>
      <c r="C148" s="325"/>
      <c r="D148" s="326"/>
      <c r="E148" s="327">
        <v>156000.0</v>
      </c>
      <c r="F148" s="93">
        <v>156000.0</v>
      </c>
      <c r="G148" s="93">
        <f t="shared" si="27"/>
        <v>0</v>
      </c>
      <c r="H148" s="339"/>
      <c r="I148" s="339"/>
      <c r="J148" s="138"/>
      <c r="K148" s="98"/>
      <c r="L148" s="99"/>
    </row>
    <row r="149" hidden="1" outlineLevel="2">
      <c r="A149" s="132">
        <v>6.12</v>
      </c>
      <c r="B149" s="86" t="s">
        <v>531</v>
      </c>
      <c r="C149" s="325"/>
      <c r="D149" s="326"/>
      <c r="E149" s="327">
        <v>165000.0</v>
      </c>
      <c r="F149" s="93">
        <v>165000.0</v>
      </c>
      <c r="G149" s="93">
        <f t="shared" si="27"/>
        <v>0</v>
      </c>
      <c r="H149" s="339"/>
      <c r="I149" s="339"/>
      <c r="J149" s="138"/>
      <c r="K149" s="98"/>
      <c r="L149" s="99"/>
    </row>
    <row r="150" hidden="1" outlineLevel="2">
      <c r="A150" s="132">
        <v>6.13</v>
      </c>
      <c r="B150" s="86" t="s">
        <v>532</v>
      </c>
      <c r="C150" s="325"/>
      <c r="D150" s="326"/>
      <c r="E150" s="327">
        <v>165000.0</v>
      </c>
      <c r="F150" s="93">
        <v>165000.0</v>
      </c>
      <c r="G150" s="93">
        <f t="shared" si="27"/>
        <v>0</v>
      </c>
      <c r="H150" s="339"/>
      <c r="I150" s="339"/>
      <c r="J150" s="138"/>
      <c r="K150" s="98"/>
      <c r="L150" s="99"/>
    </row>
    <row r="151" hidden="1" outlineLevel="2">
      <c r="A151" s="132">
        <v>6.14</v>
      </c>
      <c r="B151" s="86" t="s">
        <v>533</v>
      </c>
      <c r="C151" s="325"/>
      <c r="D151" s="326"/>
      <c r="E151" s="327">
        <v>165000.0</v>
      </c>
      <c r="F151" s="93">
        <v>165000.0</v>
      </c>
      <c r="G151" s="93">
        <f t="shared" si="27"/>
        <v>0</v>
      </c>
      <c r="H151" s="339"/>
      <c r="I151" s="339"/>
      <c r="J151" s="138"/>
      <c r="K151" s="98"/>
      <c r="L151" s="99"/>
    </row>
    <row r="152" hidden="1" outlineLevel="2">
      <c r="A152" s="132">
        <v>6.15</v>
      </c>
      <c r="B152" s="86" t="s">
        <v>534</v>
      </c>
      <c r="C152" s="325"/>
      <c r="D152" s="326"/>
      <c r="E152" s="327">
        <v>152000.0</v>
      </c>
      <c r="F152" s="93">
        <v>152000.0</v>
      </c>
      <c r="G152" s="93">
        <f t="shared" si="27"/>
        <v>0</v>
      </c>
      <c r="H152" s="339"/>
      <c r="I152" s="339"/>
      <c r="J152" s="138"/>
      <c r="K152" s="98"/>
      <c r="L152" s="99"/>
    </row>
    <row r="153" hidden="1" outlineLevel="2">
      <c r="A153" s="132"/>
      <c r="B153" s="133"/>
      <c r="C153" s="325"/>
      <c r="D153" s="326"/>
      <c r="E153" s="355"/>
      <c r="F153" s="356"/>
      <c r="G153" s="356"/>
      <c r="H153" s="137"/>
      <c r="I153" s="137"/>
      <c r="J153" s="138"/>
      <c r="K153" s="98"/>
      <c r="L153" s="99"/>
    </row>
    <row r="154" hidden="1" outlineLevel="1">
      <c r="A154" s="342">
        <v>7.0</v>
      </c>
      <c r="B154" s="343" t="s">
        <v>535</v>
      </c>
      <c r="C154" s="344">
        <f>2*150000+3*120000+18*100000</f>
        <v>2460000</v>
      </c>
      <c r="D154" s="300">
        <f>C155*J155</f>
        <v>4573461.538</v>
      </c>
      <c r="E154" s="300">
        <f t="shared" ref="E154:F154" si="28">SUM(E156:E168)</f>
        <v>2585000</v>
      </c>
      <c r="F154" s="345">
        <f t="shared" si="28"/>
        <v>2585000</v>
      </c>
      <c r="G154" s="345">
        <f>F154-E154</f>
        <v>0</v>
      </c>
      <c r="H154" s="350"/>
      <c r="I154" s="350"/>
      <c r="J154" s="347">
        <f>E154-D154</f>
        <v>-1988461.538</v>
      </c>
      <c r="K154" s="348"/>
      <c r="L154" s="349"/>
    </row>
    <row r="155" hidden="1" outlineLevel="1" collapsed="1">
      <c r="A155" s="307"/>
      <c r="B155" s="308" t="s">
        <v>536</v>
      </c>
      <c r="C155" s="309">
        <v>23.0</v>
      </c>
      <c r="D155" s="316">
        <f>(D154/C154)-1</f>
        <v>0.8591307067</v>
      </c>
      <c r="E155" s="317">
        <f>COUNT(E156:E168)</f>
        <v>13</v>
      </c>
      <c r="F155" s="317"/>
      <c r="G155" s="317"/>
      <c r="H155" s="318"/>
      <c r="I155" s="318"/>
      <c r="J155" s="319">
        <f>E154/E155</f>
        <v>198846.1538</v>
      </c>
      <c r="K155" s="320"/>
      <c r="L155" s="322"/>
    </row>
    <row r="156" hidden="1" outlineLevel="2">
      <c r="A156" s="132">
        <v>7.1</v>
      </c>
      <c r="B156" s="86" t="s">
        <v>537</v>
      </c>
      <c r="C156" s="325"/>
      <c r="D156" s="326"/>
      <c r="E156" s="327">
        <v>437000.0</v>
      </c>
      <c r="F156" s="93">
        <v>437000.0</v>
      </c>
      <c r="G156" s="93">
        <f t="shared" ref="G156:G168" si="29">F156-E156</f>
        <v>0</v>
      </c>
      <c r="H156" s="339"/>
      <c r="I156" s="339"/>
      <c r="J156" s="138"/>
      <c r="K156" s="98"/>
      <c r="L156" s="99"/>
    </row>
    <row r="157" hidden="1" outlineLevel="2">
      <c r="A157" s="132">
        <v>7.2</v>
      </c>
      <c r="B157" s="86" t="s">
        <v>538</v>
      </c>
      <c r="C157" s="325"/>
      <c r="D157" s="326"/>
      <c r="E157" s="327">
        <v>437000.0</v>
      </c>
      <c r="F157" s="93">
        <v>437000.0</v>
      </c>
      <c r="G157" s="93">
        <f t="shared" si="29"/>
        <v>0</v>
      </c>
      <c r="H157" s="339"/>
      <c r="I157" s="339"/>
      <c r="J157" s="138"/>
      <c r="K157" s="98"/>
      <c r="L157" s="99"/>
    </row>
    <row r="158" hidden="1" outlineLevel="2">
      <c r="A158" s="132">
        <v>7.3</v>
      </c>
      <c r="B158" s="86" t="s">
        <v>539</v>
      </c>
      <c r="C158" s="325"/>
      <c r="D158" s="326"/>
      <c r="E158" s="327">
        <v>160000.0</v>
      </c>
      <c r="F158" s="93">
        <v>160000.0</v>
      </c>
      <c r="G158" s="93">
        <f t="shared" si="29"/>
        <v>0</v>
      </c>
      <c r="H158" s="339"/>
      <c r="I158" s="339"/>
      <c r="J158" s="138"/>
      <c r="K158" s="98"/>
      <c r="L158" s="99"/>
    </row>
    <row r="159" hidden="1" outlineLevel="2">
      <c r="A159" s="132">
        <v>7.4</v>
      </c>
      <c r="B159" s="86" t="s">
        <v>540</v>
      </c>
      <c r="C159" s="325"/>
      <c r="D159" s="326"/>
      <c r="E159" s="327">
        <v>149000.0</v>
      </c>
      <c r="F159" s="93">
        <v>149000.0</v>
      </c>
      <c r="G159" s="93">
        <f t="shared" si="29"/>
        <v>0</v>
      </c>
      <c r="H159" s="339"/>
      <c r="I159" s="339"/>
      <c r="J159" s="138"/>
      <c r="K159" s="98"/>
      <c r="L159" s="99"/>
    </row>
    <row r="160" hidden="1" outlineLevel="2">
      <c r="A160" s="132">
        <v>7.5</v>
      </c>
      <c r="B160" s="86" t="s">
        <v>541</v>
      </c>
      <c r="C160" s="325"/>
      <c r="D160" s="326"/>
      <c r="E160" s="327">
        <v>149000.0</v>
      </c>
      <c r="F160" s="93">
        <v>149000.0</v>
      </c>
      <c r="G160" s="93">
        <f t="shared" si="29"/>
        <v>0</v>
      </c>
      <c r="H160" s="339"/>
      <c r="I160" s="339"/>
      <c r="J160" s="138"/>
      <c r="K160" s="98"/>
      <c r="L160" s="99"/>
    </row>
    <row r="161" hidden="1" outlineLevel="2">
      <c r="A161" s="132">
        <v>7.6</v>
      </c>
      <c r="B161" s="86" t="s">
        <v>542</v>
      </c>
      <c r="C161" s="325"/>
      <c r="D161" s="326"/>
      <c r="E161" s="327">
        <v>149000.0</v>
      </c>
      <c r="F161" s="93">
        <v>149000.0</v>
      </c>
      <c r="G161" s="93">
        <f t="shared" si="29"/>
        <v>0</v>
      </c>
      <c r="H161" s="339"/>
      <c r="I161" s="339"/>
      <c r="J161" s="138"/>
      <c r="K161" s="98"/>
      <c r="L161" s="99"/>
    </row>
    <row r="162" hidden="1" outlineLevel="2">
      <c r="A162" s="132">
        <v>7.69999999999999</v>
      </c>
      <c r="B162" s="86" t="s">
        <v>543</v>
      </c>
      <c r="C162" s="325"/>
      <c r="D162" s="326"/>
      <c r="E162" s="327">
        <v>149000.0</v>
      </c>
      <c r="F162" s="93">
        <v>149000.0</v>
      </c>
      <c r="G162" s="93">
        <f t="shared" si="29"/>
        <v>0</v>
      </c>
      <c r="H162" s="339"/>
      <c r="I162" s="339"/>
      <c r="J162" s="138"/>
      <c r="K162" s="98"/>
      <c r="L162" s="99"/>
    </row>
    <row r="163" hidden="1" outlineLevel="2">
      <c r="A163" s="132">
        <v>7.79999999999999</v>
      </c>
      <c r="B163" s="86" t="s">
        <v>544</v>
      </c>
      <c r="C163" s="325"/>
      <c r="D163" s="326"/>
      <c r="E163" s="327">
        <v>159000.0</v>
      </c>
      <c r="F163" s="93">
        <v>159000.0</v>
      </c>
      <c r="G163" s="93">
        <f t="shared" si="29"/>
        <v>0</v>
      </c>
      <c r="H163" s="339"/>
      <c r="I163" s="339"/>
      <c r="J163" s="138"/>
      <c r="K163" s="98"/>
      <c r="L163" s="99"/>
    </row>
    <row r="164" hidden="1" outlineLevel="2">
      <c r="A164" s="132">
        <v>7.89999999999999</v>
      </c>
      <c r="B164" s="86" t="s">
        <v>545</v>
      </c>
      <c r="C164" s="325"/>
      <c r="D164" s="326"/>
      <c r="E164" s="327">
        <v>159000.0</v>
      </c>
      <c r="F164" s="93">
        <v>159000.0</v>
      </c>
      <c r="G164" s="93">
        <f t="shared" si="29"/>
        <v>0</v>
      </c>
      <c r="H164" s="339"/>
      <c r="I164" s="339"/>
      <c r="J164" s="138"/>
      <c r="K164" s="98"/>
      <c r="L164" s="99"/>
    </row>
    <row r="165" hidden="1" outlineLevel="2">
      <c r="A165" s="332" t="s">
        <v>546</v>
      </c>
      <c r="B165" s="86" t="s">
        <v>547</v>
      </c>
      <c r="C165" s="325"/>
      <c r="D165" s="326"/>
      <c r="E165" s="327">
        <v>160000.0</v>
      </c>
      <c r="F165" s="93">
        <v>160000.0</v>
      </c>
      <c r="G165" s="93">
        <f t="shared" si="29"/>
        <v>0</v>
      </c>
      <c r="H165" s="339"/>
      <c r="I165" s="339"/>
      <c r="J165" s="138"/>
      <c r="K165" s="98"/>
      <c r="L165" s="99"/>
    </row>
    <row r="166" hidden="1" outlineLevel="2">
      <c r="A166" s="132">
        <v>7.11</v>
      </c>
      <c r="B166" s="86" t="s">
        <v>548</v>
      </c>
      <c r="C166" s="325"/>
      <c r="D166" s="326"/>
      <c r="E166" s="327">
        <v>167000.0</v>
      </c>
      <c r="F166" s="93">
        <v>167000.0</v>
      </c>
      <c r="G166" s="93">
        <f t="shared" si="29"/>
        <v>0</v>
      </c>
      <c r="H166" s="339"/>
      <c r="I166" s="339"/>
      <c r="J166" s="138"/>
      <c r="K166" s="98"/>
      <c r="L166" s="99"/>
    </row>
    <row r="167" hidden="1" outlineLevel="2">
      <c r="A167" s="132">
        <v>7.12</v>
      </c>
      <c r="B167" s="86" t="s">
        <v>549</v>
      </c>
      <c r="C167" s="325"/>
      <c r="D167" s="326"/>
      <c r="E167" s="327">
        <v>155000.0</v>
      </c>
      <c r="F167" s="93">
        <v>155000.0</v>
      </c>
      <c r="G167" s="93">
        <f t="shared" si="29"/>
        <v>0</v>
      </c>
      <c r="H167" s="339"/>
      <c r="I167" s="339"/>
      <c r="J167" s="138"/>
      <c r="K167" s="98"/>
      <c r="L167" s="99"/>
    </row>
    <row r="168" hidden="1" outlineLevel="2">
      <c r="A168" s="132">
        <v>7.13</v>
      </c>
      <c r="B168" s="86" t="s">
        <v>550</v>
      </c>
      <c r="C168" s="325"/>
      <c r="D168" s="326"/>
      <c r="E168" s="327">
        <v>155000.0</v>
      </c>
      <c r="F168" s="93">
        <v>155000.0</v>
      </c>
      <c r="G168" s="93">
        <f t="shared" si="29"/>
        <v>0</v>
      </c>
      <c r="H168" s="339"/>
      <c r="I168" s="339"/>
      <c r="J168" s="138"/>
      <c r="K168" s="98"/>
      <c r="L168" s="99"/>
    </row>
    <row r="169" hidden="1" outlineLevel="2">
      <c r="A169" s="132"/>
      <c r="B169" s="133"/>
      <c r="C169" s="325"/>
      <c r="D169" s="326"/>
      <c r="E169" s="340"/>
      <c r="F169" s="341"/>
      <c r="G169" s="341"/>
      <c r="H169" s="137"/>
      <c r="I169" s="137"/>
      <c r="J169" s="138"/>
      <c r="K169" s="98"/>
      <c r="L169" s="99"/>
    </row>
    <row r="170" hidden="1" outlineLevel="1">
      <c r="A170" s="342">
        <v>8.0</v>
      </c>
      <c r="B170" s="343" t="s">
        <v>551</v>
      </c>
      <c r="C170" s="344">
        <f>8*200000+12*150000+16*110000</f>
        <v>5160000</v>
      </c>
      <c r="D170" s="300">
        <f>C171*J171</f>
        <v>11594769.23</v>
      </c>
      <c r="E170" s="300">
        <f t="shared" ref="E170:F170" si="30">SUM(E172:E205)</f>
        <v>8374000</v>
      </c>
      <c r="F170" s="345">
        <f t="shared" si="30"/>
        <v>8374000</v>
      </c>
      <c r="G170" s="345">
        <f>F170-E170</f>
        <v>0</v>
      </c>
      <c r="H170" s="350"/>
      <c r="I170" s="350"/>
      <c r="J170" s="347">
        <f>E170-D170</f>
        <v>-3220769.231</v>
      </c>
      <c r="K170" s="348" t="s">
        <v>552</v>
      </c>
      <c r="L170" s="349"/>
    </row>
    <row r="171" hidden="1" outlineLevel="1" collapsed="1">
      <c r="A171" s="307"/>
      <c r="B171" s="308" t="s">
        <v>553</v>
      </c>
      <c r="C171" s="309">
        <v>36.0</v>
      </c>
      <c r="D171" s="316">
        <f>(D170/C170)-1</f>
        <v>1.247048301</v>
      </c>
      <c r="E171" s="317">
        <f>COUNT(E172:E195,E202:E203)</f>
        <v>26</v>
      </c>
      <c r="F171" s="317"/>
      <c r="G171" s="317"/>
      <c r="H171" s="318"/>
      <c r="I171" s="318"/>
      <c r="J171" s="319">
        <f>E170/E171</f>
        <v>322076.9231</v>
      </c>
      <c r="K171" s="320"/>
      <c r="L171" s="322"/>
    </row>
    <row r="172" hidden="1" outlineLevel="2">
      <c r="A172" s="132">
        <v>8.1</v>
      </c>
      <c r="B172" s="86" t="s">
        <v>554</v>
      </c>
      <c r="C172" s="325"/>
      <c r="D172" s="326"/>
      <c r="E172" s="327">
        <v>259000.0</v>
      </c>
      <c r="F172" s="93">
        <v>259000.0</v>
      </c>
      <c r="G172" s="93">
        <f t="shared" ref="G172:G203" si="31">F172-E172</f>
        <v>0</v>
      </c>
      <c r="H172" s="339"/>
      <c r="I172" s="339"/>
      <c r="J172" s="138"/>
      <c r="K172" s="98"/>
      <c r="L172" s="99"/>
    </row>
    <row r="173" hidden="1" outlineLevel="2">
      <c r="A173" s="132">
        <v>8.2</v>
      </c>
      <c r="B173" s="86" t="s">
        <v>555</v>
      </c>
      <c r="C173" s="325"/>
      <c r="D173" s="326"/>
      <c r="E173" s="327">
        <v>276000.0</v>
      </c>
      <c r="F173" s="93">
        <v>276000.0</v>
      </c>
      <c r="G173" s="93">
        <f t="shared" si="31"/>
        <v>0</v>
      </c>
      <c r="H173" s="339"/>
      <c r="I173" s="339"/>
      <c r="J173" s="138"/>
      <c r="K173" s="98"/>
      <c r="L173" s="99"/>
    </row>
    <row r="174" hidden="1" outlineLevel="2">
      <c r="A174" s="132">
        <v>8.3</v>
      </c>
      <c r="B174" s="86" t="s">
        <v>556</v>
      </c>
      <c r="C174" s="325"/>
      <c r="D174" s="326"/>
      <c r="E174" s="327">
        <v>294000.0</v>
      </c>
      <c r="F174" s="93">
        <v>294000.0</v>
      </c>
      <c r="G174" s="93">
        <f t="shared" si="31"/>
        <v>0</v>
      </c>
      <c r="H174" s="339"/>
      <c r="I174" s="339"/>
      <c r="J174" s="138"/>
      <c r="K174" s="98"/>
      <c r="L174" s="99"/>
    </row>
    <row r="175" hidden="1" outlineLevel="2">
      <c r="A175" s="132">
        <v>8.4</v>
      </c>
      <c r="B175" s="86" t="s">
        <v>557</v>
      </c>
      <c r="C175" s="325"/>
      <c r="D175" s="326"/>
      <c r="E175" s="327">
        <v>311000.0</v>
      </c>
      <c r="F175" s="93">
        <v>311000.0</v>
      </c>
      <c r="G175" s="93">
        <f t="shared" si="31"/>
        <v>0</v>
      </c>
      <c r="H175" s="339"/>
      <c r="I175" s="339"/>
      <c r="J175" s="138"/>
      <c r="K175" s="98"/>
      <c r="L175" s="99"/>
    </row>
    <row r="176" hidden="1" outlineLevel="2">
      <c r="A176" s="132">
        <v>8.5</v>
      </c>
      <c r="B176" s="86" t="s">
        <v>558</v>
      </c>
      <c r="C176" s="325"/>
      <c r="D176" s="326"/>
      <c r="E176" s="327">
        <v>342000.0</v>
      </c>
      <c r="F176" s="93">
        <v>342000.0</v>
      </c>
      <c r="G176" s="93">
        <f t="shared" si="31"/>
        <v>0</v>
      </c>
      <c r="H176" s="339"/>
      <c r="I176" s="339"/>
      <c r="J176" s="138"/>
      <c r="K176" s="98"/>
      <c r="L176" s="99"/>
    </row>
    <row r="177" hidden="1" outlineLevel="2">
      <c r="A177" s="132">
        <v>8.6</v>
      </c>
      <c r="B177" s="86" t="s">
        <v>559</v>
      </c>
      <c r="C177" s="325"/>
      <c r="D177" s="326"/>
      <c r="E177" s="327">
        <v>328000.0</v>
      </c>
      <c r="F177" s="93">
        <v>328000.0</v>
      </c>
      <c r="G177" s="93">
        <f t="shared" si="31"/>
        <v>0</v>
      </c>
      <c r="H177" s="339"/>
      <c r="I177" s="339"/>
      <c r="J177" s="138"/>
      <c r="K177" s="98"/>
      <c r="L177" s="99"/>
    </row>
    <row r="178" hidden="1" outlineLevel="2">
      <c r="A178" s="132">
        <v>8.7</v>
      </c>
      <c r="B178" s="86" t="s">
        <v>560</v>
      </c>
      <c r="C178" s="325"/>
      <c r="D178" s="326"/>
      <c r="E178" s="327">
        <v>340000.0</v>
      </c>
      <c r="F178" s="93">
        <v>340000.0</v>
      </c>
      <c r="G178" s="93">
        <f t="shared" si="31"/>
        <v>0</v>
      </c>
      <c r="H178" s="339"/>
      <c r="I178" s="339"/>
      <c r="J178" s="138"/>
      <c r="K178" s="98"/>
      <c r="L178" s="99"/>
    </row>
    <row r="179" hidden="1" outlineLevel="2">
      <c r="A179" s="132">
        <v>8.8</v>
      </c>
      <c r="B179" s="86" t="s">
        <v>561</v>
      </c>
      <c r="C179" s="325"/>
      <c r="D179" s="326"/>
      <c r="E179" s="327">
        <v>358000.0</v>
      </c>
      <c r="F179" s="93">
        <v>358000.0</v>
      </c>
      <c r="G179" s="93">
        <f t="shared" si="31"/>
        <v>0</v>
      </c>
      <c r="H179" s="339"/>
      <c r="I179" s="339"/>
      <c r="J179" s="138"/>
      <c r="K179" s="98"/>
      <c r="L179" s="99"/>
    </row>
    <row r="180" hidden="1" outlineLevel="2">
      <c r="A180" s="132">
        <v>8.9</v>
      </c>
      <c r="B180" s="86" t="s">
        <v>562</v>
      </c>
      <c r="C180" s="325"/>
      <c r="D180" s="326"/>
      <c r="E180" s="327">
        <v>414000.0</v>
      </c>
      <c r="F180" s="93">
        <v>414000.0</v>
      </c>
      <c r="G180" s="93">
        <f t="shared" si="31"/>
        <v>0</v>
      </c>
      <c r="H180" s="339"/>
      <c r="I180" s="339"/>
      <c r="J180" s="138"/>
      <c r="K180" s="98"/>
      <c r="L180" s="99"/>
    </row>
    <row r="181" hidden="1" outlineLevel="2">
      <c r="A181" s="332" t="s">
        <v>563</v>
      </c>
      <c r="B181" s="86" t="s">
        <v>564</v>
      </c>
      <c r="C181" s="325"/>
      <c r="D181" s="326"/>
      <c r="E181" s="327">
        <v>413000.0</v>
      </c>
      <c r="F181" s="93">
        <v>413000.0</v>
      </c>
      <c r="G181" s="93">
        <f t="shared" si="31"/>
        <v>0</v>
      </c>
      <c r="H181" s="339"/>
      <c r="I181" s="339"/>
      <c r="J181" s="138"/>
      <c r="K181" s="98"/>
      <c r="L181" s="99"/>
    </row>
    <row r="182" hidden="1" outlineLevel="2">
      <c r="A182" s="132">
        <v>8.11</v>
      </c>
      <c r="B182" s="86" t="s">
        <v>565</v>
      </c>
      <c r="C182" s="325"/>
      <c r="D182" s="326"/>
      <c r="E182" s="327">
        <v>440000.0</v>
      </c>
      <c r="F182" s="93">
        <v>440000.0</v>
      </c>
      <c r="G182" s="93">
        <f t="shared" si="31"/>
        <v>0</v>
      </c>
      <c r="H182" s="339"/>
      <c r="I182" s="339"/>
      <c r="J182" s="138"/>
      <c r="K182" s="98"/>
      <c r="L182" s="99"/>
    </row>
    <row r="183" hidden="1" outlineLevel="2">
      <c r="A183" s="132">
        <v>8.12</v>
      </c>
      <c r="B183" s="86" t="s">
        <v>566</v>
      </c>
      <c r="C183" s="325"/>
      <c r="D183" s="326"/>
      <c r="E183" s="327">
        <v>326000.0</v>
      </c>
      <c r="F183" s="93">
        <v>326000.0</v>
      </c>
      <c r="G183" s="93">
        <f t="shared" si="31"/>
        <v>0</v>
      </c>
      <c r="H183" s="339"/>
      <c r="I183" s="339"/>
      <c r="J183" s="138"/>
      <c r="K183" s="98"/>
      <c r="L183" s="99"/>
    </row>
    <row r="184" hidden="1" outlineLevel="2">
      <c r="A184" s="132">
        <v>8.13</v>
      </c>
      <c r="B184" s="86" t="s">
        <v>567</v>
      </c>
      <c r="C184" s="325"/>
      <c r="D184" s="326"/>
      <c r="E184" s="327">
        <v>309000.0</v>
      </c>
      <c r="F184" s="93">
        <v>309000.0</v>
      </c>
      <c r="G184" s="93">
        <f t="shared" si="31"/>
        <v>0</v>
      </c>
      <c r="H184" s="339"/>
      <c r="I184" s="339"/>
      <c r="J184" s="138"/>
      <c r="K184" s="98"/>
      <c r="L184" s="99"/>
    </row>
    <row r="185" hidden="1" outlineLevel="2">
      <c r="A185" s="132">
        <v>8.14</v>
      </c>
      <c r="B185" s="86" t="s">
        <v>568</v>
      </c>
      <c r="C185" s="325"/>
      <c r="D185" s="326"/>
      <c r="E185" s="327">
        <v>301000.0</v>
      </c>
      <c r="F185" s="93">
        <v>301000.0</v>
      </c>
      <c r="G185" s="93">
        <f t="shared" si="31"/>
        <v>0</v>
      </c>
      <c r="H185" s="339"/>
      <c r="I185" s="339"/>
      <c r="J185" s="138"/>
      <c r="K185" s="98"/>
      <c r="L185" s="99"/>
    </row>
    <row r="186" hidden="1" outlineLevel="2">
      <c r="A186" s="132">
        <v>8.15</v>
      </c>
      <c r="B186" s="86" t="s">
        <v>569</v>
      </c>
      <c r="C186" s="325"/>
      <c r="D186" s="326"/>
      <c r="E186" s="327">
        <v>286000.0</v>
      </c>
      <c r="F186" s="93">
        <v>286000.0</v>
      </c>
      <c r="G186" s="93">
        <f t="shared" si="31"/>
        <v>0</v>
      </c>
      <c r="H186" s="339"/>
      <c r="I186" s="339"/>
      <c r="J186" s="138"/>
      <c r="K186" s="98"/>
      <c r="L186" s="99"/>
    </row>
    <row r="187" hidden="1" outlineLevel="2">
      <c r="A187" s="132">
        <v>8.16</v>
      </c>
      <c r="B187" s="86" t="s">
        <v>570</v>
      </c>
      <c r="C187" s="325"/>
      <c r="D187" s="326"/>
      <c r="E187" s="327">
        <v>189000.0</v>
      </c>
      <c r="F187" s="93">
        <v>189000.0</v>
      </c>
      <c r="G187" s="93">
        <f t="shared" si="31"/>
        <v>0</v>
      </c>
      <c r="H187" s="339"/>
      <c r="I187" s="339"/>
      <c r="J187" s="138"/>
      <c r="K187" s="98"/>
      <c r="L187" s="99"/>
    </row>
    <row r="188" hidden="1" outlineLevel="2">
      <c r="A188" s="132">
        <v>8.17</v>
      </c>
      <c r="B188" s="86" t="s">
        <v>571</v>
      </c>
      <c r="C188" s="325"/>
      <c r="D188" s="326"/>
      <c r="E188" s="327">
        <v>291000.0</v>
      </c>
      <c r="F188" s="93">
        <v>291000.0</v>
      </c>
      <c r="G188" s="93">
        <f t="shared" si="31"/>
        <v>0</v>
      </c>
      <c r="H188" s="339"/>
      <c r="I188" s="339"/>
      <c r="J188" s="138"/>
      <c r="K188" s="98"/>
      <c r="L188" s="99"/>
    </row>
    <row r="189" hidden="1" outlineLevel="2">
      <c r="A189" s="132">
        <v>8.18</v>
      </c>
      <c r="B189" s="86" t="s">
        <v>572</v>
      </c>
      <c r="C189" s="325"/>
      <c r="D189" s="326"/>
      <c r="E189" s="327">
        <v>291000.0</v>
      </c>
      <c r="F189" s="93">
        <v>291000.0</v>
      </c>
      <c r="G189" s="93">
        <f t="shared" si="31"/>
        <v>0</v>
      </c>
      <c r="H189" s="339"/>
      <c r="I189" s="339"/>
      <c r="J189" s="138"/>
      <c r="K189" s="98"/>
      <c r="L189" s="99"/>
    </row>
    <row r="190" hidden="1" outlineLevel="2">
      <c r="A190" s="132">
        <v>8.19</v>
      </c>
      <c r="B190" s="86" t="s">
        <v>573</v>
      </c>
      <c r="C190" s="325"/>
      <c r="D190" s="326"/>
      <c r="E190" s="327">
        <v>291000.0</v>
      </c>
      <c r="F190" s="93">
        <v>291000.0</v>
      </c>
      <c r="G190" s="93">
        <f t="shared" si="31"/>
        <v>0</v>
      </c>
      <c r="H190" s="339"/>
      <c r="I190" s="339"/>
      <c r="J190" s="138"/>
      <c r="K190" s="98"/>
      <c r="L190" s="99"/>
    </row>
    <row r="191" hidden="1" outlineLevel="2">
      <c r="A191" s="332" t="s">
        <v>574</v>
      </c>
      <c r="B191" s="86" t="s">
        <v>575</v>
      </c>
      <c r="C191" s="325"/>
      <c r="D191" s="326"/>
      <c r="E191" s="327">
        <v>282000.0</v>
      </c>
      <c r="F191" s="93">
        <v>282000.0</v>
      </c>
      <c r="G191" s="93">
        <f t="shared" si="31"/>
        <v>0</v>
      </c>
      <c r="H191" s="339"/>
      <c r="I191" s="339"/>
      <c r="J191" s="138"/>
      <c r="K191" s="98"/>
      <c r="L191" s="99"/>
    </row>
    <row r="192" hidden="1" outlineLevel="2">
      <c r="A192" s="132">
        <v>8.21</v>
      </c>
      <c r="B192" s="86" t="s">
        <v>576</v>
      </c>
      <c r="C192" s="325"/>
      <c r="D192" s="326"/>
      <c r="E192" s="327">
        <v>282000.0</v>
      </c>
      <c r="F192" s="93">
        <v>282000.0</v>
      </c>
      <c r="G192" s="93">
        <f t="shared" si="31"/>
        <v>0</v>
      </c>
      <c r="H192" s="339"/>
      <c r="I192" s="339"/>
      <c r="J192" s="138"/>
      <c r="K192" s="98"/>
      <c r="L192" s="99"/>
    </row>
    <row r="193" hidden="1" outlineLevel="2">
      <c r="A193" s="132">
        <v>8.22</v>
      </c>
      <c r="B193" s="86" t="s">
        <v>577</v>
      </c>
      <c r="C193" s="325"/>
      <c r="D193" s="326"/>
      <c r="E193" s="327">
        <v>283000.0</v>
      </c>
      <c r="F193" s="93">
        <v>283000.0</v>
      </c>
      <c r="G193" s="93">
        <f t="shared" si="31"/>
        <v>0</v>
      </c>
      <c r="H193" s="339"/>
      <c r="I193" s="339"/>
      <c r="J193" s="138"/>
      <c r="K193" s="98"/>
      <c r="L193" s="99"/>
    </row>
    <row r="194" hidden="1" outlineLevel="2">
      <c r="A194" s="132">
        <v>8.23</v>
      </c>
      <c r="B194" s="86" t="s">
        <v>578</v>
      </c>
      <c r="C194" s="325"/>
      <c r="D194" s="326"/>
      <c r="E194" s="327">
        <v>321000.0</v>
      </c>
      <c r="F194" s="93">
        <v>321000.0</v>
      </c>
      <c r="G194" s="93">
        <f t="shared" si="31"/>
        <v>0</v>
      </c>
      <c r="H194" s="339"/>
      <c r="I194" s="339"/>
      <c r="J194" s="138"/>
      <c r="K194" s="98"/>
      <c r="L194" s="99"/>
    </row>
    <row r="195" hidden="1" outlineLevel="2">
      <c r="A195" s="132">
        <v>8.24</v>
      </c>
      <c r="B195" s="86" t="s">
        <v>579</v>
      </c>
      <c r="C195" s="325"/>
      <c r="D195" s="326"/>
      <c r="E195" s="327">
        <v>387000.0</v>
      </c>
      <c r="F195" s="93">
        <v>387000.0</v>
      </c>
      <c r="G195" s="93">
        <f t="shared" si="31"/>
        <v>0</v>
      </c>
      <c r="H195" s="339"/>
      <c r="I195" s="339"/>
      <c r="J195" s="138"/>
      <c r="K195" s="98"/>
      <c r="L195" s="99"/>
    </row>
    <row r="196" hidden="1" outlineLevel="2">
      <c r="A196" s="132">
        <v>8.25</v>
      </c>
      <c r="B196" s="86" t="s">
        <v>580</v>
      </c>
      <c r="C196" s="325"/>
      <c r="D196" s="326"/>
      <c r="E196" s="327">
        <v>0.0</v>
      </c>
      <c r="F196" s="93">
        <v>0.0</v>
      </c>
      <c r="G196" s="93">
        <f t="shared" si="31"/>
        <v>0</v>
      </c>
      <c r="H196" s="357"/>
      <c r="I196" s="357"/>
      <c r="J196" s="202"/>
      <c r="K196" s="115" t="s">
        <v>581</v>
      </c>
      <c r="L196" s="99"/>
    </row>
    <row r="197" hidden="1" outlineLevel="2">
      <c r="A197" s="132">
        <v>8.26</v>
      </c>
      <c r="B197" s="86" t="s">
        <v>582</v>
      </c>
      <c r="C197" s="325"/>
      <c r="D197" s="326"/>
      <c r="E197" s="327">
        <v>0.0</v>
      </c>
      <c r="F197" s="93">
        <v>0.0</v>
      </c>
      <c r="G197" s="93">
        <f t="shared" si="31"/>
        <v>0</v>
      </c>
      <c r="H197" s="357"/>
      <c r="I197" s="357"/>
      <c r="J197" s="202"/>
      <c r="K197" s="115" t="s">
        <v>581</v>
      </c>
      <c r="L197" s="99"/>
    </row>
    <row r="198" hidden="1" outlineLevel="2">
      <c r="A198" s="132">
        <v>8.27</v>
      </c>
      <c r="B198" s="86" t="s">
        <v>583</v>
      </c>
      <c r="C198" s="325"/>
      <c r="D198" s="326"/>
      <c r="E198" s="327">
        <v>0.0</v>
      </c>
      <c r="F198" s="93">
        <v>0.0</v>
      </c>
      <c r="G198" s="93">
        <f t="shared" si="31"/>
        <v>0</v>
      </c>
      <c r="H198" s="357"/>
      <c r="I198" s="357"/>
      <c r="J198" s="202"/>
      <c r="K198" s="115" t="s">
        <v>581</v>
      </c>
      <c r="L198" s="99"/>
    </row>
    <row r="199" hidden="1" outlineLevel="2">
      <c r="A199" s="132">
        <v>8.28</v>
      </c>
      <c r="B199" s="86" t="s">
        <v>584</v>
      </c>
      <c r="C199" s="325"/>
      <c r="D199" s="326"/>
      <c r="E199" s="327">
        <v>0.0</v>
      </c>
      <c r="F199" s="93">
        <v>0.0</v>
      </c>
      <c r="G199" s="93">
        <f t="shared" si="31"/>
        <v>0</v>
      </c>
      <c r="H199" s="357"/>
      <c r="I199" s="357"/>
      <c r="J199" s="202"/>
      <c r="K199" s="115" t="s">
        <v>581</v>
      </c>
      <c r="L199" s="99"/>
    </row>
    <row r="200" hidden="1" outlineLevel="2">
      <c r="A200" s="132">
        <v>8.29</v>
      </c>
      <c r="B200" s="86" t="s">
        <v>585</v>
      </c>
      <c r="C200" s="325"/>
      <c r="D200" s="326"/>
      <c r="E200" s="327">
        <v>0.0</v>
      </c>
      <c r="F200" s="93">
        <v>0.0</v>
      </c>
      <c r="G200" s="93">
        <f t="shared" si="31"/>
        <v>0</v>
      </c>
      <c r="H200" s="357"/>
      <c r="I200" s="357"/>
      <c r="J200" s="202"/>
      <c r="K200" s="115" t="s">
        <v>581</v>
      </c>
      <c r="L200" s="99"/>
    </row>
    <row r="201" hidden="1" outlineLevel="2">
      <c r="A201" s="332" t="s">
        <v>586</v>
      </c>
      <c r="B201" s="86" t="s">
        <v>587</v>
      </c>
      <c r="C201" s="325"/>
      <c r="D201" s="326"/>
      <c r="E201" s="327">
        <v>0.0</v>
      </c>
      <c r="F201" s="93">
        <v>0.0</v>
      </c>
      <c r="G201" s="93">
        <f t="shared" si="31"/>
        <v>0</v>
      </c>
      <c r="H201" s="357"/>
      <c r="I201" s="357"/>
      <c r="J201" s="202"/>
      <c r="K201" s="115" t="s">
        <v>581</v>
      </c>
      <c r="L201" s="99"/>
    </row>
    <row r="202" hidden="1" outlineLevel="2">
      <c r="A202" s="132">
        <v>8.31</v>
      </c>
      <c r="B202" s="86" t="s">
        <v>588</v>
      </c>
      <c r="C202" s="325"/>
      <c r="D202" s="326"/>
      <c r="E202" s="327">
        <v>374000.0</v>
      </c>
      <c r="F202" s="93">
        <v>374000.0</v>
      </c>
      <c r="G202" s="93">
        <f t="shared" si="31"/>
        <v>0</v>
      </c>
      <c r="H202" s="339"/>
      <c r="I202" s="339"/>
      <c r="J202" s="138"/>
      <c r="K202" s="98"/>
      <c r="L202" s="99"/>
    </row>
    <row r="203" hidden="1" outlineLevel="2">
      <c r="A203" s="132">
        <v>8.32</v>
      </c>
      <c r="B203" s="86" t="s">
        <v>589</v>
      </c>
      <c r="C203" s="325"/>
      <c r="D203" s="326"/>
      <c r="E203" s="327">
        <v>386000.0</v>
      </c>
      <c r="F203" s="93">
        <v>386000.0</v>
      </c>
      <c r="G203" s="93">
        <f t="shared" si="31"/>
        <v>0</v>
      </c>
      <c r="H203" s="339"/>
      <c r="I203" s="339"/>
      <c r="J203" s="138"/>
      <c r="K203" s="98"/>
      <c r="L203" s="99"/>
    </row>
    <row r="204" hidden="1" outlineLevel="2">
      <c r="A204" s="132" t="s">
        <v>481</v>
      </c>
      <c r="B204" s="86" t="s">
        <v>590</v>
      </c>
      <c r="C204" s="325"/>
      <c r="D204" s="326"/>
      <c r="E204" s="327">
        <v>0.0</v>
      </c>
      <c r="F204" s="93"/>
      <c r="G204" s="93"/>
      <c r="H204" s="339"/>
      <c r="I204" s="339"/>
      <c r="J204" s="138"/>
      <c r="K204" s="98"/>
      <c r="L204" s="99"/>
    </row>
    <row r="205" hidden="1" outlineLevel="2">
      <c r="A205" s="132" t="s">
        <v>481</v>
      </c>
      <c r="B205" s="86" t="s">
        <v>591</v>
      </c>
      <c r="C205" s="325"/>
      <c r="D205" s="326">
        <v>230000.0</v>
      </c>
      <c r="E205" s="327">
        <v>0.0</v>
      </c>
      <c r="F205" s="93"/>
      <c r="G205" s="93"/>
      <c r="H205" s="357"/>
      <c r="I205" s="357"/>
      <c r="J205" s="202"/>
      <c r="K205" s="115"/>
      <c r="L205" s="99"/>
    </row>
    <row r="206" hidden="1" outlineLevel="2">
      <c r="A206" s="132"/>
      <c r="B206" s="133"/>
      <c r="C206" s="325"/>
      <c r="D206" s="326"/>
      <c r="E206" s="355"/>
      <c r="F206" s="356"/>
      <c r="G206" s="356"/>
      <c r="H206" s="137"/>
      <c r="I206" s="137"/>
      <c r="J206" s="138"/>
      <c r="K206" s="98"/>
      <c r="L206" s="99"/>
    </row>
    <row r="207" hidden="1" outlineLevel="1">
      <c r="A207" s="342">
        <v>9.0</v>
      </c>
      <c r="B207" s="343" t="s">
        <v>592</v>
      </c>
      <c r="C207" s="344">
        <f>B208*C208</f>
        <v>9450000</v>
      </c>
      <c r="D207" s="300">
        <f>C208*J208</f>
        <v>20774558.82</v>
      </c>
      <c r="E207" s="300">
        <f t="shared" ref="E207:F207" si="32">SUM(E209:E314)</f>
        <v>20181000</v>
      </c>
      <c r="F207" s="345">
        <f t="shared" si="32"/>
        <v>20181000</v>
      </c>
      <c r="G207" s="345">
        <f>F207-E207</f>
        <v>0</v>
      </c>
      <c r="H207" s="350"/>
      <c r="I207" s="350"/>
      <c r="J207" s="347">
        <f>E207-D207</f>
        <v>-593558.8235</v>
      </c>
      <c r="K207" s="348"/>
      <c r="L207" s="349"/>
    </row>
    <row r="208" hidden="1" outlineLevel="1" collapsed="1">
      <c r="A208" s="307"/>
      <c r="B208" s="308">
        <v>90000.0</v>
      </c>
      <c r="C208" s="309">
        <v>105.0</v>
      </c>
      <c r="D208" s="316">
        <f>(D207/C207)-1</f>
        <v>1.198366013</v>
      </c>
      <c r="E208" s="317">
        <f>COUNT(E209:E310)</f>
        <v>102</v>
      </c>
      <c r="F208" s="317"/>
      <c r="G208" s="317"/>
      <c r="H208" s="318"/>
      <c r="I208" s="318"/>
      <c r="J208" s="319">
        <f>E207/E208</f>
        <v>197852.9412</v>
      </c>
      <c r="K208" s="320"/>
      <c r="L208" s="322"/>
    </row>
    <row r="209" hidden="1" outlineLevel="2">
      <c r="A209" s="132">
        <v>9.100000000000003</v>
      </c>
      <c r="B209" s="86" t="s">
        <v>593</v>
      </c>
      <c r="C209" s="325"/>
      <c r="D209" s="326"/>
      <c r="E209" s="327">
        <v>225000.0</v>
      </c>
      <c r="F209" s="93">
        <v>225000.0</v>
      </c>
      <c r="G209" s="93">
        <f t="shared" ref="G209:G310" si="33">F209-E209</f>
        <v>0</v>
      </c>
      <c r="H209" s="339"/>
      <c r="I209" s="339"/>
      <c r="J209" s="138"/>
      <c r="K209" s="98"/>
      <c r="L209" s="99"/>
    </row>
    <row r="210" hidden="1" outlineLevel="2">
      <c r="A210" s="132">
        <v>9.200000000000003</v>
      </c>
      <c r="B210" s="86" t="s">
        <v>594</v>
      </c>
      <c r="C210" s="325"/>
      <c r="D210" s="326"/>
      <c r="E210" s="327">
        <v>232000.0</v>
      </c>
      <c r="F210" s="93">
        <v>232000.0</v>
      </c>
      <c r="G210" s="93">
        <f t="shared" si="33"/>
        <v>0</v>
      </c>
      <c r="H210" s="339"/>
      <c r="I210" s="339"/>
      <c r="J210" s="138"/>
      <c r="K210" s="98"/>
      <c r="L210" s="99"/>
    </row>
    <row r="211" hidden="1" outlineLevel="2">
      <c r="A211" s="132">
        <v>9.300000000000002</v>
      </c>
      <c r="B211" s="86" t="s">
        <v>595</v>
      </c>
      <c r="C211" s="325"/>
      <c r="D211" s="326"/>
      <c r="E211" s="327">
        <v>189000.0</v>
      </c>
      <c r="F211" s="93">
        <v>189000.0</v>
      </c>
      <c r="G211" s="93">
        <f t="shared" si="33"/>
        <v>0</v>
      </c>
      <c r="H211" s="339"/>
      <c r="I211" s="339"/>
      <c r="J211" s="138"/>
      <c r="K211" s="98"/>
      <c r="L211" s="99"/>
    </row>
    <row r="212" hidden="1" outlineLevel="2">
      <c r="A212" s="132">
        <v>9.400000000000002</v>
      </c>
      <c r="B212" s="86" t="s">
        <v>596</v>
      </c>
      <c r="C212" s="325"/>
      <c r="D212" s="326"/>
      <c r="E212" s="327">
        <v>199000.0</v>
      </c>
      <c r="F212" s="93">
        <v>199000.0</v>
      </c>
      <c r="G212" s="93">
        <f t="shared" si="33"/>
        <v>0</v>
      </c>
      <c r="H212" s="339"/>
      <c r="I212" s="339"/>
      <c r="J212" s="138"/>
      <c r="K212" s="98"/>
      <c r="L212" s="99"/>
    </row>
    <row r="213" hidden="1" outlineLevel="2">
      <c r="A213" s="132">
        <v>9.500000000000002</v>
      </c>
      <c r="B213" s="86" t="s">
        <v>597</v>
      </c>
      <c r="C213" s="325"/>
      <c r="D213" s="326"/>
      <c r="E213" s="327">
        <v>212000.0</v>
      </c>
      <c r="F213" s="93">
        <v>212000.0</v>
      </c>
      <c r="G213" s="93">
        <f t="shared" si="33"/>
        <v>0</v>
      </c>
      <c r="H213" s="339"/>
      <c r="I213" s="339"/>
      <c r="J213" s="138"/>
      <c r="K213" s="98"/>
      <c r="L213" s="99"/>
    </row>
    <row r="214" hidden="1" outlineLevel="2">
      <c r="A214" s="132">
        <v>9.600000000000001</v>
      </c>
      <c r="B214" s="86" t="s">
        <v>598</v>
      </c>
      <c r="C214" s="325"/>
      <c r="D214" s="326"/>
      <c r="E214" s="327">
        <v>310000.0</v>
      </c>
      <c r="F214" s="93">
        <v>310000.0</v>
      </c>
      <c r="G214" s="93">
        <f t="shared" si="33"/>
        <v>0</v>
      </c>
      <c r="H214" s="339"/>
      <c r="I214" s="339"/>
      <c r="J214" s="138"/>
      <c r="K214" s="98"/>
      <c r="L214" s="99"/>
    </row>
    <row r="215" hidden="1" outlineLevel="2">
      <c r="A215" s="132">
        <v>9.700000000000001</v>
      </c>
      <c r="B215" s="86" t="s">
        <v>599</v>
      </c>
      <c r="C215" s="325"/>
      <c r="D215" s="326"/>
      <c r="E215" s="327">
        <v>215000.0</v>
      </c>
      <c r="F215" s="93">
        <v>215000.0</v>
      </c>
      <c r="G215" s="93">
        <f t="shared" si="33"/>
        <v>0</v>
      </c>
      <c r="H215" s="339"/>
      <c r="I215" s="339"/>
      <c r="J215" s="138"/>
      <c r="K215" s="98"/>
      <c r="L215" s="99"/>
    </row>
    <row r="216" hidden="1" outlineLevel="2">
      <c r="A216" s="132">
        <v>9.8</v>
      </c>
      <c r="B216" s="86" t="s">
        <v>600</v>
      </c>
      <c r="C216" s="325"/>
      <c r="D216" s="326"/>
      <c r="E216" s="327">
        <v>258000.0</v>
      </c>
      <c r="F216" s="93">
        <v>258000.0</v>
      </c>
      <c r="G216" s="93">
        <f t="shared" si="33"/>
        <v>0</v>
      </c>
      <c r="H216" s="339"/>
      <c r="I216" s="339"/>
      <c r="J216" s="138"/>
      <c r="K216" s="98"/>
      <c r="L216" s="99"/>
    </row>
    <row r="217" hidden="1" outlineLevel="2">
      <c r="A217" s="132">
        <v>9.9</v>
      </c>
      <c r="B217" s="86" t="s">
        <v>601</v>
      </c>
      <c r="C217" s="325"/>
      <c r="D217" s="326"/>
      <c r="E217" s="327">
        <v>191000.0</v>
      </c>
      <c r="F217" s="93">
        <v>191000.0</v>
      </c>
      <c r="G217" s="93">
        <f t="shared" si="33"/>
        <v>0</v>
      </c>
      <c r="H217" s="339"/>
      <c r="I217" s="339"/>
      <c r="J217" s="138"/>
      <c r="K217" s="98"/>
      <c r="L217" s="99"/>
    </row>
    <row r="218" hidden="1" outlineLevel="2">
      <c r="A218" s="332" t="s">
        <v>602</v>
      </c>
      <c r="B218" s="86" t="s">
        <v>603</v>
      </c>
      <c r="C218" s="325"/>
      <c r="D218" s="326"/>
      <c r="E218" s="327">
        <v>191000.0</v>
      </c>
      <c r="F218" s="93">
        <v>191000.0</v>
      </c>
      <c r="G218" s="93">
        <f t="shared" si="33"/>
        <v>0</v>
      </c>
      <c r="H218" s="339"/>
      <c r="I218" s="339"/>
      <c r="J218" s="138"/>
      <c r="K218" s="98"/>
      <c r="L218" s="99"/>
    </row>
    <row r="219" hidden="1" outlineLevel="2">
      <c r="A219" s="132">
        <v>9.110000000000001</v>
      </c>
      <c r="B219" s="86" t="s">
        <v>604</v>
      </c>
      <c r="C219" s="325"/>
      <c r="D219" s="326"/>
      <c r="E219" s="327">
        <v>212000.0</v>
      </c>
      <c r="F219" s="93">
        <v>212000.0</v>
      </c>
      <c r="G219" s="93">
        <f t="shared" si="33"/>
        <v>0</v>
      </c>
      <c r="H219" s="339"/>
      <c r="I219" s="339"/>
      <c r="J219" s="138"/>
      <c r="K219" s="98"/>
      <c r="L219" s="99"/>
    </row>
    <row r="220" hidden="1" outlineLevel="2">
      <c r="A220" s="132">
        <v>9.120000000000001</v>
      </c>
      <c r="B220" s="86" t="s">
        <v>605</v>
      </c>
      <c r="C220" s="325"/>
      <c r="D220" s="326"/>
      <c r="E220" s="327">
        <v>185000.0</v>
      </c>
      <c r="F220" s="93">
        <v>185000.0</v>
      </c>
      <c r="G220" s="93">
        <f t="shared" si="33"/>
        <v>0</v>
      </c>
      <c r="H220" s="339"/>
      <c r="I220" s="339"/>
      <c r="J220" s="138"/>
      <c r="K220" s="98"/>
      <c r="L220" s="99"/>
    </row>
    <row r="221" hidden="1" outlineLevel="2">
      <c r="A221" s="132">
        <v>9.13</v>
      </c>
      <c r="B221" s="86" t="s">
        <v>606</v>
      </c>
      <c r="C221" s="325"/>
      <c r="D221" s="326"/>
      <c r="E221" s="327">
        <v>191000.0</v>
      </c>
      <c r="F221" s="93">
        <v>191000.0</v>
      </c>
      <c r="G221" s="93">
        <f t="shared" si="33"/>
        <v>0</v>
      </c>
      <c r="H221" s="339"/>
      <c r="I221" s="339"/>
      <c r="J221" s="138"/>
      <c r="K221" s="98"/>
      <c r="L221" s="99"/>
    </row>
    <row r="222" hidden="1" outlineLevel="2">
      <c r="A222" s="132">
        <v>9.14</v>
      </c>
      <c r="B222" s="86" t="s">
        <v>607</v>
      </c>
      <c r="C222" s="325"/>
      <c r="D222" s="326"/>
      <c r="E222" s="327">
        <v>191000.0</v>
      </c>
      <c r="F222" s="93">
        <v>191000.0</v>
      </c>
      <c r="G222" s="93">
        <f t="shared" si="33"/>
        <v>0</v>
      </c>
      <c r="H222" s="339"/>
      <c r="I222" s="339"/>
      <c r="J222" s="138"/>
      <c r="K222" s="98"/>
      <c r="L222" s="99"/>
    </row>
    <row r="223" hidden="1" outlineLevel="2">
      <c r="A223" s="132">
        <v>9.15</v>
      </c>
      <c r="B223" s="86" t="s">
        <v>608</v>
      </c>
      <c r="C223" s="325"/>
      <c r="D223" s="326"/>
      <c r="E223" s="327">
        <v>206000.0</v>
      </c>
      <c r="F223" s="93">
        <v>206000.0</v>
      </c>
      <c r="G223" s="93">
        <f t="shared" si="33"/>
        <v>0</v>
      </c>
      <c r="H223" s="339"/>
      <c r="I223" s="339"/>
      <c r="J223" s="138"/>
      <c r="K223" s="98"/>
      <c r="L223" s="99"/>
    </row>
    <row r="224" hidden="1" outlineLevel="2">
      <c r="A224" s="132">
        <v>9.16</v>
      </c>
      <c r="B224" s="86" t="s">
        <v>609</v>
      </c>
      <c r="C224" s="325"/>
      <c r="D224" s="326"/>
      <c r="E224" s="327">
        <v>242000.0</v>
      </c>
      <c r="F224" s="93">
        <v>242000.0</v>
      </c>
      <c r="G224" s="93">
        <f t="shared" si="33"/>
        <v>0</v>
      </c>
      <c r="H224" s="339"/>
      <c r="I224" s="339"/>
      <c r="J224" s="138"/>
      <c r="K224" s="98"/>
      <c r="L224" s="99"/>
    </row>
    <row r="225" hidden="1" outlineLevel="2">
      <c r="A225" s="132">
        <v>9.17</v>
      </c>
      <c r="B225" s="86" t="s">
        <v>610</v>
      </c>
      <c r="C225" s="325"/>
      <c r="D225" s="326"/>
      <c r="E225" s="327">
        <v>191000.0</v>
      </c>
      <c r="F225" s="93">
        <v>191000.0</v>
      </c>
      <c r="G225" s="93">
        <f t="shared" si="33"/>
        <v>0</v>
      </c>
      <c r="H225" s="339"/>
      <c r="I225" s="339"/>
      <c r="J225" s="138"/>
      <c r="K225" s="98"/>
      <c r="L225" s="99"/>
    </row>
    <row r="226" hidden="1" outlineLevel="2">
      <c r="A226" s="132">
        <v>9.18</v>
      </c>
      <c r="B226" s="86" t="s">
        <v>611</v>
      </c>
      <c r="C226" s="325"/>
      <c r="D226" s="326"/>
      <c r="E226" s="327">
        <v>192000.0</v>
      </c>
      <c r="F226" s="93">
        <v>192000.0</v>
      </c>
      <c r="G226" s="93">
        <f t="shared" si="33"/>
        <v>0</v>
      </c>
      <c r="H226" s="339"/>
      <c r="I226" s="339"/>
      <c r="J226" s="138"/>
      <c r="K226" s="98"/>
      <c r="L226" s="99"/>
    </row>
    <row r="227" hidden="1" outlineLevel="2">
      <c r="A227" s="132">
        <v>9.19</v>
      </c>
      <c r="B227" s="86" t="s">
        <v>612</v>
      </c>
      <c r="C227" s="325"/>
      <c r="D227" s="326"/>
      <c r="E227" s="327">
        <v>191000.0</v>
      </c>
      <c r="F227" s="93">
        <v>191000.0</v>
      </c>
      <c r="G227" s="93">
        <f t="shared" si="33"/>
        <v>0</v>
      </c>
      <c r="H227" s="339"/>
      <c r="I227" s="339"/>
      <c r="J227" s="138"/>
      <c r="K227" s="98"/>
      <c r="L227" s="99"/>
    </row>
    <row r="228" hidden="1" outlineLevel="2">
      <c r="A228" s="332" t="s">
        <v>613</v>
      </c>
      <c r="B228" s="86" t="s">
        <v>614</v>
      </c>
      <c r="C228" s="325"/>
      <c r="D228" s="326"/>
      <c r="E228" s="327">
        <v>206000.0</v>
      </c>
      <c r="F228" s="93">
        <v>206000.0</v>
      </c>
      <c r="G228" s="93">
        <f t="shared" si="33"/>
        <v>0</v>
      </c>
      <c r="H228" s="339"/>
      <c r="I228" s="339"/>
      <c r="J228" s="138"/>
      <c r="K228" s="98"/>
      <c r="L228" s="99"/>
    </row>
    <row r="229" hidden="1" outlineLevel="2">
      <c r="A229" s="132">
        <v>9.210000000000003</v>
      </c>
      <c r="B229" s="86" t="s">
        <v>615</v>
      </c>
      <c r="C229" s="325"/>
      <c r="D229" s="326"/>
      <c r="E229" s="327">
        <v>182000.0</v>
      </c>
      <c r="F229" s="93">
        <v>182000.0</v>
      </c>
      <c r="G229" s="93">
        <f t="shared" si="33"/>
        <v>0</v>
      </c>
      <c r="H229" s="357"/>
      <c r="I229" s="357"/>
      <c r="J229" s="202"/>
      <c r="K229" s="115" t="s">
        <v>616</v>
      </c>
      <c r="L229" s="99"/>
    </row>
    <row r="230" hidden="1" outlineLevel="2">
      <c r="A230" s="132">
        <v>9.220000000000002</v>
      </c>
      <c r="B230" s="86" t="s">
        <v>617</v>
      </c>
      <c r="C230" s="325"/>
      <c r="D230" s="326"/>
      <c r="E230" s="327">
        <v>182000.0</v>
      </c>
      <c r="F230" s="93">
        <v>182000.0</v>
      </c>
      <c r="G230" s="93">
        <f t="shared" si="33"/>
        <v>0</v>
      </c>
      <c r="H230" s="339"/>
      <c r="I230" s="339"/>
      <c r="J230" s="138"/>
      <c r="K230" s="98"/>
      <c r="L230" s="99"/>
    </row>
    <row r="231" hidden="1" outlineLevel="2">
      <c r="A231" s="132">
        <v>9.230000000000002</v>
      </c>
      <c r="B231" s="86" t="s">
        <v>618</v>
      </c>
      <c r="C231" s="325"/>
      <c r="D231" s="326"/>
      <c r="E231" s="327">
        <v>182000.0</v>
      </c>
      <c r="F231" s="93">
        <v>182000.0</v>
      </c>
      <c r="G231" s="93">
        <f t="shared" si="33"/>
        <v>0</v>
      </c>
      <c r="H231" s="339"/>
      <c r="I231" s="339"/>
      <c r="J231" s="138"/>
      <c r="K231" s="98"/>
      <c r="L231" s="99"/>
    </row>
    <row r="232" hidden="1" outlineLevel="2">
      <c r="A232" s="132">
        <v>9.240000000000002</v>
      </c>
      <c r="B232" s="86" t="s">
        <v>619</v>
      </c>
      <c r="C232" s="325"/>
      <c r="D232" s="326"/>
      <c r="E232" s="327">
        <v>180000.0</v>
      </c>
      <c r="F232" s="93">
        <v>180000.0</v>
      </c>
      <c r="G232" s="93">
        <f t="shared" si="33"/>
        <v>0</v>
      </c>
      <c r="H232" s="339"/>
      <c r="I232" s="339"/>
      <c r="J232" s="138"/>
      <c r="K232" s="98"/>
      <c r="L232" s="99"/>
    </row>
    <row r="233" hidden="1" outlineLevel="2">
      <c r="A233" s="132">
        <v>9.250000000000002</v>
      </c>
      <c r="B233" s="86" t="s">
        <v>620</v>
      </c>
      <c r="C233" s="325"/>
      <c r="D233" s="326"/>
      <c r="E233" s="327">
        <v>180000.0</v>
      </c>
      <c r="F233" s="93">
        <v>180000.0</v>
      </c>
      <c r="G233" s="93">
        <f t="shared" si="33"/>
        <v>0</v>
      </c>
      <c r="H233" s="339"/>
      <c r="I233" s="339"/>
      <c r="J233" s="138"/>
      <c r="K233" s="98"/>
      <c r="L233" s="99"/>
    </row>
    <row r="234" hidden="1" outlineLevel="2">
      <c r="A234" s="132">
        <v>9.260000000000002</v>
      </c>
      <c r="B234" s="86" t="s">
        <v>621</v>
      </c>
      <c r="C234" s="325"/>
      <c r="D234" s="326"/>
      <c r="E234" s="327">
        <v>198000.0</v>
      </c>
      <c r="F234" s="93">
        <v>198000.0</v>
      </c>
      <c r="G234" s="93">
        <f t="shared" si="33"/>
        <v>0</v>
      </c>
      <c r="H234" s="339"/>
      <c r="I234" s="339"/>
      <c r="J234" s="138"/>
      <c r="K234" s="98"/>
      <c r="L234" s="99"/>
    </row>
    <row r="235" hidden="1" outlineLevel="2">
      <c r="A235" s="132">
        <v>9.270000000000001</v>
      </c>
      <c r="B235" s="86" t="s">
        <v>622</v>
      </c>
      <c r="C235" s="325"/>
      <c r="D235" s="326"/>
      <c r="E235" s="327">
        <v>180000.0</v>
      </c>
      <c r="F235" s="93">
        <v>180000.0</v>
      </c>
      <c r="G235" s="93">
        <f t="shared" si="33"/>
        <v>0</v>
      </c>
      <c r="H235" s="339"/>
      <c r="I235" s="339"/>
      <c r="J235" s="138"/>
      <c r="K235" s="98"/>
      <c r="L235" s="99"/>
    </row>
    <row r="236" hidden="1" outlineLevel="2">
      <c r="A236" s="132">
        <v>9.280000000000001</v>
      </c>
      <c r="B236" s="86" t="s">
        <v>623</v>
      </c>
      <c r="C236" s="325"/>
      <c r="D236" s="326"/>
      <c r="E236" s="327">
        <v>180000.0</v>
      </c>
      <c r="F236" s="93">
        <v>180000.0</v>
      </c>
      <c r="G236" s="93">
        <f t="shared" si="33"/>
        <v>0</v>
      </c>
      <c r="H236" s="339"/>
      <c r="I236" s="339"/>
      <c r="J236" s="138"/>
      <c r="K236" s="98"/>
      <c r="L236" s="99"/>
    </row>
    <row r="237" hidden="1" outlineLevel="2">
      <c r="A237" s="132">
        <v>9.290000000000001</v>
      </c>
      <c r="B237" s="86" t="s">
        <v>624</v>
      </c>
      <c r="C237" s="325"/>
      <c r="D237" s="326"/>
      <c r="E237" s="327">
        <v>182000.0</v>
      </c>
      <c r="F237" s="93">
        <v>182000.0</v>
      </c>
      <c r="G237" s="93">
        <f t="shared" si="33"/>
        <v>0</v>
      </c>
      <c r="H237" s="339"/>
      <c r="I237" s="339"/>
      <c r="J237" s="138"/>
      <c r="K237" s="98"/>
      <c r="L237" s="99"/>
    </row>
    <row r="238" hidden="1" outlineLevel="2">
      <c r="A238" s="332" t="s">
        <v>625</v>
      </c>
      <c r="B238" s="86" t="s">
        <v>626</v>
      </c>
      <c r="C238" s="325"/>
      <c r="D238" s="326"/>
      <c r="E238" s="327">
        <v>182000.0</v>
      </c>
      <c r="F238" s="93">
        <v>182000.0</v>
      </c>
      <c r="G238" s="93">
        <f t="shared" si="33"/>
        <v>0</v>
      </c>
      <c r="H238" s="339"/>
      <c r="I238" s="339"/>
      <c r="J238" s="138"/>
      <c r="K238" s="98"/>
      <c r="L238" s="99"/>
    </row>
    <row r="239" hidden="1" outlineLevel="2">
      <c r="A239" s="132">
        <v>9.310000000000002</v>
      </c>
      <c r="B239" s="86" t="s">
        <v>627</v>
      </c>
      <c r="C239" s="325"/>
      <c r="D239" s="326"/>
      <c r="E239" s="327">
        <v>195000.0</v>
      </c>
      <c r="F239" s="93">
        <v>195000.0</v>
      </c>
      <c r="G239" s="93">
        <f t="shared" si="33"/>
        <v>0</v>
      </c>
      <c r="H239" s="339"/>
      <c r="I239" s="339"/>
      <c r="J239" s="138"/>
      <c r="K239" s="98"/>
      <c r="L239" s="99"/>
    </row>
    <row r="240" hidden="1" outlineLevel="2">
      <c r="A240" s="132">
        <v>9.320000000000002</v>
      </c>
      <c r="B240" s="86" t="s">
        <v>628</v>
      </c>
      <c r="C240" s="325"/>
      <c r="D240" s="326"/>
      <c r="E240" s="327">
        <v>195000.0</v>
      </c>
      <c r="F240" s="93">
        <v>195000.0</v>
      </c>
      <c r="G240" s="93">
        <f t="shared" si="33"/>
        <v>0</v>
      </c>
      <c r="H240" s="339"/>
      <c r="I240" s="339"/>
      <c r="J240" s="138"/>
      <c r="K240" s="98"/>
      <c r="L240" s="99"/>
    </row>
    <row r="241" hidden="1" outlineLevel="2">
      <c r="A241" s="132">
        <v>9.330000000000002</v>
      </c>
      <c r="B241" s="86" t="s">
        <v>629</v>
      </c>
      <c r="C241" s="325"/>
      <c r="D241" s="326"/>
      <c r="E241" s="327">
        <v>195000.0</v>
      </c>
      <c r="F241" s="93">
        <v>195000.0</v>
      </c>
      <c r="G241" s="93">
        <f t="shared" si="33"/>
        <v>0</v>
      </c>
      <c r="H241" s="339"/>
      <c r="I241" s="339"/>
      <c r="J241" s="138"/>
      <c r="K241" s="98"/>
      <c r="L241" s="99"/>
    </row>
    <row r="242" hidden="1" outlineLevel="2">
      <c r="A242" s="132">
        <v>9.340000000000002</v>
      </c>
      <c r="B242" s="86" t="s">
        <v>630</v>
      </c>
      <c r="C242" s="325"/>
      <c r="D242" s="326"/>
      <c r="E242" s="327">
        <v>184000.0</v>
      </c>
      <c r="F242" s="93">
        <v>184000.0</v>
      </c>
      <c r="G242" s="93">
        <f t="shared" si="33"/>
        <v>0</v>
      </c>
      <c r="H242" s="339"/>
      <c r="I242" s="339"/>
      <c r="J242" s="138"/>
      <c r="K242" s="98"/>
      <c r="L242" s="99"/>
    </row>
    <row r="243" hidden="1" outlineLevel="2">
      <c r="A243" s="132">
        <v>9.350000000000001</v>
      </c>
      <c r="B243" s="86" t="s">
        <v>631</v>
      </c>
      <c r="C243" s="325"/>
      <c r="D243" s="326"/>
      <c r="E243" s="327">
        <v>180000.0</v>
      </c>
      <c r="F243" s="93">
        <v>180000.0</v>
      </c>
      <c r="G243" s="93">
        <f t="shared" si="33"/>
        <v>0</v>
      </c>
      <c r="H243" s="339"/>
      <c r="I243" s="339"/>
      <c r="J243" s="138"/>
      <c r="K243" s="98"/>
      <c r="L243" s="99"/>
    </row>
    <row r="244" hidden="1" outlineLevel="2">
      <c r="A244" s="132">
        <v>9.360000000000001</v>
      </c>
      <c r="B244" s="86" t="s">
        <v>632</v>
      </c>
      <c r="C244" s="325"/>
      <c r="D244" s="326"/>
      <c r="E244" s="327">
        <v>184000.0</v>
      </c>
      <c r="F244" s="93">
        <v>184000.0</v>
      </c>
      <c r="G244" s="93">
        <f t="shared" si="33"/>
        <v>0</v>
      </c>
      <c r="H244" s="357"/>
      <c r="I244" s="357"/>
      <c r="J244" s="202"/>
      <c r="K244" s="115" t="s">
        <v>633</v>
      </c>
      <c r="L244" s="99"/>
    </row>
    <row r="245" hidden="1" outlineLevel="2">
      <c r="A245" s="132">
        <v>9.370000000000001</v>
      </c>
      <c r="B245" s="86" t="s">
        <v>634</v>
      </c>
      <c r="C245" s="325"/>
      <c r="D245" s="326"/>
      <c r="E245" s="327">
        <v>184000.0</v>
      </c>
      <c r="F245" s="93">
        <v>184000.0</v>
      </c>
      <c r="G245" s="93">
        <f t="shared" si="33"/>
        <v>0</v>
      </c>
      <c r="H245" s="339"/>
      <c r="I245" s="339"/>
      <c r="J245" s="138"/>
      <c r="K245" s="98"/>
      <c r="L245" s="99"/>
    </row>
    <row r="246" hidden="1" outlineLevel="2">
      <c r="A246" s="132">
        <v>9.38</v>
      </c>
      <c r="B246" s="86" t="s">
        <v>635</v>
      </c>
      <c r="C246" s="325"/>
      <c r="D246" s="326"/>
      <c r="E246" s="327">
        <v>199000.0</v>
      </c>
      <c r="F246" s="93">
        <v>199000.0</v>
      </c>
      <c r="G246" s="93">
        <f t="shared" si="33"/>
        <v>0</v>
      </c>
      <c r="H246" s="339"/>
      <c r="I246" s="339"/>
      <c r="J246" s="138"/>
      <c r="K246" s="98"/>
      <c r="L246" s="99"/>
    </row>
    <row r="247" hidden="1" outlineLevel="2">
      <c r="A247" s="132">
        <v>9.39</v>
      </c>
      <c r="B247" s="86" t="s">
        <v>636</v>
      </c>
      <c r="C247" s="325"/>
      <c r="D247" s="326"/>
      <c r="E247" s="327">
        <v>181000.0</v>
      </c>
      <c r="F247" s="93">
        <v>181000.0</v>
      </c>
      <c r="G247" s="93">
        <f t="shared" si="33"/>
        <v>0</v>
      </c>
      <c r="H247" s="357"/>
      <c r="I247" s="357"/>
      <c r="J247" s="202"/>
      <c r="K247" s="115" t="s">
        <v>633</v>
      </c>
      <c r="L247" s="99"/>
    </row>
    <row r="248" hidden="1" outlineLevel="2">
      <c r="A248" s="332" t="s">
        <v>637</v>
      </c>
      <c r="B248" s="86" t="s">
        <v>638</v>
      </c>
      <c r="C248" s="325"/>
      <c r="D248" s="326"/>
      <c r="E248" s="327">
        <v>195000.0</v>
      </c>
      <c r="F248" s="93">
        <v>195000.0</v>
      </c>
      <c r="G248" s="93">
        <f t="shared" si="33"/>
        <v>0</v>
      </c>
      <c r="H248" s="339"/>
      <c r="I248" s="339"/>
      <c r="J248" s="138"/>
      <c r="K248" s="98"/>
      <c r="L248" s="99"/>
    </row>
    <row r="249" hidden="1" outlineLevel="2">
      <c r="A249" s="132">
        <v>9.410000000000002</v>
      </c>
      <c r="B249" s="86" t="s">
        <v>639</v>
      </c>
      <c r="C249" s="325"/>
      <c r="D249" s="326"/>
      <c r="E249" s="327">
        <v>195000.0</v>
      </c>
      <c r="F249" s="93">
        <v>195000.0</v>
      </c>
      <c r="G249" s="93">
        <f t="shared" si="33"/>
        <v>0</v>
      </c>
      <c r="H249" s="339"/>
      <c r="I249" s="339"/>
      <c r="J249" s="138"/>
      <c r="K249" s="98"/>
      <c r="L249" s="99"/>
    </row>
    <row r="250" hidden="1" outlineLevel="2">
      <c r="A250" s="132">
        <v>9.420000000000002</v>
      </c>
      <c r="B250" s="86" t="s">
        <v>640</v>
      </c>
      <c r="C250" s="325"/>
      <c r="D250" s="326"/>
      <c r="E250" s="327">
        <v>180000.0</v>
      </c>
      <c r="F250" s="93">
        <v>180000.0</v>
      </c>
      <c r="G250" s="93">
        <f t="shared" si="33"/>
        <v>0</v>
      </c>
      <c r="H250" s="339"/>
      <c r="I250" s="339"/>
      <c r="J250" s="138"/>
      <c r="K250" s="98"/>
      <c r="L250" s="99"/>
    </row>
    <row r="251" hidden="1" outlineLevel="2">
      <c r="A251" s="132">
        <v>9.430000000000001</v>
      </c>
      <c r="B251" s="86" t="s">
        <v>641</v>
      </c>
      <c r="C251" s="325"/>
      <c r="D251" s="326"/>
      <c r="E251" s="327">
        <v>179000.0</v>
      </c>
      <c r="F251" s="93">
        <v>179000.0</v>
      </c>
      <c r="G251" s="93">
        <f t="shared" si="33"/>
        <v>0</v>
      </c>
      <c r="H251" s="339"/>
      <c r="I251" s="339"/>
      <c r="J251" s="138"/>
      <c r="K251" s="98"/>
      <c r="L251" s="99"/>
    </row>
    <row r="252" hidden="1" outlineLevel="2">
      <c r="A252" s="132">
        <v>9.440000000000001</v>
      </c>
      <c r="B252" s="86" t="s">
        <v>642</v>
      </c>
      <c r="C252" s="325"/>
      <c r="D252" s="326"/>
      <c r="E252" s="327">
        <v>226000.0</v>
      </c>
      <c r="F252" s="93">
        <v>226000.0</v>
      </c>
      <c r="G252" s="93">
        <f t="shared" si="33"/>
        <v>0</v>
      </c>
      <c r="H252" s="339"/>
      <c r="I252" s="339"/>
      <c r="J252" s="138"/>
      <c r="K252" s="98"/>
      <c r="L252" s="99"/>
    </row>
    <row r="253" hidden="1" outlineLevel="2">
      <c r="A253" s="132">
        <v>9.450000000000001</v>
      </c>
      <c r="B253" s="86" t="s">
        <v>643</v>
      </c>
      <c r="C253" s="325"/>
      <c r="D253" s="326"/>
      <c r="E253" s="327">
        <v>180000.0</v>
      </c>
      <c r="F253" s="93">
        <v>180000.0</v>
      </c>
      <c r="G253" s="93">
        <f t="shared" si="33"/>
        <v>0</v>
      </c>
      <c r="H253" s="339"/>
      <c r="I253" s="339"/>
      <c r="J253" s="138"/>
      <c r="K253" s="98"/>
      <c r="L253" s="99"/>
    </row>
    <row r="254" hidden="1" outlineLevel="2">
      <c r="A254" s="132">
        <v>9.46</v>
      </c>
      <c r="B254" s="86" t="s">
        <v>644</v>
      </c>
      <c r="C254" s="325"/>
      <c r="D254" s="326"/>
      <c r="E254" s="327">
        <v>180000.0</v>
      </c>
      <c r="F254" s="93">
        <v>180000.0</v>
      </c>
      <c r="G254" s="93">
        <f t="shared" si="33"/>
        <v>0</v>
      </c>
      <c r="H254" s="339"/>
      <c r="I254" s="339"/>
      <c r="J254" s="138"/>
      <c r="K254" s="98"/>
      <c r="L254" s="99"/>
    </row>
    <row r="255" hidden="1" outlineLevel="2">
      <c r="A255" s="132">
        <v>9.47</v>
      </c>
      <c r="B255" s="86" t="s">
        <v>645</v>
      </c>
      <c r="C255" s="325"/>
      <c r="D255" s="326"/>
      <c r="E255" s="327">
        <v>180000.0</v>
      </c>
      <c r="F255" s="93">
        <v>180000.0</v>
      </c>
      <c r="G255" s="93">
        <f t="shared" si="33"/>
        <v>0</v>
      </c>
      <c r="H255" s="357"/>
      <c r="I255" s="357"/>
      <c r="J255" s="202"/>
      <c r="K255" s="115" t="s">
        <v>616</v>
      </c>
      <c r="L255" s="99"/>
    </row>
    <row r="256" hidden="1" outlineLevel="2">
      <c r="A256" s="132">
        <v>9.48</v>
      </c>
      <c r="B256" s="86" t="s">
        <v>646</v>
      </c>
      <c r="C256" s="325"/>
      <c r="D256" s="326"/>
      <c r="E256" s="327">
        <v>228000.0</v>
      </c>
      <c r="F256" s="93">
        <v>228000.0</v>
      </c>
      <c r="G256" s="93">
        <f t="shared" si="33"/>
        <v>0</v>
      </c>
      <c r="H256" s="357"/>
      <c r="I256" s="357"/>
      <c r="J256" s="202"/>
      <c r="K256" s="115" t="s">
        <v>616</v>
      </c>
      <c r="L256" s="99"/>
    </row>
    <row r="257" hidden="1" outlineLevel="2">
      <c r="A257" s="132">
        <v>9.49</v>
      </c>
      <c r="B257" s="86" t="s">
        <v>647</v>
      </c>
      <c r="C257" s="325"/>
      <c r="D257" s="326"/>
      <c r="E257" s="327">
        <v>179000.0</v>
      </c>
      <c r="F257" s="93">
        <v>179000.0</v>
      </c>
      <c r="G257" s="93">
        <f t="shared" si="33"/>
        <v>0</v>
      </c>
      <c r="H257" s="339"/>
      <c r="I257" s="339"/>
      <c r="J257" s="138"/>
      <c r="K257" s="98"/>
      <c r="L257" s="99"/>
    </row>
    <row r="258" hidden="1" outlineLevel="2">
      <c r="A258" s="332" t="s">
        <v>648</v>
      </c>
      <c r="B258" s="86" t="s">
        <v>649</v>
      </c>
      <c r="C258" s="325"/>
      <c r="D258" s="326"/>
      <c r="E258" s="327">
        <v>168000.0</v>
      </c>
      <c r="F258" s="93">
        <v>168000.0</v>
      </c>
      <c r="G258" s="93">
        <f t="shared" si="33"/>
        <v>0</v>
      </c>
      <c r="H258" s="339"/>
      <c r="I258" s="339"/>
      <c r="J258" s="138"/>
      <c r="K258" s="98"/>
      <c r="L258" s="99"/>
    </row>
    <row r="259" hidden="1" outlineLevel="2">
      <c r="A259" s="132">
        <v>9.510000000000002</v>
      </c>
      <c r="B259" s="86" t="s">
        <v>650</v>
      </c>
      <c r="C259" s="325"/>
      <c r="D259" s="326"/>
      <c r="E259" s="327">
        <v>169000.0</v>
      </c>
      <c r="F259" s="93">
        <v>169000.0</v>
      </c>
      <c r="G259" s="93">
        <f t="shared" si="33"/>
        <v>0</v>
      </c>
      <c r="H259" s="339"/>
      <c r="I259" s="339"/>
      <c r="J259" s="138"/>
      <c r="K259" s="98"/>
      <c r="L259" s="99"/>
    </row>
    <row r="260" hidden="1" outlineLevel="2">
      <c r="A260" s="132">
        <v>9.520000000000001</v>
      </c>
      <c r="B260" s="86" t="s">
        <v>651</v>
      </c>
      <c r="C260" s="325"/>
      <c r="D260" s="326"/>
      <c r="E260" s="327">
        <v>169000.0</v>
      </c>
      <c r="F260" s="93">
        <v>169000.0</v>
      </c>
      <c r="G260" s="93">
        <f t="shared" si="33"/>
        <v>0</v>
      </c>
      <c r="H260" s="339"/>
      <c r="I260" s="339"/>
      <c r="J260" s="138"/>
      <c r="K260" s="98"/>
      <c r="L260" s="99"/>
    </row>
    <row r="261" hidden="1" outlineLevel="2">
      <c r="A261" s="132">
        <v>9.530000000000001</v>
      </c>
      <c r="B261" s="86" t="s">
        <v>652</v>
      </c>
      <c r="C261" s="325"/>
      <c r="D261" s="326"/>
      <c r="E261" s="327">
        <v>203000.0</v>
      </c>
      <c r="F261" s="93">
        <v>203000.0</v>
      </c>
      <c r="G261" s="93">
        <f t="shared" si="33"/>
        <v>0</v>
      </c>
      <c r="H261" s="357"/>
      <c r="I261" s="357"/>
      <c r="J261" s="202"/>
      <c r="K261" s="115" t="s">
        <v>616</v>
      </c>
      <c r="L261" s="99"/>
    </row>
    <row r="262" hidden="1" outlineLevel="2">
      <c r="A262" s="132">
        <v>9.540000000000001</v>
      </c>
      <c r="B262" s="86" t="s">
        <v>653</v>
      </c>
      <c r="C262" s="325"/>
      <c r="D262" s="326"/>
      <c r="E262" s="327">
        <v>174000.0</v>
      </c>
      <c r="F262" s="93">
        <v>174000.0</v>
      </c>
      <c r="G262" s="93">
        <f t="shared" si="33"/>
        <v>0</v>
      </c>
      <c r="H262" s="357"/>
      <c r="I262" s="357"/>
      <c r="J262" s="202"/>
      <c r="K262" s="115" t="s">
        <v>616</v>
      </c>
      <c r="L262" s="99"/>
    </row>
    <row r="263" hidden="1" outlineLevel="2">
      <c r="A263" s="132">
        <v>9.55</v>
      </c>
      <c r="B263" s="86" t="s">
        <v>654</v>
      </c>
      <c r="C263" s="325"/>
      <c r="D263" s="326"/>
      <c r="E263" s="327">
        <v>175000.0</v>
      </c>
      <c r="F263" s="93">
        <v>175000.0</v>
      </c>
      <c r="G263" s="93">
        <f t="shared" si="33"/>
        <v>0</v>
      </c>
      <c r="H263" s="339"/>
      <c r="I263" s="339"/>
      <c r="J263" s="138"/>
      <c r="K263" s="98"/>
      <c r="L263" s="99"/>
    </row>
    <row r="264" hidden="1" outlineLevel="2">
      <c r="A264" s="132">
        <v>9.56</v>
      </c>
      <c r="B264" s="86" t="s">
        <v>655</v>
      </c>
      <c r="C264" s="325"/>
      <c r="D264" s="326"/>
      <c r="E264" s="327">
        <v>207000.0</v>
      </c>
      <c r="F264" s="93">
        <v>207000.0</v>
      </c>
      <c r="G264" s="93">
        <f t="shared" si="33"/>
        <v>0</v>
      </c>
      <c r="H264" s="339"/>
      <c r="I264" s="339"/>
      <c r="J264" s="138"/>
      <c r="K264" s="98"/>
      <c r="L264" s="99"/>
    </row>
    <row r="265" hidden="1" outlineLevel="2">
      <c r="A265" s="132">
        <v>9.57</v>
      </c>
      <c r="B265" s="86" t="s">
        <v>656</v>
      </c>
      <c r="C265" s="325"/>
      <c r="D265" s="326"/>
      <c r="E265" s="327">
        <v>169000.0</v>
      </c>
      <c r="F265" s="93">
        <v>169000.0</v>
      </c>
      <c r="G265" s="93">
        <f t="shared" si="33"/>
        <v>0</v>
      </c>
      <c r="H265" s="339"/>
      <c r="I265" s="339"/>
      <c r="J265" s="138"/>
      <c r="K265" s="98"/>
      <c r="L265" s="99"/>
    </row>
    <row r="266" hidden="1" outlineLevel="2">
      <c r="A266" s="132">
        <v>9.58</v>
      </c>
      <c r="B266" s="86" t="s">
        <v>657</v>
      </c>
      <c r="C266" s="325"/>
      <c r="D266" s="326"/>
      <c r="E266" s="327">
        <v>168000.0</v>
      </c>
      <c r="F266" s="93">
        <v>168000.0</v>
      </c>
      <c r="G266" s="93">
        <f t="shared" si="33"/>
        <v>0</v>
      </c>
      <c r="H266" s="339"/>
      <c r="I266" s="339"/>
      <c r="J266" s="138"/>
      <c r="K266" s="98"/>
      <c r="L266" s="99"/>
    </row>
    <row r="267" hidden="1" outlineLevel="2">
      <c r="A267" s="132">
        <v>9.59</v>
      </c>
      <c r="B267" s="86" t="s">
        <v>658</v>
      </c>
      <c r="C267" s="325"/>
      <c r="D267" s="326"/>
      <c r="E267" s="327">
        <v>162000.0</v>
      </c>
      <c r="F267" s="93">
        <v>162000.0</v>
      </c>
      <c r="G267" s="93">
        <f t="shared" si="33"/>
        <v>0</v>
      </c>
      <c r="H267" s="339"/>
      <c r="I267" s="339"/>
      <c r="J267" s="138"/>
      <c r="K267" s="98"/>
      <c r="L267" s="99"/>
    </row>
    <row r="268" hidden="1" outlineLevel="2">
      <c r="A268" s="332" t="s">
        <v>659</v>
      </c>
      <c r="B268" s="86" t="s">
        <v>660</v>
      </c>
      <c r="C268" s="325"/>
      <c r="D268" s="326"/>
      <c r="E268" s="327">
        <v>169000.0</v>
      </c>
      <c r="F268" s="93">
        <v>169000.0</v>
      </c>
      <c r="G268" s="93">
        <f t="shared" si="33"/>
        <v>0</v>
      </c>
      <c r="H268" s="339"/>
      <c r="I268" s="339"/>
      <c r="J268" s="138"/>
      <c r="K268" s="98"/>
      <c r="L268" s="99"/>
    </row>
    <row r="269" hidden="1" outlineLevel="2">
      <c r="A269" s="132">
        <v>9.610000000000001</v>
      </c>
      <c r="B269" s="86" t="s">
        <v>661</v>
      </c>
      <c r="C269" s="325"/>
      <c r="D269" s="326"/>
      <c r="E269" s="327">
        <v>204000.0</v>
      </c>
      <c r="F269" s="93">
        <v>204000.0</v>
      </c>
      <c r="G269" s="93">
        <f t="shared" si="33"/>
        <v>0</v>
      </c>
      <c r="H269" s="339"/>
      <c r="I269" s="339"/>
      <c r="J269" s="138"/>
      <c r="K269" s="98"/>
      <c r="L269" s="99"/>
    </row>
    <row r="270" hidden="1" outlineLevel="2">
      <c r="A270" s="132">
        <v>9.620000000000001</v>
      </c>
      <c r="B270" s="86" t="s">
        <v>662</v>
      </c>
      <c r="C270" s="325"/>
      <c r="D270" s="326"/>
      <c r="E270" s="327">
        <v>162000.0</v>
      </c>
      <c r="F270" s="93">
        <v>162000.0</v>
      </c>
      <c r="G270" s="93">
        <f t="shared" si="33"/>
        <v>0</v>
      </c>
      <c r="H270" s="339"/>
      <c r="I270" s="339"/>
      <c r="J270" s="138"/>
      <c r="K270" s="98"/>
      <c r="L270" s="99"/>
    </row>
    <row r="271" hidden="1" outlineLevel="2">
      <c r="A271" s="132">
        <v>9.63</v>
      </c>
      <c r="B271" s="86" t="s">
        <v>663</v>
      </c>
      <c r="C271" s="325"/>
      <c r="D271" s="326"/>
      <c r="E271" s="327">
        <v>168000.0</v>
      </c>
      <c r="F271" s="93">
        <v>168000.0</v>
      </c>
      <c r="G271" s="93">
        <f t="shared" si="33"/>
        <v>0</v>
      </c>
      <c r="H271" s="339"/>
      <c r="I271" s="339"/>
      <c r="J271" s="138"/>
      <c r="K271" s="98"/>
      <c r="L271" s="99"/>
    </row>
    <row r="272" hidden="1" outlineLevel="2">
      <c r="A272" s="132">
        <v>9.64</v>
      </c>
      <c r="B272" s="86" t="s">
        <v>664</v>
      </c>
      <c r="C272" s="325"/>
      <c r="D272" s="326"/>
      <c r="E272" s="327">
        <v>209000.0</v>
      </c>
      <c r="F272" s="93">
        <v>209000.0</v>
      </c>
      <c r="G272" s="93">
        <f t="shared" si="33"/>
        <v>0</v>
      </c>
      <c r="H272" s="339"/>
      <c r="I272" s="339"/>
      <c r="J272" s="138"/>
      <c r="K272" s="98"/>
      <c r="L272" s="99"/>
    </row>
    <row r="273" hidden="1" outlineLevel="2">
      <c r="A273" s="132">
        <v>9.65</v>
      </c>
      <c r="B273" s="86" t="s">
        <v>665</v>
      </c>
      <c r="C273" s="325"/>
      <c r="D273" s="326"/>
      <c r="E273" s="327">
        <v>201000.0</v>
      </c>
      <c r="F273" s="93">
        <v>201000.0</v>
      </c>
      <c r="G273" s="93">
        <f t="shared" si="33"/>
        <v>0</v>
      </c>
      <c r="H273" s="339"/>
      <c r="I273" s="339"/>
      <c r="J273" s="138"/>
      <c r="K273" s="98"/>
      <c r="L273" s="99"/>
    </row>
    <row r="274" hidden="1" outlineLevel="2">
      <c r="A274" s="132">
        <v>9.66</v>
      </c>
      <c r="B274" s="86" t="s">
        <v>666</v>
      </c>
      <c r="C274" s="325"/>
      <c r="D274" s="326"/>
      <c r="E274" s="327">
        <v>186000.0</v>
      </c>
      <c r="F274" s="93">
        <v>186000.0</v>
      </c>
      <c r="G274" s="93">
        <f t="shared" si="33"/>
        <v>0</v>
      </c>
      <c r="H274" s="357"/>
      <c r="I274" s="357"/>
      <c r="J274" s="202"/>
      <c r="K274" s="115" t="s">
        <v>616</v>
      </c>
      <c r="L274" s="99"/>
    </row>
    <row r="275" hidden="1" outlineLevel="2">
      <c r="A275" s="132">
        <v>9.67</v>
      </c>
      <c r="B275" s="86" t="s">
        <v>667</v>
      </c>
      <c r="C275" s="325"/>
      <c r="D275" s="326"/>
      <c r="E275" s="327">
        <v>186000.0</v>
      </c>
      <c r="F275" s="93">
        <v>186000.0</v>
      </c>
      <c r="G275" s="93">
        <f t="shared" si="33"/>
        <v>0</v>
      </c>
      <c r="H275" s="339"/>
      <c r="I275" s="339"/>
      <c r="J275" s="138"/>
      <c r="K275" s="98"/>
      <c r="L275" s="99"/>
    </row>
    <row r="276" hidden="1" outlineLevel="2">
      <c r="A276" s="132">
        <v>9.68</v>
      </c>
      <c r="B276" s="86" t="s">
        <v>668</v>
      </c>
      <c r="C276" s="325"/>
      <c r="D276" s="326"/>
      <c r="E276" s="327">
        <v>186000.0</v>
      </c>
      <c r="F276" s="93">
        <v>186000.0</v>
      </c>
      <c r="G276" s="93">
        <f t="shared" si="33"/>
        <v>0</v>
      </c>
      <c r="H276" s="339"/>
      <c r="I276" s="339"/>
      <c r="J276" s="138"/>
      <c r="K276" s="98"/>
      <c r="L276" s="99"/>
    </row>
    <row r="277" hidden="1" outlineLevel="2">
      <c r="A277" s="132">
        <v>9.69</v>
      </c>
      <c r="B277" s="86" t="s">
        <v>669</v>
      </c>
      <c r="C277" s="325"/>
      <c r="D277" s="326"/>
      <c r="E277" s="327">
        <v>186000.0</v>
      </c>
      <c r="F277" s="93">
        <v>186000.0</v>
      </c>
      <c r="G277" s="93">
        <f t="shared" si="33"/>
        <v>0</v>
      </c>
      <c r="H277" s="339"/>
      <c r="I277" s="339"/>
      <c r="J277" s="138"/>
      <c r="K277" s="98"/>
      <c r="L277" s="99"/>
    </row>
    <row r="278" hidden="1" outlineLevel="2">
      <c r="A278" s="332" t="s">
        <v>670</v>
      </c>
      <c r="B278" s="86" t="s">
        <v>671</v>
      </c>
      <c r="C278" s="325"/>
      <c r="D278" s="326"/>
      <c r="E278" s="327">
        <v>202000.0</v>
      </c>
      <c r="F278" s="93">
        <v>202000.0</v>
      </c>
      <c r="G278" s="93">
        <f t="shared" si="33"/>
        <v>0</v>
      </c>
      <c r="H278" s="339"/>
      <c r="I278" s="339"/>
      <c r="J278" s="138"/>
      <c r="K278" s="98"/>
      <c r="L278" s="99"/>
    </row>
    <row r="279" hidden="1" outlineLevel="2">
      <c r="A279" s="132">
        <v>9.71</v>
      </c>
      <c r="B279" s="86" t="s">
        <v>672</v>
      </c>
      <c r="C279" s="325"/>
      <c r="D279" s="326"/>
      <c r="E279" s="327">
        <v>215000.0</v>
      </c>
      <c r="F279" s="93">
        <v>215000.0</v>
      </c>
      <c r="G279" s="93">
        <f t="shared" si="33"/>
        <v>0</v>
      </c>
      <c r="H279" s="339"/>
      <c r="I279" s="339"/>
      <c r="J279" s="138"/>
      <c r="K279" s="98"/>
      <c r="L279" s="99"/>
    </row>
    <row r="280" hidden="1" outlineLevel="2">
      <c r="A280" s="132">
        <v>9.72</v>
      </c>
      <c r="B280" s="86" t="s">
        <v>673</v>
      </c>
      <c r="C280" s="325"/>
      <c r="D280" s="326"/>
      <c r="E280" s="327">
        <v>213000.0</v>
      </c>
      <c r="F280" s="93">
        <v>213000.0</v>
      </c>
      <c r="G280" s="93">
        <f t="shared" si="33"/>
        <v>0</v>
      </c>
      <c r="H280" s="339"/>
      <c r="I280" s="339"/>
      <c r="J280" s="138"/>
      <c r="K280" s="98"/>
      <c r="L280" s="99"/>
    </row>
    <row r="281" hidden="1" outlineLevel="2">
      <c r="A281" s="132">
        <v>9.73</v>
      </c>
      <c r="B281" s="86" t="s">
        <v>674</v>
      </c>
      <c r="C281" s="325"/>
      <c r="D281" s="326"/>
      <c r="E281" s="327">
        <v>193000.0</v>
      </c>
      <c r="F281" s="93">
        <v>193000.0</v>
      </c>
      <c r="G281" s="93">
        <f t="shared" si="33"/>
        <v>0</v>
      </c>
      <c r="H281" s="339"/>
      <c r="I281" s="339"/>
      <c r="J281" s="138"/>
      <c r="K281" s="98"/>
      <c r="L281" s="99"/>
    </row>
    <row r="282" hidden="1" outlineLevel="2">
      <c r="A282" s="132">
        <v>9.74</v>
      </c>
      <c r="B282" s="86" t="s">
        <v>675</v>
      </c>
      <c r="C282" s="325"/>
      <c r="D282" s="326"/>
      <c r="E282" s="327">
        <v>187000.0</v>
      </c>
      <c r="F282" s="93">
        <v>187000.0</v>
      </c>
      <c r="G282" s="93">
        <f t="shared" si="33"/>
        <v>0</v>
      </c>
      <c r="H282" s="339"/>
      <c r="I282" s="339"/>
      <c r="J282" s="138"/>
      <c r="K282" s="98"/>
      <c r="L282" s="99"/>
    </row>
    <row r="283" hidden="1" outlineLevel="2">
      <c r="A283" s="132">
        <v>9.75</v>
      </c>
      <c r="B283" s="86" t="s">
        <v>676</v>
      </c>
      <c r="C283" s="325"/>
      <c r="D283" s="326"/>
      <c r="E283" s="327">
        <v>211000.0</v>
      </c>
      <c r="F283" s="93">
        <v>211000.0</v>
      </c>
      <c r="G283" s="93">
        <f t="shared" si="33"/>
        <v>0</v>
      </c>
      <c r="H283" s="339"/>
      <c r="I283" s="339"/>
      <c r="J283" s="138"/>
      <c r="K283" s="98"/>
      <c r="L283" s="99"/>
    </row>
    <row r="284" hidden="1" outlineLevel="2">
      <c r="A284" s="132">
        <v>9.76</v>
      </c>
      <c r="B284" s="86" t="s">
        <v>677</v>
      </c>
      <c r="C284" s="325"/>
      <c r="D284" s="326"/>
      <c r="E284" s="327">
        <v>203000.0</v>
      </c>
      <c r="F284" s="93">
        <v>203000.0</v>
      </c>
      <c r="G284" s="93">
        <f t="shared" si="33"/>
        <v>0</v>
      </c>
      <c r="H284" s="339"/>
      <c r="I284" s="339"/>
      <c r="J284" s="138"/>
      <c r="K284" s="98"/>
      <c r="L284" s="99"/>
    </row>
    <row r="285" hidden="1" outlineLevel="2">
      <c r="A285" s="132">
        <v>9.77</v>
      </c>
      <c r="B285" s="86" t="s">
        <v>678</v>
      </c>
      <c r="C285" s="325"/>
      <c r="D285" s="326"/>
      <c r="E285" s="327">
        <v>188000.0</v>
      </c>
      <c r="F285" s="93">
        <v>188000.0</v>
      </c>
      <c r="G285" s="93">
        <f t="shared" si="33"/>
        <v>0</v>
      </c>
      <c r="H285" s="357"/>
      <c r="I285" s="357"/>
      <c r="J285" s="202"/>
      <c r="K285" s="115" t="s">
        <v>616</v>
      </c>
      <c r="L285" s="99"/>
    </row>
    <row r="286" hidden="1" outlineLevel="2">
      <c r="A286" s="132">
        <v>9.78</v>
      </c>
      <c r="B286" s="86" t="s">
        <v>679</v>
      </c>
      <c r="C286" s="325"/>
      <c r="D286" s="326"/>
      <c r="E286" s="327">
        <v>188000.0</v>
      </c>
      <c r="F286" s="93">
        <v>188000.0</v>
      </c>
      <c r="G286" s="93">
        <f t="shared" si="33"/>
        <v>0</v>
      </c>
      <c r="H286" s="357"/>
      <c r="I286" s="357"/>
      <c r="J286" s="202"/>
      <c r="K286" s="115" t="s">
        <v>616</v>
      </c>
      <c r="L286" s="99"/>
    </row>
    <row r="287" hidden="1" outlineLevel="2">
      <c r="A287" s="132">
        <v>9.79</v>
      </c>
      <c r="B287" s="86" t="s">
        <v>680</v>
      </c>
      <c r="C287" s="325"/>
      <c r="D287" s="326"/>
      <c r="E287" s="327">
        <v>188000.0</v>
      </c>
      <c r="F287" s="93">
        <v>188000.0</v>
      </c>
      <c r="G287" s="93">
        <f t="shared" si="33"/>
        <v>0</v>
      </c>
      <c r="H287" s="339"/>
      <c r="I287" s="339"/>
      <c r="J287" s="138"/>
      <c r="K287" s="98"/>
      <c r="L287" s="99"/>
    </row>
    <row r="288" hidden="1" outlineLevel="2">
      <c r="A288" s="332" t="s">
        <v>681</v>
      </c>
      <c r="B288" s="86" t="s">
        <v>682</v>
      </c>
      <c r="C288" s="325"/>
      <c r="D288" s="326"/>
      <c r="E288" s="327">
        <v>188000.0</v>
      </c>
      <c r="F288" s="93">
        <v>188000.0</v>
      </c>
      <c r="G288" s="93">
        <f t="shared" si="33"/>
        <v>0</v>
      </c>
      <c r="H288" s="339"/>
      <c r="I288" s="339"/>
      <c r="J288" s="138"/>
      <c r="K288" s="98"/>
      <c r="L288" s="99"/>
    </row>
    <row r="289" hidden="1" outlineLevel="2">
      <c r="A289" s="132">
        <v>9.810000000000002</v>
      </c>
      <c r="B289" s="86" t="s">
        <v>683</v>
      </c>
      <c r="C289" s="325"/>
      <c r="D289" s="326"/>
      <c r="E289" s="327">
        <v>187000.0</v>
      </c>
      <c r="F289" s="93">
        <v>187000.0</v>
      </c>
      <c r="G289" s="93">
        <f t="shared" si="33"/>
        <v>0</v>
      </c>
      <c r="H289" s="339"/>
      <c r="I289" s="339"/>
      <c r="J289" s="138"/>
      <c r="K289" s="98"/>
      <c r="L289" s="99"/>
    </row>
    <row r="290" hidden="1" outlineLevel="2">
      <c r="A290" s="132">
        <v>9.820000000000002</v>
      </c>
      <c r="B290" s="86" t="s">
        <v>684</v>
      </c>
      <c r="C290" s="325"/>
      <c r="D290" s="326"/>
      <c r="E290" s="327">
        <v>187000.0</v>
      </c>
      <c r="F290" s="93">
        <v>187000.0</v>
      </c>
      <c r="G290" s="93">
        <f t="shared" si="33"/>
        <v>0</v>
      </c>
      <c r="H290" s="339"/>
      <c r="I290" s="339"/>
      <c r="J290" s="138"/>
      <c r="K290" s="98"/>
      <c r="L290" s="99"/>
    </row>
    <row r="291" hidden="1" outlineLevel="2">
      <c r="A291" s="132">
        <v>9.830000000000002</v>
      </c>
      <c r="B291" s="86" t="s">
        <v>685</v>
      </c>
      <c r="C291" s="325"/>
      <c r="D291" s="326"/>
      <c r="E291" s="327">
        <v>215000.0</v>
      </c>
      <c r="F291" s="93">
        <v>215000.0</v>
      </c>
      <c r="G291" s="93">
        <f t="shared" si="33"/>
        <v>0</v>
      </c>
      <c r="H291" s="339"/>
      <c r="I291" s="339"/>
      <c r="J291" s="138"/>
      <c r="K291" s="98"/>
      <c r="L291" s="99"/>
    </row>
    <row r="292" hidden="1" outlineLevel="2">
      <c r="A292" s="132">
        <v>9.840000000000002</v>
      </c>
      <c r="B292" s="86" t="s">
        <v>686</v>
      </c>
      <c r="C292" s="325"/>
      <c r="D292" s="326"/>
      <c r="E292" s="327">
        <v>212000.0</v>
      </c>
      <c r="F292" s="93">
        <v>212000.0</v>
      </c>
      <c r="G292" s="93">
        <f t="shared" si="33"/>
        <v>0</v>
      </c>
      <c r="H292" s="339"/>
      <c r="I292" s="339"/>
      <c r="J292" s="138"/>
      <c r="K292" s="98"/>
      <c r="L292" s="99"/>
    </row>
    <row r="293" hidden="1" outlineLevel="2">
      <c r="A293" s="132">
        <v>9.850000000000001</v>
      </c>
      <c r="B293" s="86" t="s">
        <v>687</v>
      </c>
      <c r="C293" s="325"/>
      <c r="D293" s="326"/>
      <c r="E293" s="327">
        <v>198000.0</v>
      </c>
      <c r="F293" s="93">
        <v>198000.0</v>
      </c>
      <c r="G293" s="93">
        <f t="shared" si="33"/>
        <v>0</v>
      </c>
      <c r="H293" s="339"/>
      <c r="I293" s="339"/>
      <c r="J293" s="138"/>
      <c r="K293" s="98"/>
      <c r="L293" s="99"/>
    </row>
    <row r="294" hidden="1" outlineLevel="2">
      <c r="A294" s="132">
        <v>9.860000000000001</v>
      </c>
      <c r="B294" s="86" t="s">
        <v>688</v>
      </c>
      <c r="C294" s="325"/>
      <c r="D294" s="326"/>
      <c r="E294" s="327">
        <v>199000.0</v>
      </c>
      <c r="F294" s="93">
        <v>199000.0</v>
      </c>
      <c r="G294" s="93">
        <f t="shared" si="33"/>
        <v>0</v>
      </c>
      <c r="H294" s="339"/>
      <c r="I294" s="339"/>
      <c r="J294" s="138"/>
      <c r="K294" s="98"/>
      <c r="L294" s="99"/>
    </row>
    <row r="295" hidden="1" outlineLevel="2">
      <c r="A295" s="132">
        <v>9.870000000000001</v>
      </c>
      <c r="B295" s="86" t="s">
        <v>689</v>
      </c>
      <c r="C295" s="325"/>
      <c r="D295" s="326"/>
      <c r="E295" s="327">
        <v>220000.0</v>
      </c>
      <c r="F295" s="93">
        <v>220000.0</v>
      </c>
      <c r="G295" s="93">
        <f t="shared" si="33"/>
        <v>0</v>
      </c>
      <c r="H295" s="339"/>
      <c r="I295" s="339"/>
      <c r="J295" s="138"/>
      <c r="K295" s="98"/>
      <c r="L295" s="99"/>
    </row>
    <row r="296" hidden="1" outlineLevel="2">
      <c r="A296" s="132">
        <v>9.88</v>
      </c>
      <c r="B296" s="86" t="s">
        <v>690</v>
      </c>
      <c r="C296" s="325"/>
      <c r="D296" s="326"/>
      <c r="E296" s="327">
        <v>221000.0</v>
      </c>
      <c r="F296" s="93">
        <v>221000.0</v>
      </c>
      <c r="G296" s="93">
        <f t="shared" si="33"/>
        <v>0</v>
      </c>
      <c r="H296" s="357"/>
      <c r="I296" s="357"/>
      <c r="J296" s="202"/>
      <c r="K296" s="115" t="s">
        <v>633</v>
      </c>
      <c r="L296" s="99"/>
    </row>
    <row r="297" hidden="1" outlineLevel="2">
      <c r="A297" s="132">
        <v>9.89</v>
      </c>
      <c r="B297" s="86" t="s">
        <v>691</v>
      </c>
      <c r="C297" s="325"/>
      <c r="D297" s="326"/>
      <c r="E297" s="327">
        <v>223000.0</v>
      </c>
      <c r="F297" s="93">
        <v>223000.0</v>
      </c>
      <c r="G297" s="93">
        <f t="shared" si="33"/>
        <v>0</v>
      </c>
      <c r="H297" s="357"/>
      <c r="I297" s="357"/>
      <c r="J297" s="202"/>
      <c r="K297" s="115" t="s">
        <v>616</v>
      </c>
      <c r="L297" s="99"/>
    </row>
    <row r="298" hidden="1" outlineLevel="2">
      <c r="A298" s="332" t="s">
        <v>692</v>
      </c>
      <c r="B298" s="86" t="s">
        <v>693</v>
      </c>
      <c r="C298" s="325"/>
      <c r="D298" s="326"/>
      <c r="E298" s="327">
        <v>227000.0</v>
      </c>
      <c r="F298" s="93">
        <v>227000.0</v>
      </c>
      <c r="G298" s="93">
        <f t="shared" si="33"/>
        <v>0</v>
      </c>
      <c r="H298" s="357"/>
      <c r="I298" s="357"/>
      <c r="J298" s="202"/>
      <c r="K298" s="115" t="s">
        <v>616</v>
      </c>
      <c r="L298" s="99"/>
    </row>
    <row r="299" hidden="1" outlineLevel="2">
      <c r="A299" s="132">
        <v>9.910000000000002</v>
      </c>
      <c r="B299" s="86" t="s">
        <v>694</v>
      </c>
      <c r="C299" s="325"/>
      <c r="D299" s="326"/>
      <c r="E299" s="327">
        <v>233000.0</v>
      </c>
      <c r="F299" s="93">
        <v>233000.0</v>
      </c>
      <c r="G299" s="93">
        <f t="shared" si="33"/>
        <v>0</v>
      </c>
      <c r="H299" s="339"/>
      <c r="I299" s="339"/>
      <c r="J299" s="138"/>
      <c r="K299" s="98"/>
      <c r="L299" s="99"/>
    </row>
    <row r="300" hidden="1" outlineLevel="2">
      <c r="A300" s="132">
        <v>9.920000000000002</v>
      </c>
      <c r="B300" s="86" t="s">
        <v>701</v>
      </c>
      <c r="C300" s="325"/>
      <c r="D300" s="326"/>
      <c r="E300" s="327">
        <v>221000.0</v>
      </c>
      <c r="F300" s="93">
        <v>221000.0</v>
      </c>
      <c r="G300" s="93">
        <f t="shared" si="33"/>
        <v>0</v>
      </c>
      <c r="H300" s="339"/>
      <c r="I300" s="339"/>
      <c r="J300" s="138"/>
      <c r="K300" s="98"/>
      <c r="L300" s="99"/>
    </row>
    <row r="301" hidden="1" outlineLevel="2">
      <c r="A301" s="132">
        <v>9.930000000000001</v>
      </c>
      <c r="B301" s="86" t="s">
        <v>703</v>
      </c>
      <c r="C301" s="325"/>
      <c r="D301" s="326"/>
      <c r="E301" s="327">
        <v>175000.0</v>
      </c>
      <c r="F301" s="93">
        <v>175000.0</v>
      </c>
      <c r="G301" s="93">
        <f t="shared" si="33"/>
        <v>0</v>
      </c>
      <c r="H301" s="339"/>
      <c r="I301" s="339"/>
      <c r="J301" s="138"/>
      <c r="K301" s="98"/>
      <c r="L301" s="99"/>
    </row>
    <row r="302" hidden="1" outlineLevel="2">
      <c r="A302" s="132">
        <v>9.940000000000001</v>
      </c>
      <c r="B302" s="86" t="s">
        <v>704</v>
      </c>
      <c r="C302" s="325"/>
      <c r="D302" s="326"/>
      <c r="E302" s="327">
        <v>211000.0</v>
      </c>
      <c r="F302" s="93">
        <v>211000.0</v>
      </c>
      <c r="G302" s="93">
        <f t="shared" si="33"/>
        <v>0</v>
      </c>
      <c r="H302" s="339"/>
      <c r="I302" s="339"/>
      <c r="J302" s="138"/>
      <c r="K302" s="98"/>
      <c r="L302" s="99"/>
    </row>
    <row r="303" hidden="1" outlineLevel="2">
      <c r="A303" s="132">
        <v>9.950000000000001</v>
      </c>
      <c r="B303" s="86" t="s">
        <v>705</v>
      </c>
      <c r="C303" s="325"/>
      <c r="D303" s="326"/>
      <c r="E303" s="327">
        <v>270000.0</v>
      </c>
      <c r="F303" s="93">
        <v>270000.0</v>
      </c>
      <c r="G303" s="93">
        <f t="shared" si="33"/>
        <v>0</v>
      </c>
      <c r="H303" s="339"/>
      <c r="I303" s="339"/>
      <c r="J303" s="138"/>
      <c r="K303" s="98"/>
      <c r="L303" s="99"/>
    </row>
    <row r="304" hidden="1" outlineLevel="2">
      <c r="A304" s="132">
        <v>9.96</v>
      </c>
      <c r="B304" s="86" t="s">
        <v>706</v>
      </c>
      <c r="C304" s="325"/>
      <c r="D304" s="326"/>
      <c r="E304" s="327">
        <v>239000.0</v>
      </c>
      <c r="F304" s="93">
        <v>239000.0</v>
      </c>
      <c r="G304" s="93">
        <f t="shared" si="33"/>
        <v>0</v>
      </c>
      <c r="H304" s="339"/>
      <c r="I304" s="339"/>
      <c r="J304" s="138"/>
      <c r="K304" s="98"/>
      <c r="L304" s="99"/>
    </row>
    <row r="305" hidden="1" outlineLevel="2">
      <c r="A305" s="132">
        <v>9.97</v>
      </c>
      <c r="B305" s="86" t="s">
        <v>707</v>
      </c>
      <c r="C305" s="325"/>
      <c r="D305" s="326"/>
      <c r="E305" s="327">
        <v>214000.0</v>
      </c>
      <c r="F305" s="93">
        <v>214000.0</v>
      </c>
      <c r="G305" s="93">
        <f t="shared" si="33"/>
        <v>0</v>
      </c>
      <c r="H305" s="339"/>
      <c r="I305" s="339"/>
      <c r="J305" s="138"/>
      <c r="K305" s="98"/>
      <c r="L305" s="99"/>
    </row>
    <row r="306" hidden="1" outlineLevel="2">
      <c r="A306" s="132">
        <v>9.98</v>
      </c>
      <c r="B306" s="86" t="s">
        <v>708</v>
      </c>
      <c r="C306" s="325"/>
      <c r="D306" s="326"/>
      <c r="E306" s="327">
        <v>200000.0</v>
      </c>
      <c r="F306" s="93">
        <v>200000.0</v>
      </c>
      <c r="G306" s="93">
        <f t="shared" si="33"/>
        <v>0</v>
      </c>
      <c r="H306" s="357"/>
      <c r="I306" s="357"/>
      <c r="J306" s="202"/>
      <c r="K306" s="115" t="s">
        <v>616</v>
      </c>
      <c r="L306" s="99"/>
    </row>
    <row r="307" hidden="1" outlineLevel="2">
      <c r="A307" s="132">
        <v>9.99</v>
      </c>
      <c r="B307" s="86" t="s">
        <v>709</v>
      </c>
      <c r="C307" s="325"/>
      <c r="D307" s="326"/>
      <c r="E307" s="327">
        <v>199000.0</v>
      </c>
      <c r="F307" s="93">
        <v>199000.0</v>
      </c>
      <c r="G307" s="93">
        <f t="shared" si="33"/>
        <v>0</v>
      </c>
      <c r="H307" s="357"/>
      <c r="I307" s="357"/>
      <c r="J307" s="202"/>
      <c r="K307" s="115" t="s">
        <v>616</v>
      </c>
      <c r="L307" s="99"/>
    </row>
    <row r="308" hidden="1" outlineLevel="2">
      <c r="A308" s="332" t="s">
        <v>711</v>
      </c>
      <c r="B308" s="86" t="s">
        <v>712</v>
      </c>
      <c r="C308" s="325"/>
      <c r="D308" s="326"/>
      <c r="E308" s="327">
        <v>201000.0</v>
      </c>
      <c r="F308" s="93">
        <v>201000.0</v>
      </c>
      <c r="G308" s="93">
        <f t="shared" si="33"/>
        <v>0</v>
      </c>
      <c r="H308" s="357"/>
      <c r="I308" s="357"/>
      <c r="J308" s="202"/>
      <c r="K308" s="115" t="s">
        <v>616</v>
      </c>
      <c r="L308" s="99"/>
    </row>
    <row r="309" hidden="1" outlineLevel="2">
      <c r="A309" s="332" t="s">
        <v>713</v>
      </c>
      <c r="B309" s="86" t="s">
        <v>714</v>
      </c>
      <c r="C309" s="325"/>
      <c r="D309" s="326"/>
      <c r="E309" s="327">
        <v>221000.0</v>
      </c>
      <c r="F309" s="93">
        <v>221000.0</v>
      </c>
      <c r="G309" s="93">
        <f t="shared" si="33"/>
        <v>0</v>
      </c>
      <c r="H309" s="339"/>
      <c r="I309" s="339"/>
      <c r="J309" s="138"/>
      <c r="K309" s="98"/>
      <c r="L309" s="99"/>
    </row>
    <row r="310" hidden="1" outlineLevel="2">
      <c r="A310" s="332" t="s">
        <v>715</v>
      </c>
      <c r="B310" s="86" t="s">
        <v>716</v>
      </c>
      <c r="C310" s="325"/>
      <c r="D310" s="326"/>
      <c r="E310" s="327">
        <v>235000.0</v>
      </c>
      <c r="F310" s="93">
        <v>235000.0</v>
      </c>
      <c r="G310" s="93">
        <f t="shared" si="33"/>
        <v>0</v>
      </c>
      <c r="H310" s="339"/>
      <c r="I310" s="339"/>
      <c r="J310" s="138"/>
      <c r="K310" s="98"/>
      <c r="L310" s="99"/>
    </row>
    <row r="311" hidden="1" outlineLevel="2">
      <c r="A311" s="132" t="s">
        <v>481</v>
      </c>
      <c r="B311" s="86" t="s">
        <v>717</v>
      </c>
      <c r="C311" s="325"/>
      <c r="D311" s="326"/>
      <c r="E311" s="327">
        <v>0.0</v>
      </c>
      <c r="F311" s="93"/>
      <c r="G311" s="93"/>
      <c r="H311" s="357"/>
      <c r="I311" s="357"/>
      <c r="J311" s="202"/>
      <c r="K311" s="115" t="s">
        <v>718</v>
      </c>
      <c r="L311" s="99"/>
    </row>
    <row r="312" hidden="1" outlineLevel="2">
      <c r="A312" s="132" t="s">
        <v>481</v>
      </c>
      <c r="B312" s="86" t="s">
        <v>719</v>
      </c>
      <c r="C312" s="325"/>
      <c r="D312" s="326"/>
      <c r="E312" s="327">
        <v>0.0</v>
      </c>
      <c r="F312" s="93"/>
      <c r="G312" s="93"/>
      <c r="H312" s="357"/>
      <c r="I312" s="357"/>
      <c r="J312" s="202"/>
      <c r="K312" s="115" t="s">
        <v>718</v>
      </c>
      <c r="L312" s="99"/>
    </row>
    <row r="313" hidden="1" outlineLevel="2">
      <c r="A313" s="132" t="s">
        <v>481</v>
      </c>
      <c r="B313" s="86" t="s">
        <v>720</v>
      </c>
      <c r="C313" s="325"/>
      <c r="D313" s="326"/>
      <c r="E313" s="327">
        <v>0.0</v>
      </c>
      <c r="F313" s="93"/>
      <c r="G313" s="93"/>
      <c r="H313" s="357"/>
      <c r="I313" s="357"/>
      <c r="J313" s="202"/>
      <c r="K313" s="115" t="s">
        <v>718</v>
      </c>
      <c r="L313" s="99"/>
    </row>
    <row r="314" hidden="1" outlineLevel="2">
      <c r="A314" s="132" t="s">
        <v>481</v>
      </c>
      <c r="B314" s="86" t="s">
        <v>721</v>
      </c>
      <c r="C314" s="325"/>
      <c r="D314" s="326"/>
      <c r="E314" s="327">
        <v>0.0</v>
      </c>
      <c r="F314" s="93"/>
      <c r="G314" s="93"/>
      <c r="H314" s="357"/>
      <c r="I314" s="357"/>
      <c r="J314" s="202"/>
      <c r="K314" s="115" t="s">
        <v>718</v>
      </c>
      <c r="L314" s="99"/>
    </row>
    <row r="315" hidden="1" outlineLevel="2">
      <c r="A315" s="132"/>
      <c r="B315" s="133"/>
      <c r="C315" s="325"/>
      <c r="D315" s="326"/>
      <c r="E315" s="340"/>
      <c r="F315" s="341"/>
      <c r="G315" s="341"/>
      <c r="H315" s="137"/>
      <c r="I315" s="137"/>
      <c r="J315" s="138"/>
      <c r="K315" s="98"/>
      <c r="L315" s="99"/>
    </row>
    <row r="316" hidden="1" outlineLevel="1">
      <c r="A316" s="342">
        <v>10.0</v>
      </c>
      <c r="B316" s="343" t="s">
        <v>722</v>
      </c>
      <c r="C316" s="344">
        <f>550000+450000+37*230000</f>
        <v>9510000</v>
      </c>
      <c r="D316" s="300">
        <f>C317*J317</f>
        <v>13819838.71</v>
      </c>
      <c r="E316" s="300">
        <f t="shared" ref="E316:F316" si="34">SUM(E318:E348)</f>
        <v>10985000</v>
      </c>
      <c r="F316" s="345">
        <f t="shared" si="34"/>
        <v>10985000</v>
      </c>
      <c r="G316" s="345">
        <f>F316-E316</f>
        <v>0</v>
      </c>
      <c r="H316" s="350"/>
      <c r="I316" s="350"/>
      <c r="J316" s="347">
        <f>E316-D316</f>
        <v>-2834838.71</v>
      </c>
      <c r="K316" s="348"/>
      <c r="L316" s="349"/>
    </row>
    <row r="317" hidden="1" outlineLevel="1" collapsed="1">
      <c r="A317" s="307"/>
      <c r="B317" s="308" t="s">
        <v>723</v>
      </c>
      <c r="C317" s="309">
        <v>39.0</v>
      </c>
      <c r="D317" s="316">
        <f>(D316/C316)-1</f>
        <v>0.4531901903</v>
      </c>
      <c r="E317" s="317">
        <f>COUNT(E318:E348)</f>
        <v>31</v>
      </c>
      <c r="F317" s="317"/>
      <c r="G317" s="317"/>
      <c r="H317" s="318"/>
      <c r="I317" s="318"/>
      <c r="J317" s="319">
        <f>E316/E317</f>
        <v>354354.8387</v>
      </c>
      <c r="K317" s="320"/>
      <c r="L317" s="322"/>
    </row>
    <row r="318" hidden="1" outlineLevel="2">
      <c r="A318" s="132">
        <v>10.1</v>
      </c>
      <c r="B318" s="86" t="s">
        <v>724</v>
      </c>
      <c r="C318" s="325"/>
      <c r="D318" s="326"/>
      <c r="E318" s="327">
        <v>273000.0</v>
      </c>
      <c r="F318" s="93">
        <v>273000.0</v>
      </c>
      <c r="G318" s="93">
        <f t="shared" ref="G318:G348" si="35">F318-E318</f>
        <v>0</v>
      </c>
      <c r="H318" s="339"/>
      <c r="I318" s="339"/>
      <c r="J318" s="138"/>
      <c r="K318" s="98"/>
      <c r="L318" s="99"/>
    </row>
    <row r="319" hidden="1" outlineLevel="2">
      <c r="A319" s="132">
        <v>10.2</v>
      </c>
      <c r="B319" s="86" t="s">
        <v>725</v>
      </c>
      <c r="C319" s="325"/>
      <c r="D319" s="326"/>
      <c r="E319" s="327">
        <v>273000.0</v>
      </c>
      <c r="F319" s="93">
        <v>273000.0</v>
      </c>
      <c r="G319" s="93">
        <f t="shared" si="35"/>
        <v>0</v>
      </c>
      <c r="H319" s="339"/>
      <c r="I319" s="339"/>
      <c r="J319" s="138"/>
      <c r="K319" s="98"/>
      <c r="L319" s="99"/>
    </row>
    <row r="320" hidden="1" outlineLevel="2">
      <c r="A320" s="132">
        <v>10.3</v>
      </c>
      <c r="B320" s="86" t="s">
        <v>726</v>
      </c>
      <c r="C320" s="325"/>
      <c r="D320" s="326"/>
      <c r="E320" s="327">
        <v>273000.0</v>
      </c>
      <c r="F320" s="93">
        <v>273000.0</v>
      </c>
      <c r="G320" s="93">
        <f t="shared" si="35"/>
        <v>0</v>
      </c>
      <c r="H320" s="339"/>
      <c r="I320" s="339"/>
      <c r="J320" s="138"/>
      <c r="K320" s="98"/>
      <c r="L320" s="99"/>
    </row>
    <row r="321" hidden="1" outlineLevel="2">
      <c r="A321" s="132">
        <v>10.4</v>
      </c>
      <c r="B321" s="86" t="s">
        <v>727</v>
      </c>
      <c r="C321" s="325"/>
      <c r="D321" s="326"/>
      <c r="E321" s="327">
        <v>273000.0</v>
      </c>
      <c r="F321" s="93">
        <v>273000.0</v>
      </c>
      <c r="G321" s="93">
        <f t="shared" si="35"/>
        <v>0</v>
      </c>
      <c r="H321" s="339"/>
      <c r="I321" s="339"/>
      <c r="J321" s="138"/>
      <c r="K321" s="98"/>
      <c r="L321" s="99"/>
    </row>
    <row r="322" hidden="1" outlineLevel="2">
      <c r="A322" s="132">
        <v>10.5</v>
      </c>
      <c r="B322" s="86" t="s">
        <v>728</v>
      </c>
      <c r="C322" s="325"/>
      <c r="D322" s="326"/>
      <c r="E322" s="327">
        <v>283000.0</v>
      </c>
      <c r="F322" s="93">
        <v>283000.0</v>
      </c>
      <c r="G322" s="93">
        <f t="shared" si="35"/>
        <v>0</v>
      </c>
      <c r="H322" s="339"/>
      <c r="I322" s="339"/>
      <c r="J322" s="138"/>
      <c r="K322" s="98"/>
      <c r="L322" s="99"/>
    </row>
    <row r="323" hidden="1" outlineLevel="2">
      <c r="A323" s="132">
        <v>10.6</v>
      </c>
      <c r="B323" s="86" t="s">
        <v>729</v>
      </c>
      <c r="C323" s="325"/>
      <c r="D323" s="326"/>
      <c r="E323" s="327">
        <v>293000.0</v>
      </c>
      <c r="F323" s="93">
        <v>293000.0</v>
      </c>
      <c r="G323" s="93">
        <f t="shared" si="35"/>
        <v>0</v>
      </c>
      <c r="H323" s="339"/>
      <c r="I323" s="339"/>
      <c r="J323" s="138"/>
      <c r="K323" s="98"/>
      <c r="L323" s="99"/>
    </row>
    <row r="324" hidden="1" outlineLevel="2">
      <c r="A324" s="132">
        <v>10.7</v>
      </c>
      <c r="B324" s="86" t="s">
        <v>730</v>
      </c>
      <c r="C324" s="325"/>
      <c r="D324" s="326"/>
      <c r="E324" s="327">
        <v>274000.0</v>
      </c>
      <c r="F324" s="93">
        <v>274000.0</v>
      </c>
      <c r="G324" s="93">
        <f t="shared" si="35"/>
        <v>0</v>
      </c>
      <c r="H324" s="339"/>
      <c r="I324" s="339"/>
      <c r="J324" s="138"/>
      <c r="K324" s="98"/>
      <c r="L324" s="99"/>
    </row>
    <row r="325" hidden="1" outlineLevel="2">
      <c r="A325" s="132">
        <v>10.8</v>
      </c>
      <c r="B325" s="86" t="s">
        <v>731</v>
      </c>
      <c r="C325" s="325"/>
      <c r="D325" s="326"/>
      <c r="E325" s="327">
        <v>274000.0</v>
      </c>
      <c r="F325" s="93">
        <v>274000.0</v>
      </c>
      <c r="G325" s="93">
        <f t="shared" si="35"/>
        <v>0</v>
      </c>
      <c r="H325" s="339"/>
      <c r="I325" s="339"/>
      <c r="J325" s="138"/>
      <c r="K325" s="98"/>
      <c r="L325" s="99"/>
    </row>
    <row r="326" hidden="1" outlineLevel="2">
      <c r="A326" s="132">
        <v>10.9</v>
      </c>
      <c r="B326" s="86" t="s">
        <v>732</v>
      </c>
      <c r="C326" s="325"/>
      <c r="D326" s="326"/>
      <c r="E326" s="327">
        <v>274000.0</v>
      </c>
      <c r="F326" s="93">
        <v>274000.0</v>
      </c>
      <c r="G326" s="93">
        <f t="shared" si="35"/>
        <v>0</v>
      </c>
      <c r="H326" s="339"/>
      <c r="I326" s="339"/>
      <c r="J326" s="138"/>
      <c r="K326" s="98"/>
      <c r="L326" s="99"/>
    </row>
    <row r="327" hidden="1" outlineLevel="2">
      <c r="A327" s="332" t="s">
        <v>733</v>
      </c>
      <c r="B327" s="86" t="s">
        <v>734</v>
      </c>
      <c r="C327" s="325"/>
      <c r="D327" s="326"/>
      <c r="E327" s="327">
        <v>277000.0</v>
      </c>
      <c r="F327" s="93">
        <v>277000.0</v>
      </c>
      <c r="G327" s="93">
        <f t="shared" si="35"/>
        <v>0</v>
      </c>
      <c r="H327" s="339"/>
      <c r="I327" s="339"/>
      <c r="J327" s="138"/>
      <c r="K327" s="98"/>
      <c r="L327" s="99"/>
    </row>
    <row r="328" hidden="1" outlineLevel="2">
      <c r="A328" s="332" t="s">
        <v>735</v>
      </c>
      <c r="B328" s="86" t="s">
        <v>736</v>
      </c>
      <c r="C328" s="325"/>
      <c r="D328" s="326"/>
      <c r="E328" s="327">
        <v>293000.0</v>
      </c>
      <c r="F328" s="93">
        <v>293000.0</v>
      </c>
      <c r="G328" s="93">
        <f t="shared" si="35"/>
        <v>0</v>
      </c>
      <c r="H328" s="339"/>
      <c r="I328" s="339"/>
      <c r="J328" s="138"/>
      <c r="K328" s="98"/>
      <c r="L328" s="99"/>
    </row>
    <row r="329" hidden="1" outlineLevel="2">
      <c r="A329" s="132" t="s">
        <v>737</v>
      </c>
      <c r="B329" s="86" t="s">
        <v>738</v>
      </c>
      <c r="C329" s="325"/>
      <c r="D329" s="326"/>
      <c r="E329" s="327">
        <v>293000.0</v>
      </c>
      <c r="F329" s="93">
        <v>293000.0</v>
      </c>
      <c r="G329" s="93">
        <f t="shared" si="35"/>
        <v>0</v>
      </c>
      <c r="H329" s="339"/>
      <c r="I329" s="339"/>
      <c r="J329" s="138"/>
      <c r="K329" s="98"/>
      <c r="L329" s="99"/>
    </row>
    <row r="330" hidden="1" outlineLevel="2">
      <c r="A330" s="132" t="s">
        <v>739</v>
      </c>
      <c r="B330" s="86" t="s">
        <v>740</v>
      </c>
      <c r="C330" s="325"/>
      <c r="D330" s="326"/>
      <c r="E330" s="327">
        <v>291000.0</v>
      </c>
      <c r="F330" s="93">
        <v>291000.0</v>
      </c>
      <c r="G330" s="93">
        <f t="shared" si="35"/>
        <v>0</v>
      </c>
      <c r="H330" s="339"/>
      <c r="I330" s="339"/>
      <c r="J330" s="138"/>
      <c r="K330" s="98"/>
      <c r="L330" s="99"/>
    </row>
    <row r="331" hidden="1" outlineLevel="2">
      <c r="A331" s="132" t="s">
        <v>741</v>
      </c>
      <c r="B331" s="86" t="s">
        <v>742</v>
      </c>
      <c r="C331" s="325"/>
      <c r="D331" s="326"/>
      <c r="E331" s="327">
        <v>450000.0</v>
      </c>
      <c r="F331" s="93">
        <v>450000.0</v>
      </c>
      <c r="G331" s="93">
        <f t="shared" si="35"/>
        <v>0</v>
      </c>
      <c r="H331" s="339"/>
      <c r="I331" s="339"/>
      <c r="J331" s="138"/>
      <c r="K331" s="98"/>
      <c r="L331" s="99"/>
    </row>
    <row r="332" hidden="1" outlineLevel="2">
      <c r="A332" s="132" t="s">
        <v>743</v>
      </c>
      <c r="B332" s="86" t="s">
        <v>744</v>
      </c>
      <c r="C332" s="325"/>
      <c r="D332" s="326"/>
      <c r="E332" s="327">
        <v>438000.0</v>
      </c>
      <c r="F332" s="93">
        <v>438000.0</v>
      </c>
      <c r="G332" s="93">
        <f t="shared" si="35"/>
        <v>0</v>
      </c>
      <c r="H332" s="339"/>
      <c r="I332" s="339"/>
      <c r="J332" s="138"/>
      <c r="K332" s="98"/>
      <c r="L332" s="99"/>
    </row>
    <row r="333" hidden="1" outlineLevel="2">
      <c r="A333" s="132" t="s">
        <v>745</v>
      </c>
      <c r="B333" s="86" t="s">
        <v>746</v>
      </c>
      <c r="C333" s="325"/>
      <c r="D333" s="326"/>
      <c r="E333" s="327">
        <v>301000.0</v>
      </c>
      <c r="F333" s="93">
        <v>301000.0</v>
      </c>
      <c r="G333" s="93">
        <f t="shared" si="35"/>
        <v>0</v>
      </c>
      <c r="H333" s="339"/>
      <c r="I333" s="339"/>
      <c r="J333" s="138"/>
      <c r="K333" s="98"/>
      <c r="L333" s="99"/>
    </row>
    <row r="334" hidden="1" outlineLevel="2">
      <c r="A334" s="132" t="s">
        <v>747</v>
      </c>
      <c r="B334" s="86" t="s">
        <v>748</v>
      </c>
      <c r="C334" s="325"/>
      <c r="D334" s="326"/>
      <c r="E334" s="327">
        <v>301000.0</v>
      </c>
      <c r="F334" s="93">
        <v>301000.0</v>
      </c>
      <c r="G334" s="93">
        <f t="shared" si="35"/>
        <v>0</v>
      </c>
      <c r="H334" s="339"/>
      <c r="I334" s="339"/>
      <c r="J334" s="138"/>
      <c r="K334" s="98"/>
      <c r="L334" s="99"/>
    </row>
    <row r="335" hidden="1" outlineLevel="2">
      <c r="A335" s="132" t="s">
        <v>749</v>
      </c>
      <c r="B335" s="86" t="s">
        <v>750</v>
      </c>
      <c r="C335" s="325"/>
      <c r="D335" s="326"/>
      <c r="E335" s="327">
        <v>301000.0</v>
      </c>
      <c r="F335" s="93">
        <v>301000.0</v>
      </c>
      <c r="G335" s="93">
        <f t="shared" si="35"/>
        <v>0</v>
      </c>
      <c r="H335" s="339"/>
      <c r="I335" s="339"/>
      <c r="J335" s="138"/>
      <c r="K335" s="98"/>
      <c r="L335" s="99"/>
    </row>
    <row r="336" hidden="1" outlineLevel="2">
      <c r="A336" s="132" t="s">
        <v>751</v>
      </c>
      <c r="B336" s="86" t="s">
        <v>752</v>
      </c>
      <c r="C336" s="325"/>
      <c r="D336" s="326"/>
      <c r="E336" s="327">
        <v>398000.0</v>
      </c>
      <c r="F336" s="93">
        <v>398000.0</v>
      </c>
      <c r="G336" s="93">
        <f t="shared" si="35"/>
        <v>0</v>
      </c>
      <c r="H336" s="339"/>
      <c r="I336" s="339"/>
      <c r="J336" s="138"/>
      <c r="K336" s="98"/>
      <c r="L336" s="99"/>
    </row>
    <row r="337" hidden="1" outlineLevel="2">
      <c r="A337" s="132" t="s">
        <v>753</v>
      </c>
      <c r="B337" s="86" t="s">
        <v>754</v>
      </c>
      <c r="C337" s="325"/>
      <c r="D337" s="326"/>
      <c r="E337" s="327">
        <v>332000.0</v>
      </c>
      <c r="F337" s="93">
        <v>332000.0</v>
      </c>
      <c r="G337" s="93">
        <f t="shared" si="35"/>
        <v>0</v>
      </c>
      <c r="H337" s="339"/>
      <c r="I337" s="339"/>
      <c r="J337" s="138"/>
      <c r="K337" s="98"/>
      <c r="L337" s="99"/>
    </row>
    <row r="338" hidden="1" outlineLevel="2">
      <c r="A338" s="132" t="s">
        <v>755</v>
      </c>
      <c r="B338" s="86" t="s">
        <v>756</v>
      </c>
      <c r="C338" s="325"/>
      <c r="D338" s="326"/>
      <c r="E338" s="327">
        <v>366000.0</v>
      </c>
      <c r="F338" s="93">
        <v>366000.0</v>
      </c>
      <c r="G338" s="93">
        <f t="shared" si="35"/>
        <v>0</v>
      </c>
      <c r="H338" s="339"/>
      <c r="I338" s="339"/>
      <c r="J338" s="138"/>
      <c r="K338" s="98"/>
      <c r="L338" s="99"/>
    </row>
    <row r="339" hidden="1" outlineLevel="2">
      <c r="A339" s="132" t="s">
        <v>757</v>
      </c>
      <c r="B339" s="86" t="s">
        <v>758</v>
      </c>
      <c r="C339" s="325"/>
      <c r="D339" s="326"/>
      <c r="E339" s="327">
        <v>332000.0</v>
      </c>
      <c r="F339" s="93">
        <v>332000.0</v>
      </c>
      <c r="G339" s="93">
        <f t="shared" si="35"/>
        <v>0</v>
      </c>
      <c r="H339" s="339"/>
      <c r="I339" s="339"/>
      <c r="J339" s="138"/>
      <c r="K339" s="98"/>
      <c r="L339" s="99"/>
    </row>
    <row r="340" hidden="1" outlineLevel="2">
      <c r="A340" s="132" t="s">
        <v>760</v>
      </c>
      <c r="B340" s="86" t="s">
        <v>761</v>
      </c>
      <c r="C340" s="325"/>
      <c r="D340" s="326"/>
      <c r="E340" s="327">
        <v>332000.0</v>
      </c>
      <c r="F340" s="93">
        <v>332000.0</v>
      </c>
      <c r="G340" s="93">
        <f t="shared" si="35"/>
        <v>0</v>
      </c>
      <c r="H340" s="339"/>
      <c r="I340" s="339"/>
      <c r="J340" s="138"/>
      <c r="K340" s="98"/>
      <c r="L340" s="99"/>
    </row>
    <row r="341" hidden="1" outlineLevel="2">
      <c r="A341" s="132" t="s">
        <v>762</v>
      </c>
      <c r="B341" s="86" t="s">
        <v>763</v>
      </c>
      <c r="C341" s="325"/>
      <c r="D341" s="326"/>
      <c r="E341" s="327">
        <v>366000.0</v>
      </c>
      <c r="F341" s="93">
        <v>366000.0</v>
      </c>
      <c r="G341" s="93">
        <f t="shared" si="35"/>
        <v>0</v>
      </c>
      <c r="H341" s="339"/>
      <c r="I341" s="339"/>
      <c r="J341" s="138"/>
      <c r="K341" s="98"/>
      <c r="L341" s="99"/>
    </row>
    <row r="342" hidden="1" outlineLevel="2">
      <c r="A342" s="132" t="s">
        <v>764</v>
      </c>
      <c r="B342" s="86" t="s">
        <v>765</v>
      </c>
      <c r="C342" s="325"/>
      <c r="D342" s="326"/>
      <c r="E342" s="327">
        <v>356000.0</v>
      </c>
      <c r="F342" s="93">
        <v>356000.0</v>
      </c>
      <c r="G342" s="93">
        <f t="shared" si="35"/>
        <v>0</v>
      </c>
      <c r="H342" s="339"/>
      <c r="I342" s="339"/>
      <c r="J342" s="138"/>
      <c r="K342" s="98"/>
      <c r="L342" s="99"/>
    </row>
    <row r="343" hidden="1" outlineLevel="2">
      <c r="A343" s="132" t="s">
        <v>766</v>
      </c>
      <c r="B343" s="86" t="s">
        <v>767</v>
      </c>
      <c r="C343" s="325"/>
      <c r="D343" s="326"/>
      <c r="E343" s="327">
        <v>345000.0</v>
      </c>
      <c r="F343" s="93">
        <v>345000.0</v>
      </c>
      <c r="G343" s="93">
        <f t="shared" si="35"/>
        <v>0</v>
      </c>
      <c r="H343" s="339"/>
      <c r="I343" s="339"/>
      <c r="J343" s="138"/>
      <c r="K343" s="98"/>
      <c r="L343" s="99"/>
    </row>
    <row r="344" hidden="1" outlineLevel="2">
      <c r="A344" s="132" t="s">
        <v>768</v>
      </c>
      <c r="B344" s="86" t="s">
        <v>769</v>
      </c>
      <c r="C344" s="325"/>
      <c r="D344" s="326"/>
      <c r="E344" s="327">
        <v>377000.0</v>
      </c>
      <c r="F344" s="93">
        <v>377000.0</v>
      </c>
      <c r="G344" s="93">
        <f t="shared" si="35"/>
        <v>0</v>
      </c>
      <c r="H344" s="339"/>
      <c r="I344" s="339"/>
      <c r="J344" s="138"/>
      <c r="K344" s="98"/>
      <c r="L344" s="99"/>
    </row>
    <row r="345" hidden="1" outlineLevel="2">
      <c r="A345" s="132" t="s">
        <v>771</v>
      </c>
      <c r="B345" s="86" t="s">
        <v>772</v>
      </c>
      <c r="C345" s="325"/>
      <c r="D345" s="326"/>
      <c r="E345" s="327">
        <v>366000.0</v>
      </c>
      <c r="F345" s="93">
        <v>366000.0</v>
      </c>
      <c r="G345" s="93">
        <f t="shared" si="35"/>
        <v>0</v>
      </c>
      <c r="H345" s="339"/>
      <c r="I345" s="339"/>
      <c r="J345" s="138"/>
      <c r="K345" s="98"/>
      <c r="L345" s="99"/>
    </row>
    <row r="346" hidden="1" outlineLevel="2">
      <c r="A346" s="132" t="s">
        <v>773</v>
      </c>
      <c r="B346" s="86" t="s">
        <v>774</v>
      </c>
      <c r="C346" s="325"/>
      <c r="D346" s="326"/>
      <c r="E346" s="327">
        <v>356000.0</v>
      </c>
      <c r="F346" s="93">
        <v>356000.0</v>
      </c>
      <c r="G346" s="93">
        <f t="shared" si="35"/>
        <v>0</v>
      </c>
      <c r="H346" s="339"/>
      <c r="I346" s="339"/>
      <c r="J346" s="138"/>
      <c r="K346" s="98"/>
      <c r="L346" s="99"/>
    </row>
    <row r="347" hidden="1" outlineLevel="2">
      <c r="A347" s="132" t="s">
        <v>776</v>
      </c>
      <c r="B347" s="86" t="s">
        <v>777</v>
      </c>
      <c r="C347" s="325"/>
      <c r="D347" s="326"/>
      <c r="E347" s="327">
        <v>943000.0</v>
      </c>
      <c r="F347" s="93">
        <v>943000.0</v>
      </c>
      <c r="G347" s="93">
        <f t="shared" si="35"/>
        <v>0</v>
      </c>
      <c r="H347" s="339"/>
      <c r="I347" s="339"/>
      <c r="J347" s="138"/>
      <c r="K347" s="98"/>
      <c r="L347" s="99"/>
    </row>
    <row r="348" hidden="1" outlineLevel="2">
      <c r="A348" s="132" t="s">
        <v>778</v>
      </c>
      <c r="B348" s="86" t="s">
        <v>779</v>
      </c>
      <c r="C348" s="325"/>
      <c r="D348" s="326"/>
      <c r="E348" s="327">
        <v>681000.0</v>
      </c>
      <c r="F348" s="93">
        <v>681000.0</v>
      </c>
      <c r="G348" s="93">
        <f t="shared" si="35"/>
        <v>0</v>
      </c>
      <c r="H348" s="339"/>
      <c r="I348" s="339"/>
      <c r="J348" s="138"/>
      <c r="K348" s="98"/>
      <c r="L348" s="99"/>
    </row>
    <row r="349" hidden="1" outlineLevel="2">
      <c r="A349" s="383"/>
      <c r="B349" s="386"/>
      <c r="C349" s="388"/>
      <c r="D349" s="389"/>
      <c r="E349" s="391"/>
      <c r="F349" s="392"/>
      <c r="G349" s="392"/>
      <c r="H349" s="394"/>
      <c r="I349" s="394"/>
      <c r="J349" s="395"/>
      <c r="K349" s="396"/>
      <c r="L349" s="397"/>
    </row>
    <row r="350" hidden="1" outlineLevel="1">
      <c r="A350" s="294">
        <v>11.0</v>
      </c>
      <c r="B350" s="296" t="s">
        <v>781</v>
      </c>
      <c r="C350" s="299">
        <f>B351*C351</f>
        <v>110000</v>
      </c>
      <c r="D350" s="300">
        <f>C351*J351</f>
        <v>241000</v>
      </c>
      <c r="E350" s="301">
        <f t="shared" ref="E350:F350" si="36">E352</f>
        <v>241000</v>
      </c>
      <c r="F350" s="302">
        <f t="shared" si="36"/>
        <v>241000</v>
      </c>
      <c r="G350" s="302">
        <f>F350-E350</f>
        <v>0</v>
      </c>
      <c r="H350" s="303"/>
      <c r="I350" s="303"/>
      <c r="J350" s="304">
        <f>E350-D350</f>
        <v>0</v>
      </c>
      <c r="K350" s="305"/>
      <c r="L350" s="306"/>
    </row>
    <row r="351" hidden="1" outlineLevel="1" collapsed="1">
      <c r="A351" s="307"/>
      <c r="B351" s="308">
        <v>110000.0</v>
      </c>
      <c r="C351" s="309">
        <v>1.0</v>
      </c>
      <c r="D351" s="316">
        <f>(D350/C350)-1</f>
        <v>1.190909091</v>
      </c>
      <c r="E351" s="317">
        <v>1.0</v>
      </c>
      <c r="F351" s="317"/>
      <c r="G351" s="317"/>
      <c r="H351" s="318"/>
      <c r="I351" s="318"/>
      <c r="J351" s="319">
        <f>E350/E351</f>
        <v>241000</v>
      </c>
      <c r="K351" s="320"/>
      <c r="L351" s="322"/>
    </row>
    <row r="352" hidden="1" outlineLevel="2">
      <c r="A352" s="132">
        <v>11.1</v>
      </c>
      <c r="B352" s="86" t="s">
        <v>782</v>
      </c>
      <c r="C352" s="325"/>
      <c r="D352" s="326"/>
      <c r="E352" s="327">
        <v>241000.0</v>
      </c>
      <c r="F352" s="93">
        <v>241000.0</v>
      </c>
      <c r="G352" s="93">
        <f>F352-E352</f>
        <v>0</v>
      </c>
      <c r="H352" s="339"/>
      <c r="I352" s="339"/>
      <c r="J352" s="138"/>
      <c r="K352" s="98"/>
      <c r="L352" s="99"/>
    </row>
    <row r="353" hidden="1" outlineLevel="2">
      <c r="A353" s="132"/>
      <c r="B353" s="133"/>
      <c r="C353" s="325"/>
      <c r="D353" s="326"/>
      <c r="E353" s="340"/>
      <c r="F353" s="341"/>
      <c r="G353" s="341"/>
      <c r="H353" s="137"/>
      <c r="I353" s="137"/>
      <c r="J353" s="138"/>
      <c r="K353" s="98"/>
      <c r="L353" s="99"/>
    </row>
    <row r="354" hidden="1" outlineLevel="1">
      <c r="A354" s="342">
        <v>12.0</v>
      </c>
      <c r="B354" s="343" t="s">
        <v>783</v>
      </c>
      <c r="C354" s="344">
        <f>B355*C355</f>
        <v>1800000</v>
      </c>
      <c r="D354" s="300">
        <f>C355*J355</f>
        <v>4257000</v>
      </c>
      <c r="E354" s="300">
        <f t="shared" ref="E354:F354" si="37">SUM(E356:E360)</f>
        <v>1419000</v>
      </c>
      <c r="F354" s="345">
        <f t="shared" si="37"/>
        <v>1419000</v>
      </c>
      <c r="G354" s="345">
        <f>F354-E354</f>
        <v>0</v>
      </c>
      <c r="H354" s="350"/>
      <c r="I354" s="350"/>
      <c r="J354" s="347">
        <f>E354-D354</f>
        <v>-2838000</v>
      </c>
      <c r="K354" s="348"/>
      <c r="L354" s="349"/>
    </row>
    <row r="355" hidden="1" outlineLevel="1" collapsed="1">
      <c r="A355" s="307"/>
      <c r="B355" s="308">
        <v>120000.0</v>
      </c>
      <c r="C355" s="309">
        <v>15.0</v>
      </c>
      <c r="D355" s="316">
        <f>(D354/C354)-1</f>
        <v>1.365</v>
      </c>
      <c r="E355" s="317">
        <f>COUNT(E356:E360)</f>
        <v>5</v>
      </c>
      <c r="F355" s="317"/>
      <c r="G355" s="317"/>
      <c r="H355" s="318"/>
      <c r="I355" s="318"/>
      <c r="J355" s="319">
        <f>E354/E355</f>
        <v>283800</v>
      </c>
      <c r="K355" s="320"/>
      <c r="L355" s="322"/>
    </row>
    <row r="356" hidden="1" outlineLevel="2">
      <c r="A356" s="132">
        <v>12.1</v>
      </c>
      <c r="B356" s="86" t="s">
        <v>786</v>
      </c>
      <c r="C356" s="325"/>
      <c r="D356" s="326"/>
      <c r="E356" s="327">
        <v>293000.0</v>
      </c>
      <c r="F356" s="93">
        <v>293000.0</v>
      </c>
      <c r="G356" s="93">
        <f t="shared" ref="G356:G360" si="38">F356-E356</f>
        <v>0</v>
      </c>
      <c r="H356" s="339"/>
      <c r="I356" s="339"/>
      <c r="J356" s="138"/>
      <c r="K356" s="98"/>
      <c r="L356" s="99"/>
    </row>
    <row r="357" hidden="1" outlineLevel="2">
      <c r="A357" s="132">
        <v>12.2</v>
      </c>
      <c r="B357" s="133" t="s">
        <v>788</v>
      </c>
      <c r="C357" s="325"/>
      <c r="D357" s="326"/>
      <c r="E357" s="327">
        <v>304000.0</v>
      </c>
      <c r="F357" s="93">
        <v>304000.0</v>
      </c>
      <c r="G357" s="93">
        <f t="shared" si="38"/>
        <v>0</v>
      </c>
      <c r="H357" s="339"/>
      <c r="I357" s="339"/>
      <c r="J357" s="138"/>
      <c r="K357" s="98"/>
      <c r="L357" s="99"/>
    </row>
    <row r="358" hidden="1" outlineLevel="2">
      <c r="A358" s="132">
        <v>12.3</v>
      </c>
      <c r="B358" s="133" t="s">
        <v>789</v>
      </c>
      <c r="C358" s="325"/>
      <c r="D358" s="326"/>
      <c r="E358" s="327">
        <v>272000.0</v>
      </c>
      <c r="F358" s="93">
        <v>272000.0</v>
      </c>
      <c r="G358" s="93">
        <f t="shared" si="38"/>
        <v>0</v>
      </c>
      <c r="H358" s="339"/>
      <c r="I358" s="339"/>
      <c r="J358" s="138"/>
      <c r="K358" s="98"/>
      <c r="L358" s="99"/>
    </row>
    <row r="359" hidden="1" outlineLevel="2">
      <c r="A359" s="132">
        <v>12.4</v>
      </c>
      <c r="B359" s="133" t="s">
        <v>790</v>
      </c>
      <c r="C359" s="325"/>
      <c r="D359" s="326"/>
      <c r="E359" s="327">
        <v>262000.0</v>
      </c>
      <c r="F359" s="93">
        <v>262000.0</v>
      </c>
      <c r="G359" s="93">
        <f t="shared" si="38"/>
        <v>0</v>
      </c>
      <c r="H359" s="339"/>
      <c r="I359" s="339"/>
      <c r="J359" s="138"/>
      <c r="K359" s="98"/>
      <c r="L359" s="99"/>
    </row>
    <row r="360" hidden="1" outlineLevel="2">
      <c r="A360" s="132">
        <v>12.5</v>
      </c>
      <c r="B360" s="133" t="s">
        <v>792</v>
      </c>
      <c r="C360" s="325"/>
      <c r="D360" s="326"/>
      <c r="E360" s="327">
        <v>288000.0</v>
      </c>
      <c r="F360" s="93">
        <v>288000.0</v>
      </c>
      <c r="G360" s="93">
        <f t="shared" si="38"/>
        <v>0</v>
      </c>
      <c r="H360" s="339"/>
      <c r="I360" s="339"/>
      <c r="J360" s="138"/>
      <c r="K360" s="98"/>
      <c r="L360" s="99"/>
    </row>
    <row r="361" hidden="1" outlineLevel="2">
      <c r="A361" s="132"/>
      <c r="B361" s="431"/>
      <c r="C361" s="325"/>
      <c r="D361" s="326"/>
      <c r="E361" s="434"/>
      <c r="F361" s="435"/>
      <c r="G361" s="435"/>
      <c r="H361" s="436"/>
      <c r="I361" s="436"/>
      <c r="J361" s="438"/>
      <c r="K361" s="440"/>
      <c r="L361" s="99"/>
    </row>
    <row r="362" hidden="1" outlineLevel="1">
      <c r="A362" s="342">
        <v>13.0</v>
      </c>
      <c r="B362" s="343" t="s">
        <v>793</v>
      </c>
      <c r="C362" s="344">
        <f>B363*C363</f>
        <v>1260000</v>
      </c>
      <c r="D362" s="300">
        <f>C363*J363</f>
        <v>2180000</v>
      </c>
      <c r="E362" s="300">
        <f t="shared" ref="E362:F362" si="39">SUM(E364:E377)</f>
        <v>2180000</v>
      </c>
      <c r="F362" s="345">
        <f t="shared" si="39"/>
        <v>2180000</v>
      </c>
      <c r="G362" s="345">
        <f>F362-E362</f>
        <v>0</v>
      </c>
      <c r="H362" s="350"/>
      <c r="I362" s="350"/>
      <c r="J362" s="347">
        <f>E362-D362</f>
        <v>0</v>
      </c>
      <c r="K362" s="348"/>
      <c r="L362" s="349"/>
    </row>
    <row r="363" hidden="1" outlineLevel="1" collapsed="1">
      <c r="A363" s="307"/>
      <c r="B363" s="308">
        <v>90000.0</v>
      </c>
      <c r="C363" s="309">
        <v>14.0</v>
      </c>
      <c r="D363" s="316">
        <f>(D362/C362)-1</f>
        <v>0.7301587302</v>
      </c>
      <c r="E363" s="317">
        <f>COUNT(E364:E377)</f>
        <v>14</v>
      </c>
      <c r="F363" s="317"/>
      <c r="G363" s="317"/>
      <c r="H363" s="318"/>
      <c r="I363" s="318"/>
      <c r="J363" s="319">
        <f>E362/E363</f>
        <v>155714.2857</v>
      </c>
      <c r="K363" s="320"/>
      <c r="L363" s="322"/>
    </row>
    <row r="364" hidden="1" outlineLevel="2">
      <c r="A364" s="132">
        <v>13.1</v>
      </c>
      <c r="B364" s="86" t="s">
        <v>794</v>
      </c>
      <c r="C364" s="325"/>
      <c r="D364" s="326"/>
      <c r="E364" s="327">
        <v>167000.0</v>
      </c>
      <c r="F364" s="93">
        <v>167000.0</v>
      </c>
      <c r="G364" s="93">
        <f t="shared" ref="G364:G377" si="40">F364-E364</f>
        <v>0</v>
      </c>
      <c r="H364" s="339"/>
      <c r="I364" s="339"/>
      <c r="J364" s="138"/>
      <c r="K364" s="98"/>
      <c r="L364" s="99"/>
    </row>
    <row r="365" hidden="1" outlineLevel="2">
      <c r="A365" s="132">
        <v>13.2</v>
      </c>
      <c r="B365" s="86" t="s">
        <v>795</v>
      </c>
      <c r="C365" s="325"/>
      <c r="D365" s="326"/>
      <c r="E365" s="327">
        <v>167000.0</v>
      </c>
      <c r="F365" s="93">
        <v>167000.0</v>
      </c>
      <c r="G365" s="93">
        <f t="shared" si="40"/>
        <v>0</v>
      </c>
      <c r="H365" s="339"/>
      <c r="I365" s="339"/>
      <c r="J365" s="138"/>
      <c r="K365" s="98"/>
      <c r="L365" s="99"/>
    </row>
    <row r="366" hidden="1" outlineLevel="2">
      <c r="A366" s="132">
        <v>13.3</v>
      </c>
      <c r="B366" s="86" t="s">
        <v>796</v>
      </c>
      <c r="C366" s="325"/>
      <c r="D366" s="326"/>
      <c r="E366" s="327">
        <v>167000.0</v>
      </c>
      <c r="F366" s="93">
        <v>167000.0</v>
      </c>
      <c r="G366" s="93">
        <f t="shared" si="40"/>
        <v>0</v>
      </c>
      <c r="H366" s="339"/>
      <c r="I366" s="339"/>
      <c r="J366" s="138"/>
      <c r="K366" s="98"/>
      <c r="L366" s="99"/>
    </row>
    <row r="367" hidden="1" outlineLevel="2">
      <c r="A367" s="132">
        <v>13.4</v>
      </c>
      <c r="B367" s="86" t="s">
        <v>797</v>
      </c>
      <c r="C367" s="325"/>
      <c r="D367" s="326"/>
      <c r="E367" s="327">
        <v>220000.0</v>
      </c>
      <c r="F367" s="93">
        <v>220000.0</v>
      </c>
      <c r="G367" s="93">
        <f t="shared" si="40"/>
        <v>0</v>
      </c>
      <c r="H367" s="339"/>
      <c r="I367" s="339"/>
      <c r="J367" s="138"/>
      <c r="K367" s="98"/>
      <c r="L367" s="99"/>
    </row>
    <row r="368" hidden="1" outlineLevel="2">
      <c r="A368" s="132">
        <v>13.5</v>
      </c>
      <c r="B368" s="86" t="s">
        <v>798</v>
      </c>
      <c r="C368" s="325"/>
      <c r="D368" s="326"/>
      <c r="E368" s="327">
        <v>167000.0</v>
      </c>
      <c r="F368" s="93">
        <v>167000.0</v>
      </c>
      <c r="G368" s="93">
        <f t="shared" si="40"/>
        <v>0</v>
      </c>
      <c r="H368" s="339"/>
      <c r="I368" s="339"/>
      <c r="J368" s="138"/>
      <c r="K368" s="98"/>
      <c r="L368" s="99"/>
    </row>
    <row r="369" hidden="1" outlineLevel="2">
      <c r="A369" s="132">
        <v>13.6</v>
      </c>
      <c r="B369" s="86" t="s">
        <v>799</v>
      </c>
      <c r="C369" s="325"/>
      <c r="D369" s="326"/>
      <c r="E369" s="327">
        <v>188000.0</v>
      </c>
      <c r="F369" s="93">
        <v>188000.0</v>
      </c>
      <c r="G369" s="93">
        <f t="shared" si="40"/>
        <v>0</v>
      </c>
      <c r="H369" s="339"/>
      <c r="I369" s="339"/>
      <c r="J369" s="138"/>
      <c r="K369" s="98"/>
      <c r="L369" s="99"/>
    </row>
    <row r="370" hidden="1" outlineLevel="2">
      <c r="A370" s="132">
        <v>13.7</v>
      </c>
      <c r="B370" s="86" t="s">
        <v>800</v>
      </c>
      <c r="C370" s="325"/>
      <c r="D370" s="326"/>
      <c r="E370" s="327">
        <v>131000.0</v>
      </c>
      <c r="F370" s="93">
        <v>131000.0</v>
      </c>
      <c r="G370" s="93">
        <f t="shared" si="40"/>
        <v>0</v>
      </c>
      <c r="H370" s="339"/>
      <c r="I370" s="339"/>
      <c r="J370" s="138"/>
      <c r="K370" s="98"/>
      <c r="L370" s="99"/>
    </row>
    <row r="371" hidden="1" outlineLevel="2">
      <c r="A371" s="132">
        <v>13.8</v>
      </c>
      <c r="B371" s="86" t="s">
        <v>801</v>
      </c>
      <c r="C371" s="325"/>
      <c r="D371" s="326"/>
      <c r="E371" s="327">
        <v>131000.0</v>
      </c>
      <c r="F371" s="93">
        <v>131000.0</v>
      </c>
      <c r="G371" s="93">
        <f t="shared" si="40"/>
        <v>0</v>
      </c>
      <c r="H371" s="339"/>
      <c r="I371" s="339"/>
      <c r="J371" s="138"/>
      <c r="K371" s="98"/>
      <c r="L371" s="99"/>
    </row>
    <row r="372" hidden="1" outlineLevel="2">
      <c r="A372" s="132">
        <v>13.9</v>
      </c>
      <c r="B372" s="86" t="s">
        <v>802</v>
      </c>
      <c r="C372" s="325"/>
      <c r="D372" s="326"/>
      <c r="E372" s="327">
        <v>131000.0</v>
      </c>
      <c r="F372" s="93">
        <v>131000.0</v>
      </c>
      <c r="G372" s="93">
        <f t="shared" si="40"/>
        <v>0</v>
      </c>
      <c r="H372" s="339"/>
      <c r="I372" s="339"/>
      <c r="J372" s="138"/>
      <c r="K372" s="98"/>
      <c r="L372" s="99"/>
    </row>
    <row r="373" hidden="1" outlineLevel="2">
      <c r="A373" s="332" t="s">
        <v>803</v>
      </c>
      <c r="B373" s="86" t="s">
        <v>804</v>
      </c>
      <c r="C373" s="325"/>
      <c r="D373" s="326"/>
      <c r="E373" s="327">
        <v>157000.0</v>
      </c>
      <c r="F373" s="93">
        <v>157000.0</v>
      </c>
      <c r="G373" s="93">
        <f t="shared" si="40"/>
        <v>0</v>
      </c>
      <c r="H373" s="339"/>
      <c r="I373" s="339"/>
      <c r="J373" s="138"/>
      <c r="K373" s="98"/>
      <c r="L373" s="99"/>
    </row>
    <row r="374" hidden="1" outlineLevel="2">
      <c r="A374" s="332" t="s">
        <v>805</v>
      </c>
      <c r="B374" s="86" t="s">
        <v>806</v>
      </c>
      <c r="C374" s="325"/>
      <c r="D374" s="326"/>
      <c r="E374" s="327">
        <v>157000.0</v>
      </c>
      <c r="F374" s="93">
        <v>157000.0</v>
      </c>
      <c r="G374" s="93">
        <f t="shared" si="40"/>
        <v>0</v>
      </c>
      <c r="H374" s="339"/>
      <c r="I374" s="339"/>
      <c r="J374" s="138"/>
      <c r="K374" s="98"/>
      <c r="L374" s="99"/>
    </row>
    <row r="375" hidden="1" outlineLevel="2">
      <c r="A375" s="132" t="s">
        <v>807</v>
      </c>
      <c r="B375" s="86" t="s">
        <v>808</v>
      </c>
      <c r="C375" s="325"/>
      <c r="D375" s="326"/>
      <c r="E375" s="327">
        <v>136000.0</v>
      </c>
      <c r="F375" s="93">
        <v>136000.0</v>
      </c>
      <c r="G375" s="93">
        <f t="shared" si="40"/>
        <v>0</v>
      </c>
      <c r="H375" s="339"/>
      <c r="I375" s="339"/>
      <c r="J375" s="138"/>
      <c r="K375" s="98"/>
      <c r="L375" s="99"/>
    </row>
    <row r="376" hidden="1" outlineLevel="2">
      <c r="A376" s="132" t="s">
        <v>809</v>
      </c>
      <c r="B376" s="86" t="s">
        <v>810</v>
      </c>
      <c r="C376" s="325"/>
      <c r="D376" s="326"/>
      <c r="E376" s="327">
        <v>136000.0</v>
      </c>
      <c r="F376" s="93">
        <v>136000.0</v>
      </c>
      <c r="G376" s="93">
        <f t="shared" si="40"/>
        <v>0</v>
      </c>
      <c r="H376" s="339"/>
      <c r="I376" s="339"/>
      <c r="J376" s="138"/>
      <c r="K376" s="98"/>
      <c r="L376" s="99"/>
    </row>
    <row r="377" hidden="1" outlineLevel="2">
      <c r="A377" s="132" t="s">
        <v>811</v>
      </c>
      <c r="B377" s="86" t="s">
        <v>812</v>
      </c>
      <c r="C377" s="325"/>
      <c r="D377" s="326"/>
      <c r="E377" s="327">
        <v>125000.0</v>
      </c>
      <c r="F377" s="93">
        <v>125000.0</v>
      </c>
      <c r="G377" s="93">
        <f t="shared" si="40"/>
        <v>0</v>
      </c>
      <c r="H377" s="339"/>
      <c r="I377" s="339"/>
      <c r="J377" s="138"/>
      <c r="K377" s="98"/>
      <c r="L377" s="99"/>
    </row>
    <row r="378" hidden="1" outlineLevel="2">
      <c r="A378" s="132"/>
      <c r="B378" s="133"/>
      <c r="C378" s="325"/>
      <c r="D378" s="326"/>
      <c r="E378" s="355"/>
      <c r="F378" s="356"/>
      <c r="G378" s="356"/>
      <c r="H378" s="137"/>
      <c r="I378" s="137"/>
      <c r="J378" s="138"/>
      <c r="K378" s="98"/>
      <c r="L378" s="99"/>
    </row>
    <row r="379" hidden="1" outlineLevel="1">
      <c r="A379" s="342">
        <v>14.0</v>
      </c>
      <c r="B379" s="343" t="s">
        <v>813</v>
      </c>
      <c r="C379" s="344">
        <f>B380*C380</f>
        <v>1530000</v>
      </c>
      <c r="D379" s="300">
        <f>C380*J380</f>
        <v>3496333.333</v>
      </c>
      <c r="E379" s="300">
        <f t="shared" ref="E379:F379" si="41">SUM(E381:E383)</f>
        <v>617000</v>
      </c>
      <c r="F379" s="345">
        <f t="shared" si="41"/>
        <v>617000</v>
      </c>
      <c r="G379" s="345">
        <f>F379-E379</f>
        <v>0</v>
      </c>
      <c r="H379" s="350"/>
      <c r="I379" s="350"/>
      <c r="J379" s="347">
        <f>E379-D379</f>
        <v>-2879333.333</v>
      </c>
      <c r="K379" s="348"/>
      <c r="L379" s="349"/>
    </row>
    <row r="380" hidden="1" outlineLevel="1" collapsed="1">
      <c r="A380" s="307"/>
      <c r="B380" s="308">
        <v>90000.0</v>
      </c>
      <c r="C380" s="309">
        <v>17.0</v>
      </c>
      <c r="D380" s="316">
        <f>(D379/C379)-1</f>
        <v>1.285185185</v>
      </c>
      <c r="E380" s="317">
        <f>COUNT(E381:E383)</f>
        <v>3</v>
      </c>
      <c r="F380" s="317"/>
      <c r="G380" s="317"/>
      <c r="H380" s="318"/>
      <c r="I380" s="318"/>
      <c r="J380" s="319">
        <f>E379/E380</f>
        <v>205666.6667</v>
      </c>
      <c r="K380" s="320"/>
      <c r="L380" s="322"/>
    </row>
    <row r="381" hidden="1" outlineLevel="2">
      <c r="A381" s="132">
        <v>14.1</v>
      </c>
      <c r="B381" s="86" t="s">
        <v>815</v>
      </c>
      <c r="C381" s="325"/>
      <c r="D381" s="326"/>
      <c r="E381" s="327">
        <v>188000.0</v>
      </c>
      <c r="F381" s="93">
        <v>188000.0</v>
      </c>
      <c r="G381" s="93">
        <f t="shared" ref="G381:G383" si="42">F381-E381</f>
        <v>0</v>
      </c>
      <c r="H381" s="339"/>
      <c r="I381" s="339"/>
      <c r="J381" s="138"/>
      <c r="K381" s="98"/>
      <c r="L381" s="99"/>
    </row>
    <row r="382" hidden="1" outlineLevel="2">
      <c r="A382" s="132">
        <v>14.2</v>
      </c>
      <c r="B382" s="86" t="s">
        <v>816</v>
      </c>
      <c r="C382" s="325"/>
      <c r="D382" s="326"/>
      <c r="E382" s="327">
        <v>188000.0</v>
      </c>
      <c r="F382" s="93">
        <v>188000.0</v>
      </c>
      <c r="G382" s="93">
        <f t="shared" si="42"/>
        <v>0</v>
      </c>
      <c r="H382" s="339"/>
      <c r="I382" s="339"/>
      <c r="J382" s="138"/>
      <c r="K382" s="98"/>
      <c r="L382" s="99"/>
    </row>
    <row r="383" hidden="1" outlineLevel="2">
      <c r="A383" s="132">
        <v>14.3</v>
      </c>
      <c r="B383" s="86" t="s">
        <v>817</v>
      </c>
      <c r="C383" s="325"/>
      <c r="D383" s="326"/>
      <c r="E383" s="327">
        <v>241000.0</v>
      </c>
      <c r="F383" s="93">
        <v>241000.0</v>
      </c>
      <c r="G383" s="93">
        <f t="shared" si="42"/>
        <v>0</v>
      </c>
      <c r="H383" s="339"/>
      <c r="I383" s="339"/>
      <c r="J383" s="138"/>
      <c r="K383" s="98"/>
      <c r="L383" s="99"/>
    </row>
    <row r="384" hidden="1" outlineLevel="2">
      <c r="A384" s="132"/>
      <c r="B384" s="133"/>
      <c r="C384" s="325"/>
      <c r="D384" s="326"/>
      <c r="E384" s="340"/>
      <c r="F384" s="341"/>
      <c r="G384" s="341"/>
      <c r="H384" s="137"/>
      <c r="I384" s="137"/>
      <c r="J384" s="138"/>
      <c r="K384" s="98"/>
      <c r="L384" s="99"/>
    </row>
    <row r="385" hidden="1" outlineLevel="1">
      <c r="A385" s="342">
        <v>15.0</v>
      </c>
      <c r="B385" s="343" t="s">
        <v>818</v>
      </c>
      <c r="C385" s="344">
        <f>B386*C386</f>
        <v>2600000</v>
      </c>
      <c r="D385" s="300">
        <f>C386*J386</f>
        <v>4110000</v>
      </c>
      <c r="E385" s="300">
        <f t="shared" ref="E385:F385" si="43">SUM(E387:E390)</f>
        <v>822000</v>
      </c>
      <c r="F385" s="345">
        <f t="shared" si="43"/>
        <v>822000</v>
      </c>
      <c r="G385" s="345">
        <f>F385-E385</f>
        <v>0</v>
      </c>
      <c r="H385" s="350"/>
      <c r="I385" s="350"/>
      <c r="J385" s="347">
        <f>E385-D385</f>
        <v>-3288000</v>
      </c>
      <c r="K385" s="348"/>
      <c r="L385" s="349"/>
    </row>
    <row r="386" hidden="1" outlineLevel="1" collapsed="1">
      <c r="A386" s="307"/>
      <c r="B386" s="308">
        <v>130000.0</v>
      </c>
      <c r="C386" s="309">
        <v>20.0</v>
      </c>
      <c r="D386" s="316">
        <f>(D385/C385)-1</f>
        <v>0.5807692308</v>
      </c>
      <c r="E386" s="317">
        <f>COUNT(E387:E390)</f>
        <v>4</v>
      </c>
      <c r="F386" s="317"/>
      <c r="G386" s="317"/>
      <c r="H386" s="318"/>
      <c r="I386" s="318"/>
      <c r="J386" s="319">
        <f>E385/E386</f>
        <v>205500</v>
      </c>
      <c r="K386" s="320"/>
      <c r="L386" s="322"/>
    </row>
    <row r="387" hidden="1" outlineLevel="2">
      <c r="A387" s="132">
        <v>15.1</v>
      </c>
      <c r="B387" s="86" t="s">
        <v>820</v>
      </c>
      <c r="C387" s="325"/>
      <c r="D387" s="326"/>
      <c r="E387" s="327">
        <v>241000.0</v>
      </c>
      <c r="F387" s="93">
        <v>241000.0</v>
      </c>
      <c r="G387" s="93">
        <f t="shared" ref="G387:G390" si="44">F387-E387</f>
        <v>0</v>
      </c>
      <c r="H387" s="339"/>
      <c r="I387" s="339"/>
      <c r="J387" s="138"/>
      <c r="K387" s="98"/>
      <c r="L387" s="99"/>
    </row>
    <row r="388" hidden="1" outlineLevel="2">
      <c r="A388" s="132">
        <v>15.2</v>
      </c>
      <c r="B388" s="86" t="s">
        <v>821</v>
      </c>
      <c r="C388" s="325"/>
      <c r="D388" s="326"/>
      <c r="E388" s="327">
        <v>241000.0</v>
      </c>
      <c r="F388" s="93">
        <v>241000.0</v>
      </c>
      <c r="G388" s="93">
        <f t="shared" si="44"/>
        <v>0</v>
      </c>
      <c r="H388" s="339"/>
      <c r="I388" s="339"/>
      <c r="J388" s="138"/>
      <c r="K388" s="98"/>
      <c r="L388" s="99"/>
    </row>
    <row r="389" hidden="1" outlineLevel="2">
      <c r="A389" s="132">
        <v>15.3</v>
      </c>
      <c r="B389" s="86" t="s">
        <v>822</v>
      </c>
      <c r="C389" s="325"/>
      <c r="D389" s="326"/>
      <c r="E389" s="327">
        <v>170000.0</v>
      </c>
      <c r="F389" s="93">
        <v>170000.0</v>
      </c>
      <c r="G389" s="93">
        <f t="shared" si="44"/>
        <v>0</v>
      </c>
      <c r="H389" s="339"/>
      <c r="I389" s="339"/>
      <c r="J389" s="138"/>
      <c r="K389" s="98"/>
      <c r="L389" s="99"/>
    </row>
    <row r="390" hidden="1" outlineLevel="2">
      <c r="A390" s="132">
        <v>15.4</v>
      </c>
      <c r="B390" s="86" t="s">
        <v>823</v>
      </c>
      <c r="C390" s="325"/>
      <c r="D390" s="326"/>
      <c r="E390" s="327">
        <v>170000.0</v>
      </c>
      <c r="F390" s="93">
        <v>170000.0</v>
      </c>
      <c r="G390" s="93">
        <f t="shared" si="44"/>
        <v>0</v>
      </c>
      <c r="H390" s="339"/>
      <c r="I390" s="339"/>
      <c r="J390" s="138"/>
      <c r="K390" s="98"/>
      <c r="L390" s="99"/>
    </row>
    <row r="391" hidden="1" outlineLevel="2">
      <c r="A391" s="132"/>
      <c r="B391" s="133"/>
      <c r="C391" s="325"/>
      <c r="D391" s="326"/>
      <c r="E391" s="355"/>
      <c r="F391" s="356"/>
      <c r="G391" s="356"/>
      <c r="H391" s="137"/>
      <c r="I391" s="137"/>
      <c r="J391" s="138"/>
      <c r="K391" s="98"/>
      <c r="L391" s="99"/>
    </row>
    <row r="392" hidden="1" outlineLevel="1">
      <c r="A392" s="342">
        <v>16.0</v>
      </c>
      <c r="B392" s="343" t="s">
        <v>824</v>
      </c>
      <c r="C392" s="344">
        <f>B393*C393</f>
        <v>60000</v>
      </c>
      <c r="D392" s="300">
        <f>C393*J393</f>
        <v>142000</v>
      </c>
      <c r="E392" s="300">
        <f t="shared" ref="E392:F392" si="45">E394</f>
        <v>142000</v>
      </c>
      <c r="F392" s="345">
        <f t="shared" si="45"/>
        <v>142000</v>
      </c>
      <c r="G392" s="345">
        <f>F392-E392</f>
        <v>0</v>
      </c>
      <c r="H392" s="350"/>
      <c r="I392" s="350"/>
      <c r="J392" s="347">
        <f>E392-D392</f>
        <v>0</v>
      </c>
      <c r="K392" s="348"/>
      <c r="L392" s="349"/>
    </row>
    <row r="393" hidden="1" outlineLevel="1" collapsed="1">
      <c r="A393" s="307"/>
      <c r="B393" s="308">
        <v>60000.0</v>
      </c>
      <c r="C393" s="309">
        <v>1.0</v>
      </c>
      <c r="D393" s="316">
        <f>(D392/C392)-1</f>
        <v>1.366666667</v>
      </c>
      <c r="E393" s="317">
        <f>COUNT(E394)</f>
        <v>1</v>
      </c>
      <c r="F393" s="317"/>
      <c r="G393" s="317"/>
      <c r="H393" s="318"/>
      <c r="I393" s="318"/>
      <c r="J393" s="319">
        <f>E392/E393</f>
        <v>142000</v>
      </c>
      <c r="K393" s="320"/>
      <c r="L393" s="322"/>
    </row>
    <row r="394" hidden="1" outlineLevel="2">
      <c r="A394" s="132">
        <v>16.1</v>
      </c>
      <c r="B394" s="86" t="s">
        <v>826</v>
      </c>
      <c r="C394" s="325"/>
      <c r="D394" s="326"/>
      <c r="E394" s="327">
        <v>142000.0</v>
      </c>
      <c r="F394" s="93">
        <v>142000.0</v>
      </c>
      <c r="G394" s="93">
        <f>F394-E394</f>
        <v>0</v>
      </c>
      <c r="H394" s="339"/>
      <c r="I394" s="339"/>
      <c r="J394" s="138"/>
      <c r="K394" s="98"/>
      <c r="L394" s="99"/>
    </row>
    <row r="395" hidden="1" outlineLevel="2">
      <c r="A395" s="132"/>
      <c r="B395" s="133"/>
      <c r="C395" s="325"/>
      <c r="D395" s="326"/>
      <c r="E395" s="355"/>
      <c r="F395" s="356"/>
      <c r="G395" s="356"/>
      <c r="H395" s="137"/>
      <c r="I395" s="137"/>
      <c r="J395" s="138"/>
      <c r="K395" s="98"/>
      <c r="L395" s="99"/>
    </row>
    <row r="396" hidden="1" outlineLevel="1">
      <c r="A396" s="342">
        <v>17.0</v>
      </c>
      <c r="B396" s="343" t="s">
        <v>828</v>
      </c>
      <c r="C396" s="344">
        <f>B397*C397</f>
        <v>375000</v>
      </c>
      <c r="D396" s="300">
        <f>C397*J397</f>
        <v>812500</v>
      </c>
      <c r="E396" s="300">
        <f t="shared" ref="E396:F396" si="46">SUM(E398:E401)</f>
        <v>650000</v>
      </c>
      <c r="F396" s="345">
        <f t="shared" si="46"/>
        <v>650000</v>
      </c>
      <c r="G396" s="345">
        <f>F396-E396</f>
        <v>0</v>
      </c>
      <c r="H396" s="350"/>
      <c r="I396" s="350"/>
      <c r="J396" s="347">
        <f>E396-D396</f>
        <v>-162500</v>
      </c>
      <c r="K396" s="348"/>
      <c r="L396" s="349"/>
    </row>
    <row r="397" hidden="1" outlineLevel="1" collapsed="1">
      <c r="A397" s="307"/>
      <c r="B397" s="308">
        <v>75000.0</v>
      </c>
      <c r="C397" s="309">
        <v>5.0</v>
      </c>
      <c r="D397" s="316">
        <f>(D396/C396)-1</f>
        <v>1.166666667</v>
      </c>
      <c r="E397" s="317">
        <f>COUNT(E398:E401)</f>
        <v>4</v>
      </c>
      <c r="F397" s="317"/>
      <c r="G397" s="317"/>
      <c r="H397" s="318"/>
      <c r="I397" s="318"/>
      <c r="J397" s="319">
        <f>E396/E397</f>
        <v>162500</v>
      </c>
      <c r="K397" s="320"/>
      <c r="L397" s="322"/>
    </row>
    <row r="398" hidden="1" outlineLevel="2">
      <c r="A398" s="132">
        <v>17.1</v>
      </c>
      <c r="B398" s="86" t="s">
        <v>831</v>
      </c>
      <c r="C398" s="325"/>
      <c r="D398" s="326"/>
      <c r="E398" s="327">
        <v>178000.0</v>
      </c>
      <c r="F398" s="93">
        <v>178000.0</v>
      </c>
      <c r="G398" s="93">
        <f t="shared" ref="G398:G401" si="47">F398-E398</f>
        <v>0</v>
      </c>
      <c r="H398" s="339"/>
      <c r="I398" s="339"/>
      <c r="J398" s="138"/>
      <c r="K398" s="98"/>
      <c r="L398" s="99"/>
    </row>
    <row r="399" hidden="1" outlineLevel="2">
      <c r="A399" s="132">
        <v>17.2</v>
      </c>
      <c r="B399" s="86" t="s">
        <v>832</v>
      </c>
      <c r="C399" s="325"/>
      <c r="D399" s="326"/>
      <c r="E399" s="327">
        <v>176000.0</v>
      </c>
      <c r="F399" s="93">
        <v>176000.0</v>
      </c>
      <c r="G399" s="93">
        <f t="shared" si="47"/>
        <v>0</v>
      </c>
      <c r="H399" s="339"/>
      <c r="I399" s="339"/>
      <c r="J399" s="138"/>
      <c r="K399" s="98"/>
      <c r="L399" s="99"/>
    </row>
    <row r="400" hidden="1" outlineLevel="2">
      <c r="A400" s="132">
        <v>17.3</v>
      </c>
      <c r="B400" s="86" t="s">
        <v>833</v>
      </c>
      <c r="C400" s="325"/>
      <c r="D400" s="326"/>
      <c r="E400" s="327">
        <v>148000.0</v>
      </c>
      <c r="F400" s="93">
        <v>148000.0</v>
      </c>
      <c r="G400" s="93">
        <f t="shared" si="47"/>
        <v>0</v>
      </c>
      <c r="H400" s="339"/>
      <c r="I400" s="339"/>
      <c r="J400" s="138"/>
      <c r="K400" s="98"/>
      <c r="L400" s="99"/>
    </row>
    <row r="401" hidden="1" outlineLevel="2">
      <c r="A401" s="132">
        <v>17.4</v>
      </c>
      <c r="B401" s="86" t="s">
        <v>834</v>
      </c>
      <c r="C401" s="325"/>
      <c r="D401" s="326"/>
      <c r="E401" s="327">
        <v>148000.0</v>
      </c>
      <c r="F401" s="93">
        <v>148000.0</v>
      </c>
      <c r="G401" s="93">
        <f t="shared" si="47"/>
        <v>0</v>
      </c>
      <c r="H401" s="339"/>
      <c r="I401" s="339"/>
      <c r="J401" s="138"/>
      <c r="K401" s="98"/>
      <c r="L401" s="99"/>
    </row>
    <row r="402" hidden="1" outlineLevel="2">
      <c r="A402" s="132"/>
      <c r="B402" s="133"/>
      <c r="C402" s="325"/>
      <c r="D402" s="326"/>
      <c r="E402" s="355"/>
      <c r="F402" s="356"/>
      <c r="G402" s="356"/>
      <c r="H402" s="137"/>
      <c r="I402" s="137"/>
      <c r="J402" s="138"/>
      <c r="K402" s="98"/>
      <c r="L402" s="99"/>
    </row>
    <row r="403" hidden="1" outlineLevel="1">
      <c r="A403" s="342">
        <v>18.0</v>
      </c>
      <c r="B403" s="343" t="s">
        <v>835</v>
      </c>
      <c r="C403" s="344">
        <f>5*350000+30*230000</f>
        <v>8650000</v>
      </c>
      <c r="D403" s="300">
        <f>C404*J404</f>
        <v>22517600</v>
      </c>
      <c r="E403" s="300">
        <f t="shared" ref="E403:F403" si="48">SUM(E405:E417)</f>
        <v>4021000</v>
      </c>
      <c r="F403" s="345">
        <f t="shared" si="48"/>
        <v>5500000</v>
      </c>
      <c r="G403" s="345">
        <f>F403-E403</f>
        <v>1479000</v>
      </c>
      <c r="H403" s="346"/>
      <c r="I403" s="346" t="s">
        <v>836</v>
      </c>
      <c r="J403" s="347">
        <f>E403-D403</f>
        <v>-18496600</v>
      </c>
      <c r="K403" s="348" t="s">
        <v>837</v>
      </c>
      <c r="L403" s="349"/>
    </row>
    <row r="404" hidden="1" outlineLevel="1" collapsed="1">
      <c r="A404" s="307"/>
      <c r="B404" s="308" t="s">
        <v>838</v>
      </c>
      <c r="C404" s="309">
        <v>28.0</v>
      </c>
      <c r="D404" s="316">
        <f>(D403/C403)-1</f>
        <v>1.603190751</v>
      </c>
      <c r="E404" s="317">
        <f>COUNT(E405:E409)</f>
        <v>5</v>
      </c>
      <c r="F404" s="317"/>
      <c r="G404" s="317"/>
      <c r="H404" s="318"/>
      <c r="I404" s="318"/>
      <c r="J404" s="319">
        <f>E403/E404</f>
        <v>804200</v>
      </c>
      <c r="K404" s="320"/>
      <c r="L404" s="322"/>
    </row>
    <row r="405" hidden="1" outlineLevel="2">
      <c r="A405" s="132">
        <v>18.1</v>
      </c>
      <c r="B405" s="86" t="s">
        <v>839</v>
      </c>
      <c r="C405" s="325"/>
      <c r="D405" s="326"/>
      <c r="E405" s="327">
        <v>770000.0</v>
      </c>
      <c r="F405" s="93">
        <v>1100000.0</v>
      </c>
      <c r="G405" s="93">
        <f t="shared" ref="G405:G409" si="49">F405-E405</f>
        <v>330000</v>
      </c>
      <c r="H405" s="339"/>
      <c r="I405" s="339"/>
      <c r="J405" s="138"/>
      <c r="K405" s="98"/>
      <c r="L405" s="99"/>
    </row>
    <row r="406" hidden="1" outlineLevel="2">
      <c r="A406" s="132">
        <v>18.2</v>
      </c>
      <c r="B406" s="86" t="s">
        <v>840</v>
      </c>
      <c r="C406" s="325"/>
      <c r="D406" s="326"/>
      <c r="E406" s="327">
        <v>805000.0</v>
      </c>
      <c r="F406" s="93">
        <v>1100000.0</v>
      </c>
      <c r="G406" s="93">
        <f t="shared" si="49"/>
        <v>295000</v>
      </c>
      <c r="H406" s="339"/>
      <c r="I406" s="339"/>
      <c r="J406" s="138"/>
      <c r="K406" s="98"/>
      <c r="L406" s="99"/>
    </row>
    <row r="407" hidden="1" outlineLevel="2">
      <c r="A407" s="132">
        <v>18.3</v>
      </c>
      <c r="B407" s="86" t="s">
        <v>841</v>
      </c>
      <c r="C407" s="325"/>
      <c r="D407" s="326"/>
      <c r="E407" s="327">
        <v>879000.0</v>
      </c>
      <c r="F407" s="93">
        <v>1100000.0</v>
      </c>
      <c r="G407" s="93">
        <f t="shared" si="49"/>
        <v>221000</v>
      </c>
      <c r="H407" s="339"/>
      <c r="I407" s="339"/>
      <c r="J407" s="138"/>
      <c r="K407" s="98"/>
      <c r="L407" s="99"/>
    </row>
    <row r="408" hidden="1" outlineLevel="2">
      <c r="A408" s="132">
        <v>18.4</v>
      </c>
      <c r="B408" s="86" t="s">
        <v>842</v>
      </c>
      <c r="C408" s="325"/>
      <c r="D408" s="326"/>
      <c r="E408" s="327">
        <v>720000.0</v>
      </c>
      <c r="F408" s="93">
        <v>1100000.0</v>
      </c>
      <c r="G408" s="93">
        <f t="shared" si="49"/>
        <v>380000</v>
      </c>
      <c r="H408" s="339"/>
      <c r="I408" s="339"/>
      <c r="J408" s="138"/>
      <c r="K408" s="98"/>
      <c r="L408" s="99"/>
    </row>
    <row r="409" hidden="1" outlineLevel="2">
      <c r="A409" s="132">
        <v>18.5</v>
      </c>
      <c r="B409" s="86" t="s">
        <v>843</v>
      </c>
      <c r="C409" s="325"/>
      <c r="D409" s="326"/>
      <c r="E409" s="327">
        <v>847000.0</v>
      </c>
      <c r="F409" s="93">
        <v>1100000.0</v>
      </c>
      <c r="G409" s="93">
        <f t="shared" si="49"/>
        <v>253000</v>
      </c>
      <c r="H409" s="339"/>
      <c r="I409" s="339"/>
      <c r="J409" s="138"/>
      <c r="K409" s="98"/>
      <c r="L409" s="99"/>
    </row>
    <row r="410" hidden="1" outlineLevel="2">
      <c r="A410" s="132">
        <v>18.6</v>
      </c>
      <c r="B410" s="86" t="s">
        <v>844</v>
      </c>
      <c r="C410" s="325"/>
      <c r="D410" s="326"/>
      <c r="E410" s="327">
        <v>0.0</v>
      </c>
      <c r="F410" s="93"/>
      <c r="G410" s="93"/>
      <c r="H410" s="357"/>
      <c r="I410" s="357" t="s">
        <v>845</v>
      </c>
      <c r="J410" s="202"/>
      <c r="K410" s="115" t="s">
        <v>718</v>
      </c>
      <c r="L410" s="99"/>
    </row>
    <row r="411" hidden="1" outlineLevel="2">
      <c r="A411" s="132">
        <v>18.7</v>
      </c>
      <c r="B411" s="86" t="s">
        <v>846</v>
      </c>
      <c r="C411" s="325"/>
      <c r="D411" s="326"/>
      <c r="E411" s="327">
        <v>0.0</v>
      </c>
      <c r="F411" s="93">
        <v>0.0</v>
      </c>
      <c r="G411" s="93">
        <f t="shared" ref="G411:G417" si="50">F411-E411</f>
        <v>0</v>
      </c>
      <c r="H411" s="339"/>
      <c r="I411" s="339"/>
      <c r="J411" s="138"/>
      <c r="K411" s="98"/>
      <c r="L411" s="99"/>
    </row>
    <row r="412" hidden="1" outlineLevel="2">
      <c r="A412" s="132">
        <v>18.8</v>
      </c>
      <c r="B412" s="86" t="s">
        <v>847</v>
      </c>
      <c r="C412" s="325"/>
      <c r="D412" s="326"/>
      <c r="E412" s="327">
        <v>0.0</v>
      </c>
      <c r="F412" s="93">
        <v>0.0</v>
      </c>
      <c r="G412" s="93">
        <f t="shared" si="50"/>
        <v>0</v>
      </c>
      <c r="H412" s="339"/>
      <c r="I412" s="339"/>
      <c r="J412" s="138"/>
      <c r="K412" s="98"/>
      <c r="L412" s="99"/>
    </row>
    <row r="413" hidden="1" outlineLevel="2">
      <c r="A413" s="132">
        <v>18.9</v>
      </c>
      <c r="B413" s="86" t="s">
        <v>848</v>
      </c>
      <c r="C413" s="325"/>
      <c r="D413" s="326"/>
      <c r="E413" s="327">
        <v>0.0</v>
      </c>
      <c r="F413" s="93">
        <v>0.0</v>
      </c>
      <c r="G413" s="93">
        <f t="shared" si="50"/>
        <v>0</v>
      </c>
      <c r="H413" s="339"/>
      <c r="I413" s="339"/>
      <c r="J413" s="138"/>
      <c r="K413" s="98"/>
      <c r="L413" s="99"/>
    </row>
    <row r="414" hidden="1" outlineLevel="2">
      <c r="A414" s="332" t="s">
        <v>849</v>
      </c>
      <c r="B414" s="86" t="s">
        <v>850</v>
      </c>
      <c r="C414" s="325"/>
      <c r="D414" s="326"/>
      <c r="E414" s="327">
        <v>0.0</v>
      </c>
      <c r="F414" s="93">
        <v>0.0</v>
      </c>
      <c r="G414" s="93">
        <f t="shared" si="50"/>
        <v>0</v>
      </c>
      <c r="H414" s="339"/>
      <c r="I414" s="339"/>
      <c r="J414" s="138"/>
      <c r="K414" s="98"/>
      <c r="L414" s="99"/>
    </row>
    <row r="415" hidden="1" outlineLevel="2">
      <c r="A415" s="332" t="s">
        <v>851</v>
      </c>
      <c r="B415" s="86" t="s">
        <v>852</v>
      </c>
      <c r="C415" s="325"/>
      <c r="D415" s="326"/>
      <c r="E415" s="327">
        <v>0.0</v>
      </c>
      <c r="F415" s="93">
        <v>0.0</v>
      </c>
      <c r="G415" s="93">
        <f t="shared" si="50"/>
        <v>0</v>
      </c>
      <c r="H415" s="339"/>
      <c r="I415" s="339"/>
      <c r="J415" s="138"/>
      <c r="K415" s="98"/>
      <c r="L415" s="99"/>
    </row>
    <row r="416" hidden="1" outlineLevel="2">
      <c r="A416" s="132" t="s">
        <v>853</v>
      </c>
      <c r="B416" s="86" t="s">
        <v>854</v>
      </c>
      <c r="C416" s="325"/>
      <c r="D416" s="326"/>
      <c r="E416" s="327">
        <v>0.0</v>
      </c>
      <c r="F416" s="93">
        <v>0.0</v>
      </c>
      <c r="G416" s="93">
        <f t="shared" si="50"/>
        <v>0</v>
      </c>
      <c r="H416" s="339"/>
      <c r="I416" s="339"/>
      <c r="J416" s="138"/>
      <c r="K416" s="98"/>
      <c r="L416" s="99"/>
    </row>
    <row r="417" hidden="1" outlineLevel="2">
      <c r="A417" s="132" t="s">
        <v>855</v>
      </c>
      <c r="B417" s="86" t="s">
        <v>856</v>
      </c>
      <c r="C417" s="325"/>
      <c r="D417" s="326"/>
      <c r="E417" s="327">
        <v>0.0</v>
      </c>
      <c r="F417" s="93">
        <v>0.0</v>
      </c>
      <c r="G417" s="93">
        <f t="shared" si="50"/>
        <v>0</v>
      </c>
      <c r="H417" s="339"/>
      <c r="I417" s="339"/>
      <c r="J417" s="138"/>
      <c r="K417" s="98"/>
      <c r="L417" s="99"/>
    </row>
    <row r="418" hidden="1" outlineLevel="2">
      <c r="A418" s="132"/>
      <c r="B418" s="133"/>
      <c r="C418" s="325"/>
      <c r="D418" s="326"/>
      <c r="E418" s="340"/>
      <c r="F418" s="341"/>
      <c r="G418" s="341"/>
      <c r="H418" s="137"/>
      <c r="I418" s="137"/>
      <c r="J418" s="138"/>
      <c r="K418" s="98"/>
      <c r="L418" s="99"/>
    </row>
    <row r="419" hidden="1" outlineLevel="1">
      <c r="A419" s="342">
        <v>19.0</v>
      </c>
      <c r="B419" s="343" t="s">
        <v>857</v>
      </c>
      <c r="C419" s="344">
        <f>4*500000+6*95000</f>
        <v>2570000</v>
      </c>
      <c r="D419" s="300">
        <f>4*(E419/3)+6*200000</f>
        <v>7280000</v>
      </c>
      <c r="E419" s="300">
        <f t="shared" ref="E419:F419" si="51">SUM(E421:E423)</f>
        <v>4560000</v>
      </c>
      <c r="F419" s="345">
        <f t="shared" si="51"/>
        <v>4560000</v>
      </c>
      <c r="G419" s="345">
        <f>F419-E419</f>
        <v>0</v>
      </c>
      <c r="H419" s="350"/>
      <c r="I419" s="350"/>
      <c r="J419" s="347">
        <f>E419-D419</f>
        <v>-2720000</v>
      </c>
      <c r="K419" s="348"/>
      <c r="L419" s="349"/>
    </row>
    <row r="420" hidden="1" outlineLevel="1" collapsed="1">
      <c r="A420" s="307"/>
      <c r="B420" s="308" t="s">
        <v>858</v>
      </c>
      <c r="C420" s="309">
        <v>10.0</v>
      </c>
      <c r="D420" s="316">
        <f>(D419/C419)-1</f>
        <v>1.832684825</v>
      </c>
      <c r="E420" s="317">
        <f>COUNT(E421:E423)</f>
        <v>3</v>
      </c>
      <c r="F420" s="317"/>
      <c r="G420" s="317"/>
      <c r="H420" s="318"/>
      <c r="I420" s="318"/>
      <c r="J420" s="319">
        <f>E419/E420</f>
        <v>1520000</v>
      </c>
      <c r="K420" s="320"/>
      <c r="L420" s="322"/>
    </row>
    <row r="421" hidden="1" outlineLevel="2">
      <c r="A421" s="132">
        <v>19.1</v>
      </c>
      <c r="B421" s="86" t="s">
        <v>859</v>
      </c>
      <c r="C421" s="325"/>
      <c r="D421" s="326"/>
      <c r="E421" s="327">
        <v>1520000.0</v>
      </c>
      <c r="F421" s="93">
        <v>1520000.0</v>
      </c>
      <c r="G421" s="93">
        <f t="shared" ref="G421:G423" si="52">F421-E421</f>
        <v>0</v>
      </c>
      <c r="H421" s="339"/>
      <c r="I421" s="339"/>
      <c r="J421" s="138"/>
      <c r="K421" s="98"/>
      <c r="L421" s="99"/>
    </row>
    <row r="422" hidden="1" outlineLevel="2">
      <c r="A422" s="132">
        <v>19.2</v>
      </c>
      <c r="B422" s="86" t="s">
        <v>860</v>
      </c>
      <c r="C422" s="325"/>
      <c r="D422" s="326"/>
      <c r="E422" s="327">
        <v>1520000.0</v>
      </c>
      <c r="F422" s="93">
        <v>1520000.0</v>
      </c>
      <c r="G422" s="93">
        <f t="shared" si="52"/>
        <v>0</v>
      </c>
      <c r="H422" s="339"/>
      <c r="I422" s="339"/>
      <c r="J422" s="138"/>
      <c r="K422" s="98"/>
      <c r="L422" s="99"/>
    </row>
    <row r="423" hidden="1" outlineLevel="2">
      <c r="A423" s="132">
        <v>19.3</v>
      </c>
      <c r="B423" s="86" t="s">
        <v>861</v>
      </c>
      <c r="C423" s="325"/>
      <c r="D423" s="326"/>
      <c r="E423" s="327">
        <v>1520000.0</v>
      </c>
      <c r="F423" s="93">
        <v>1520000.0</v>
      </c>
      <c r="G423" s="93">
        <f t="shared" si="52"/>
        <v>0</v>
      </c>
      <c r="H423" s="339"/>
      <c r="I423" s="339"/>
      <c r="J423" s="138"/>
      <c r="K423" s="98"/>
      <c r="L423" s="99"/>
    </row>
    <row r="424" hidden="1" outlineLevel="2">
      <c r="A424" s="132"/>
      <c r="B424" s="133"/>
      <c r="C424" s="325"/>
      <c r="D424" s="326"/>
      <c r="E424" s="355"/>
      <c r="F424" s="356"/>
      <c r="G424" s="356"/>
      <c r="H424" s="137"/>
      <c r="I424" s="137"/>
      <c r="J424" s="138"/>
      <c r="K424" s="98"/>
      <c r="L424" s="99"/>
    </row>
    <row r="425" hidden="1" outlineLevel="1">
      <c r="A425" s="342">
        <v>20.0</v>
      </c>
      <c r="B425" s="343" t="s">
        <v>862</v>
      </c>
      <c r="C425" s="344">
        <f>B426*C426</f>
        <v>3300000</v>
      </c>
      <c r="D425" s="300">
        <f>C426*J426</f>
        <v>7800000</v>
      </c>
      <c r="E425" s="300">
        <f t="shared" ref="E425:F425" si="53">SUM(E427:E437)</f>
        <v>2080000</v>
      </c>
      <c r="F425" s="345">
        <f t="shared" si="53"/>
        <v>2080000</v>
      </c>
      <c r="G425" s="345">
        <f>F425-E425</f>
        <v>0</v>
      </c>
      <c r="H425" s="350"/>
      <c r="I425" s="350"/>
      <c r="J425" s="347">
        <f>E425-D425</f>
        <v>-5720000</v>
      </c>
      <c r="K425" s="348" t="s">
        <v>863</v>
      </c>
      <c r="L425" s="349"/>
    </row>
    <row r="426" hidden="1" outlineLevel="1" collapsed="1">
      <c r="A426" s="307"/>
      <c r="B426" s="308">
        <v>110000.0</v>
      </c>
      <c r="C426" s="309">
        <v>30.0</v>
      </c>
      <c r="D426" s="316">
        <f>(D425/C425)-1</f>
        <v>1.363636364</v>
      </c>
      <c r="E426" s="317">
        <f>COUNT(E427:E430)+COUNT(E433:E436)</f>
        <v>8</v>
      </c>
      <c r="F426" s="317"/>
      <c r="G426" s="317"/>
      <c r="H426" s="318"/>
      <c r="I426" s="318"/>
      <c r="J426" s="319">
        <f>E425/E426</f>
        <v>260000</v>
      </c>
      <c r="K426" s="320"/>
      <c r="L426" s="322"/>
    </row>
    <row r="427" hidden="1" outlineLevel="2">
      <c r="A427" s="132">
        <v>20.1</v>
      </c>
      <c r="B427" s="86" t="s">
        <v>864</v>
      </c>
      <c r="C427" s="325"/>
      <c r="D427" s="326"/>
      <c r="E427" s="327">
        <v>255000.0</v>
      </c>
      <c r="F427" s="93">
        <v>255000.0</v>
      </c>
      <c r="G427" s="93">
        <f t="shared" ref="G427:G437" si="54">F427-E427</f>
        <v>0</v>
      </c>
      <c r="H427" s="339"/>
      <c r="I427" s="339"/>
      <c r="J427" s="138"/>
      <c r="K427" s="98"/>
      <c r="L427" s="99"/>
    </row>
    <row r="428" hidden="1" outlineLevel="2">
      <c r="A428" s="132">
        <v>20.2</v>
      </c>
      <c r="B428" s="86" t="s">
        <v>865</v>
      </c>
      <c r="C428" s="325"/>
      <c r="D428" s="326"/>
      <c r="E428" s="327">
        <v>266000.0</v>
      </c>
      <c r="F428" s="93">
        <v>266000.0</v>
      </c>
      <c r="G428" s="93">
        <f t="shared" si="54"/>
        <v>0</v>
      </c>
      <c r="H428" s="339"/>
      <c r="I428" s="339"/>
      <c r="J428" s="138"/>
      <c r="K428" s="98"/>
      <c r="L428" s="99"/>
    </row>
    <row r="429" hidden="1" outlineLevel="2">
      <c r="A429" s="132">
        <v>20.3</v>
      </c>
      <c r="B429" s="86" t="s">
        <v>866</v>
      </c>
      <c r="C429" s="325"/>
      <c r="D429" s="326"/>
      <c r="E429" s="327">
        <v>260000.0</v>
      </c>
      <c r="F429" s="93">
        <v>260000.0</v>
      </c>
      <c r="G429" s="93">
        <f t="shared" si="54"/>
        <v>0</v>
      </c>
      <c r="H429" s="339"/>
      <c r="I429" s="339"/>
      <c r="J429" s="138"/>
      <c r="K429" s="98"/>
      <c r="L429" s="99"/>
    </row>
    <row r="430" hidden="1" outlineLevel="2">
      <c r="A430" s="132">
        <v>20.4</v>
      </c>
      <c r="B430" s="86" t="s">
        <v>867</v>
      </c>
      <c r="C430" s="325"/>
      <c r="D430" s="326"/>
      <c r="E430" s="327">
        <v>260000.0</v>
      </c>
      <c r="F430" s="93">
        <v>260000.0</v>
      </c>
      <c r="G430" s="93">
        <f t="shared" si="54"/>
        <v>0</v>
      </c>
      <c r="H430" s="339"/>
      <c r="I430" s="339"/>
      <c r="J430" s="138"/>
      <c r="K430" s="98"/>
      <c r="L430" s="99"/>
    </row>
    <row r="431" hidden="1" outlineLevel="2">
      <c r="A431" s="132">
        <v>20.5</v>
      </c>
      <c r="B431" s="86" t="s">
        <v>424</v>
      </c>
      <c r="C431" s="325"/>
      <c r="D431" s="326"/>
      <c r="E431" s="327">
        <v>0.0</v>
      </c>
      <c r="F431" s="93">
        <v>0.0</v>
      </c>
      <c r="G431" s="93">
        <f t="shared" si="54"/>
        <v>0</v>
      </c>
      <c r="H431" s="357"/>
      <c r="I431" s="357" t="s">
        <v>869</v>
      </c>
      <c r="J431" s="202"/>
      <c r="K431" s="115" t="s">
        <v>427</v>
      </c>
      <c r="L431" s="99"/>
    </row>
    <row r="432" hidden="1" outlineLevel="2">
      <c r="A432" s="132">
        <v>20.6</v>
      </c>
      <c r="B432" s="86" t="s">
        <v>430</v>
      </c>
      <c r="C432" s="325"/>
      <c r="D432" s="326"/>
      <c r="E432" s="327">
        <v>0.0</v>
      </c>
      <c r="F432" s="93">
        <v>0.0</v>
      </c>
      <c r="G432" s="93">
        <f t="shared" si="54"/>
        <v>0</v>
      </c>
      <c r="H432" s="357"/>
      <c r="I432" s="357" t="s">
        <v>870</v>
      </c>
      <c r="J432" s="202"/>
      <c r="K432" s="115" t="s">
        <v>427</v>
      </c>
      <c r="L432" s="99"/>
    </row>
    <row r="433" hidden="1" outlineLevel="2">
      <c r="A433" s="132">
        <v>20.7</v>
      </c>
      <c r="B433" s="86" t="s">
        <v>872</v>
      </c>
      <c r="C433" s="325"/>
      <c r="D433" s="326"/>
      <c r="E433" s="327">
        <v>264000.0</v>
      </c>
      <c r="F433" s="93">
        <v>264000.0</v>
      </c>
      <c r="G433" s="93">
        <f t="shared" si="54"/>
        <v>0</v>
      </c>
      <c r="H433" s="339"/>
      <c r="I433" s="339"/>
      <c r="J433" s="138"/>
      <c r="K433" s="98"/>
      <c r="L433" s="99"/>
    </row>
    <row r="434" hidden="1" outlineLevel="2">
      <c r="A434" s="132">
        <v>20.8</v>
      </c>
      <c r="B434" s="86" t="s">
        <v>873</v>
      </c>
      <c r="C434" s="325"/>
      <c r="D434" s="326"/>
      <c r="E434" s="327">
        <v>258000.0</v>
      </c>
      <c r="F434" s="93">
        <v>258000.0</v>
      </c>
      <c r="G434" s="93">
        <f t="shared" si="54"/>
        <v>0</v>
      </c>
      <c r="H434" s="339"/>
      <c r="I434" s="339"/>
      <c r="J434" s="138"/>
      <c r="K434" s="98"/>
      <c r="L434" s="99"/>
    </row>
    <row r="435" hidden="1" outlineLevel="2">
      <c r="A435" s="132">
        <v>20.9</v>
      </c>
      <c r="B435" s="86" t="s">
        <v>874</v>
      </c>
      <c r="C435" s="325"/>
      <c r="D435" s="326"/>
      <c r="E435" s="327">
        <v>264000.0</v>
      </c>
      <c r="F435" s="93">
        <v>264000.0</v>
      </c>
      <c r="G435" s="93">
        <f t="shared" si="54"/>
        <v>0</v>
      </c>
      <c r="H435" s="339"/>
      <c r="I435" s="339"/>
      <c r="J435" s="138"/>
      <c r="K435" s="98"/>
      <c r="L435" s="99"/>
    </row>
    <row r="436" hidden="1" outlineLevel="2">
      <c r="A436" s="332" t="s">
        <v>875</v>
      </c>
      <c r="B436" s="86" t="s">
        <v>876</v>
      </c>
      <c r="C436" s="325"/>
      <c r="D436" s="326"/>
      <c r="E436" s="327">
        <v>253000.0</v>
      </c>
      <c r="F436" s="93">
        <v>253000.0</v>
      </c>
      <c r="G436" s="93">
        <f t="shared" si="54"/>
        <v>0</v>
      </c>
      <c r="H436" s="339"/>
      <c r="I436" s="339"/>
      <c r="J436" s="138"/>
      <c r="K436" s="98"/>
      <c r="L436" s="99"/>
    </row>
    <row r="437" hidden="1" outlineLevel="2">
      <c r="A437" s="332" t="s">
        <v>431</v>
      </c>
      <c r="B437" s="86" t="s">
        <v>432</v>
      </c>
      <c r="C437" s="325"/>
      <c r="D437" s="326"/>
      <c r="E437" s="327">
        <v>0.0</v>
      </c>
      <c r="F437" s="93">
        <v>0.0</v>
      </c>
      <c r="G437" s="93">
        <f t="shared" si="54"/>
        <v>0</v>
      </c>
      <c r="H437" s="357"/>
      <c r="I437" s="357" t="s">
        <v>878</v>
      </c>
      <c r="J437" s="202"/>
      <c r="K437" s="115" t="s">
        <v>427</v>
      </c>
      <c r="L437" s="99"/>
    </row>
    <row r="438" hidden="1" outlineLevel="2">
      <c r="A438" s="132"/>
      <c r="B438" s="133"/>
      <c r="C438" s="325"/>
      <c r="D438" s="326"/>
      <c r="E438" s="340"/>
      <c r="F438" s="341"/>
      <c r="G438" s="341"/>
      <c r="H438" s="137"/>
      <c r="I438" s="137"/>
      <c r="J438" s="138"/>
      <c r="K438" s="98"/>
      <c r="L438" s="99"/>
    </row>
    <row r="439" hidden="1" outlineLevel="1">
      <c r="A439" s="342">
        <v>21.0</v>
      </c>
      <c r="B439" s="343" t="s">
        <v>879</v>
      </c>
      <c r="C439" s="344">
        <f>B440*C440</f>
        <v>1500000</v>
      </c>
      <c r="D439" s="300">
        <f>C440*J440</f>
        <v>3356250</v>
      </c>
      <c r="E439" s="300">
        <f t="shared" ref="E439:F439" si="55">SUM(E441:E449)</f>
        <v>1790000</v>
      </c>
      <c r="F439" s="345">
        <f t="shared" si="55"/>
        <v>1790000</v>
      </c>
      <c r="G439" s="345">
        <f>F439-E439</f>
        <v>0</v>
      </c>
      <c r="H439" s="350"/>
      <c r="I439" s="350"/>
      <c r="J439" s="347">
        <f>E439-D439</f>
        <v>-1566250</v>
      </c>
      <c r="K439" s="348" t="s">
        <v>881</v>
      </c>
      <c r="L439" s="349"/>
    </row>
    <row r="440" hidden="1" outlineLevel="1" collapsed="1">
      <c r="A440" s="307"/>
      <c r="B440" s="308">
        <v>100000.0</v>
      </c>
      <c r="C440" s="309">
        <v>15.0</v>
      </c>
      <c r="D440" s="316">
        <f>(D439/C439)-1</f>
        <v>1.2375</v>
      </c>
      <c r="E440" s="317">
        <f>COUNT(E441:E448)</f>
        <v>8</v>
      </c>
      <c r="F440" s="317"/>
      <c r="G440" s="317"/>
      <c r="H440" s="318"/>
      <c r="I440" s="318"/>
      <c r="J440" s="319">
        <f>E439/E440</f>
        <v>223750</v>
      </c>
      <c r="K440" s="320"/>
      <c r="L440" s="322"/>
    </row>
    <row r="441" hidden="1" outlineLevel="2">
      <c r="A441" s="132">
        <v>21.1</v>
      </c>
      <c r="B441" s="86" t="s">
        <v>882</v>
      </c>
      <c r="C441" s="325"/>
      <c r="D441" s="326"/>
      <c r="E441" s="327">
        <v>360000.0</v>
      </c>
      <c r="F441" s="93">
        <v>360000.0</v>
      </c>
      <c r="G441" s="93">
        <f t="shared" ref="G441:G449" si="56">F441-E441</f>
        <v>0</v>
      </c>
      <c r="H441" s="339"/>
      <c r="I441" s="339"/>
      <c r="J441" s="138"/>
      <c r="K441" s="98"/>
      <c r="L441" s="99"/>
    </row>
    <row r="442" hidden="1" outlineLevel="2">
      <c r="A442" s="132">
        <v>21.2</v>
      </c>
      <c r="B442" s="86" t="s">
        <v>883</v>
      </c>
      <c r="C442" s="325"/>
      <c r="D442" s="326"/>
      <c r="E442" s="327">
        <v>306000.0</v>
      </c>
      <c r="F442" s="93">
        <v>306000.0</v>
      </c>
      <c r="G442" s="93">
        <f t="shared" si="56"/>
        <v>0</v>
      </c>
      <c r="H442" s="339"/>
      <c r="I442" s="339"/>
      <c r="J442" s="138"/>
      <c r="K442" s="98"/>
      <c r="L442" s="99"/>
    </row>
    <row r="443" hidden="1" outlineLevel="2">
      <c r="A443" s="132">
        <v>21.3</v>
      </c>
      <c r="B443" s="86" t="s">
        <v>884</v>
      </c>
      <c r="C443" s="325"/>
      <c r="D443" s="326"/>
      <c r="E443" s="327">
        <v>306000.0</v>
      </c>
      <c r="F443" s="93">
        <v>306000.0</v>
      </c>
      <c r="G443" s="93">
        <f t="shared" si="56"/>
        <v>0</v>
      </c>
      <c r="H443" s="339"/>
      <c r="I443" s="339"/>
      <c r="J443" s="138"/>
      <c r="K443" s="98"/>
      <c r="L443" s="99"/>
    </row>
    <row r="444" hidden="1" outlineLevel="2">
      <c r="A444" s="132">
        <v>21.4</v>
      </c>
      <c r="B444" s="86" t="s">
        <v>885</v>
      </c>
      <c r="C444" s="325"/>
      <c r="D444" s="326"/>
      <c r="E444" s="327">
        <v>385000.0</v>
      </c>
      <c r="F444" s="93">
        <v>385000.0</v>
      </c>
      <c r="G444" s="93">
        <f t="shared" si="56"/>
        <v>0</v>
      </c>
      <c r="H444" s="339"/>
      <c r="I444" s="339"/>
      <c r="J444" s="138"/>
      <c r="K444" s="98"/>
      <c r="L444" s="99"/>
    </row>
    <row r="445" hidden="1" outlineLevel="2">
      <c r="A445" s="132">
        <v>21.5</v>
      </c>
      <c r="B445" s="86" t="s">
        <v>886</v>
      </c>
      <c r="C445" s="325"/>
      <c r="D445" s="326"/>
      <c r="E445" s="327">
        <v>122000.0</v>
      </c>
      <c r="F445" s="93">
        <v>122000.0</v>
      </c>
      <c r="G445" s="93">
        <f t="shared" si="56"/>
        <v>0</v>
      </c>
      <c r="H445" s="339"/>
      <c r="I445" s="339"/>
      <c r="J445" s="138"/>
      <c r="K445" s="98"/>
      <c r="L445" s="99"/>
    </row>
    <row r="446" hidden="1" outlineLevel="2">
      <c r="A446" s="132">
        <v>21.6</v>
      </c>
      <c r="B446" s="86" t="s">
        <v>887</v>
      </c>
      <c r="C446" s="325"/>
      <c r="D446" s="326"/>
      <c r="E446" s="327">
        <v>107000.0</v>
      </c>
      <c r="F446" s="93">
        <v>107000.0</v>
      </c>
      <c r="G446" s="93">
        <f t="shared" si="56"/>
        <v>0</v>
      </c>
      <c r="H446" s="339"/>
      <c r="I446" s="339"/>
      <c r="J446" s="138"/>
      <c r="K446" s="98"/>
      <c r="L446" s="99"/>
    </row>
    <row r="447" hidden="1" outlineLevel="2">
      <c r="A447" s="132">
        <v>21.7</v>
      </c>
      <c r="B447" s="86" t="s">
        <v>888</v>
      </c>
      <c r="C447" s="325"/>
      <c r="D447" s="326"/>
      <c r="E447" s="327">
        <v>102000.0</v>
      </c>
      <c r="F447" s="93">
        <v>102000.0</v>
      </c>
      <c r="G447" s="93">
        <f t="shared" si="56"/>
        <v>0</v>
      </c>
      <c r="H447" s="339"/>
      <c r="I447" s="339"/>
      <c r="J447" s="138"/>
      <c r="K447" s="98"/>
      <c r="L447" s="99"/>
    </row>
    <row r="448" hidden="1" outlineLevel="2">
      <c r="A448" s="132">
        <v>21.8</v>
      </c>
      <c r="B448" s="86" t="s">
        <v>889</v>
      </c>
      <c r="C448" s="325"/>
      <c r="D448" s="326"/>
      <c r="E448" s="327">
        <v>102000.0</v>
      </c>
      <c r="F448" s="93">
        <v>102000.0</v>
      </c>
      <c r="G448" s="93">
        <f t="shared" si="56"/>
        <v>0</v>
      </c>
      <c r="H448" s="339"/>
      <c r="I448" s="339"/>
      <c r="J448" s="138"/>
      <c r="K448" s="98"/>
      <c r="L448" s="99"/>
    </row>
    <row r="449" hidden="1" outlineLevel="2">
      <c r="A449" s="132">
        <v>21.9</v>
      </c>
      <c r="B449" s="86" t="s">
        <v>435</v>
      </c>
      <c r="C449" s="325"/>
      <c r="D449" s="326"/>
      <c r="E449" s="464">
        <v>0.0</v>
      </c>
      <c r="F449" s="99">
        <v>0.0</v>
      </c>
      <c r="G449" s="99">
        <f t="shared" si="56"/>
        <v>0</v>
      </c>
      <c r="H449" s="357"/>
      <c r="I449" s="357" t="s">
        <v>890</v>
      </c>
      <c r="J449" s="138"/>
      <c r="K449" s="115" t="s">
        <v>438</v>
      </c>
      <c r="L449" s="99"/>
    </row>
    <row r="450" hidden="1" outlineLevel="2">
      <c r="A450" s="132"/>
      <c r="B450" s="133"/>
      <c r="C450" s="325"/>
      <c r="D450" s="326"/>
      <c r="E450" s="355"/>
      <c r="F450" s="356"/>
      <c r="G450" s="356"/>
      <c r="H450" s="137"/>
      <c r="I450" s="137"/>
      <c r="J450" s="138"/>
      <c r="K450" s="98"/>
      <c r="L450" s="99"/>
    </row>
    <row r="451" hidden="1" outlineLevel="1">
      <c r="A451" s="342">
        <v>22.0</v>
      </c>
      <c r="B451" s="343" t="s">
        <v>891</v>
      </c>
      <c r="C451" s="344">
        <f>B452*C452</f>
        <v>160000</v>
      </c>
      <c r="D451" s="300">
        <f>C452*J452</f>
        <v>296000</v>
      </c>
      <c r="E451" s="300">
        <f t="shared" ref="E451:F451" si="57">SUM(E453:E455)</f>
        <v>148000</v>
      </c>
      <c r="F451" s="345">
        <f t="shared" si="57"/>
        <v>148000</v>
      </c>
      <c r="G451" s="345">
        <f>F451-E451</f>
        <v>0</v>
      </c>
      <c r="H451" s="350"/>
      <c r="I451" s="350"/>
      <c r="J451" s="347">
        <f>E451-D451</f>
        <v>-148000</v>
      </c>
      <c r="K451" s="348" t="s">
        <v>904</v>
      </c>
      <c r="L451" s="349"/>
    </row>
    <row r="452" hidden="1" outlineLevel="1" collapsed="1">
      <c r="A452" s="307"/>
      <c r="B452" s="308">
        <v>80000.0</v>
      </c>
      <c r="C452" s="309">
        <v>2.0</v>
      </c>
      <c r="D452" s="316">
        <f>(D451/C451)-1</f>
        <v>0.85</v>
      </c>
      <c r="E452" s="317">
        <v>1.0</v>
      </c>
      <c r="F452" s="317"/>
      <c r="G452" s="317"/>
      <c r="H452" s="318"/>
      <c r="I452" s="318"/>
      <c r="J452" s="319">
        <f>E451/E452</f>
        <v>148000</v>
      </c>
      <c r="K452" s="320"/>
      <c r="L452" s="322"/>
    </row>
    <row r="453" hidden="1" outlineLevel="2">
      <c r="A453" s="132">
        <v>22.1</v>
      </c>
      <c r="B453" s="86" t="s">
        <v>437</v>
      </c>
      <c r="C453" s="325"/>
      <c r="D453" s="326"/>
      <c r="E453" s="327">
        <v>0.0</v>
      </c>
      <c r="F453" s="93">
        <v>0.0</v>
      </c>
      <c r="G453" s="93">
        <f t="shared" ref="G453:G455" si="58">F453-E453</f>
        <v>0</v>
      </c>
      <c r="H453" s="357"/>
      <c r="I453" s="357" t="s">
        <v>910</v>
      </c>
      <c r="J453" s="202"/>
      <c r="K453" s="115" t="s">
        <v>438</v>
      </c>
      <c r="L453" s="99"/>
    </row>
    <row r="454" hidden="1" outlineLevel="2">
      <c r="A454" s="132">
        <v>22.2</v>
      </c>
      <c r="B454" s="86" t="s">
        <v>440</v>
      </c>
      <c r="C454" s="325"/>
      <c r="D454" s="326"/>
      <c r="E454" s="327">
        <v>0.0</v>
      </c>
      <c r="F454" s="93">
        <v>0.0</v>
      </c>
      <c r="G454" s="93">
        <f t="shared" si="58"/>
        <v>0</v>
      </c>
      <c r="H454" s="357"/>
      <c r="I454" s="357" t="s">
        <v>912</v>
      </c>
      <c r="J454" s="202"/>
      <c r="K454" s="115" t="s">
        <v>438</v>
      </c>
      <c r="L454" s="99"/>
    </row>
    <row r="455" hidden="1" outlineLevel="2">
      <c r="A455" s="132">
        <v>22.3</v>
      </c>
      <c r="B455" s="86" t="s">
        <v>913</v>
      </c>
      <c r="C455" s="325"/>
      <c r="D455" s="326"/>
      <c r="E455" s="327">
        <v>148000.0</v>
      </c>
      <c r="F455" s="93">
        <v>148000.0</v>
      </c>
      <c r="G455" s="93">
        <f t="shared" si="58"/>
        <v>0</v>
      </c>
      <c r="H455" s="339"/>
      <c r="I455" s="339"/>
      <c r="J455" s="138"/>
      <c r="K455" s="98"/>
      <c r="L455" s="99"/>
    </row>
    <row r="456" hidden="1" outlineLevel="2">
      <c r="A456" s="132"/>
      <c r="B456" s="133"/>
      <c r="C456" s="325"/>
      <c r="D456" s="326"/>
      <c r="E456" s="340"/>
      <c r="F456" s="341"/>
      <c r="G456" s="341"/>
      <c r="H456" s="137"/>
      <c r="I456" s="137"/>
      <c r="J456" s="138"/>
      <c r="K456" s="98"/>
      <c r="L456" s="99"/>
    </row>
    <row r="457" hidden="1" outlineLevel="1">
      <c r="A457" s="342">
        <v>23.0</v>
      </c>
      <c r="B457" s="343" t="s">
        <v>914</v>
      </c>
      <c r="C457" s="344">
        <f>30000+60000</f>
        <v>90000</v>
      </c>
      <c r="D457" s="300">
        <f>C458*J458</f>
        <v>314000</v>
      </c>
      <c r="E457" s="300">
        <f t="shared" ref="E457:F457" si="59">E459</f>
        <v>157000</v>
      </c>
      <c r="F457" s="345">
        <f t="shared" si="59"/>
        <v>157000</v>
      </c>
      <c r="G457" s="345">
        <f>F457-E457</f>
        <v>0</v>
      </c>
      <c r="H457" s="350"/>
      <c r="I457" s="350"/>
      <c r="J457" s="347">
        <f>E457-D457</f>
        <v>-157000</v>
      </c>
      <c r="K457" s="348"/>
      <c r="L457" s="349"/>
    </row>
    <row r="458" hidden="1" outlineLevel="1" collapsed="1">
      <c r="A458" s="307"/>
      <c r="B458" s="308" t="s">
        <v>915</v>
      </c>
      <c r="C458" s="309">
        <v>2.0</v>
      </c>
      <c r="D458" s="316">
        <f>(D457/C457)-1</f>
        <v>2.488888889</v>
      </c>
      <c r="E458" s="317">
        <f>COUNT(E459)</f>
        <v>1</v>
      </c>
      <c r="F458" s="317"/>
      <c r="G458" s="317"/>
      <c r="H458" s="318"/>
      <c r="I458" s="318"/>
      <c r="J458" s="319">
        <f>E457/E458</f>
        <v>157000</v>
      </c>
      <c r="K458" s="320"/>
      <c r="L458" s="322"/>
    </row>
    <row r="459" hidden="1" outlineLevel="2">
      <c r="A459" s="132">
        <v>23.1</v>
      </c>
      <c r="B459" s="86" t="s">
        <v>916</v>
      </c>
      <c r="C459" s="325"/>
      <c r="D459" s="326"/>
      <c r="E459" s="327">
        <v>157000.0</v>
      </c>
      <c r="F459" s="93">
        <v>157000.0</v>
      </c>
      <c r="G459" s="93">
        <f>F459-E459</f>
        <v>0</v>
      </c>
      <c r="H459" s="339"/>
      <c r="I459" s="339"/>
      <c r="J459" s="138"/>
      <c r="K459" s="98"/>
      <c r="L459" s="99"/>
    </row>
    <row r="460" hidden="1" outlineLevel="2">
      <c r="A460" s="132"/>
      <c r="B460" s="133"/>
      <c r="C460" s="325"/>
      <c r="D460" s="326"/>
      <c r="E460" s="355"/>
      <c r="F460" s="356"/>
      <c r="G460" s="356"/>
      <c r="H460" s="137"/>
      <c r="I460" s="137"/>
      <c r="J460" s="138"/>
      <c r="K460" s="98"/>
      <c r="L460" s="99"/>
    </row>
    <row r="461" hidden="1" outlineLevel="1">
      <c r="A461" s="342">
        <v>24.0</v>
      </c>
      <c r="B461" s="343" t="s">
        <v>917</v>
      </c>
      <c r="C461" s="344">
        <f>B462*C462</f>
        <v>8800000</v>
      </c>
      <c r="D461" s="300">
        <f>C462*J462</f>
        <v>14905000</v>
      </c>
      <c r="E461" s="300">
        <f t="shared" ref="E461:F461" si="60">SUM(E463:E467)</f>
        <v>5420000</v>
      </c>
      <c r="F461" s="345">
        <f t="shared" si="60"/>
        <v>5420000</v>
      </c>
      <c r="G461" s="345">
        <f>F461-E461</f>
        <v>0</v>
      </c>
      <c r="H461" s="350"/>
      <c r="I461" s="350"/>
      <c r="J461" s="347">
        <f>E461-D461</f>
        <v>-9485000</v>
      </c>
      <c r="K461" s="348" t="s">
        <v>881</v>
      </c>
      <c r="L461" s="349"/>
    </row>
    <row r="462" hidden="1" outlineLevel="1" collapsed="1">
      <c r="A462" s="307"/>
      <c r="B462" s="308">
        <v>800000.0</v>
      </c>
      <c r="C462" s="309">
        <v>11.0</v>
      </c>
      <c r="D462" s="316">
        <f>(D461/C461)-1</f>
        <v>0.69375</v>
      </c>
      <c r="E462" s="317">
        <f>COUNT(E463:E466)</f>
        <v>4</v>
      </c>
      <c r="F462" s="317"/>
      <c r="G462" s="317"/>
      <c r="H462" s="318"/>
      <c r="I462" s="318"/>
      <c r="J462" s="319">
        <f>E461/E462</f>
        <v>1355000</v>
      </c>
      <c r="K462" s="320"/>
      <c r="L462" s="322"/>
    </row>
    <row r="463" hidden="1" outlineLevel="2">
      <c r="A463" s="132">
        <v>24.1</v>
      </c>
      <c r="B463" s="86" t="s">
        <v>918</v>
      </c>
      <c r="C463" s="325"/>
      <c r="D463" s="326"/>
      <c r="E463" s="327">
        <v>1355000.0</v>
      </c>
      <c r="F463" s="93">
        <v>1355000.0</v>
      </c>
      <c r="G463" s="93">
        <f t="shared" ref="G463:G467" si="61">F463-E463</f>
        <v>0</v>
      </c>
      <c r="H463" s="339"/>
      <c r="I463" s="339"/>
      <c r="J463" s="138"/>
      <c r="K463" s="98"/>
      <c r="L463" s="99"/>
    </row>
    <row r="464" hidden="1" outlineLevel="2">
      <c r="A464" s="132">
        <v>24.2</v>
      </c>
      <c r="B464" s="86" t="s">
        <v>919</v>
      </c>
      <c r="C464" s="325"/>
      <c r="D464" s="326"/>
      <c r="E464" s="327">
        <v>1355000.0</v>
      </c>
      <c r="F464" s="93">
        <v>1355000.0</v>
      </c>
      <c r="G464" s="93">
        <f t="shared" si="61"/>
        <v>0</v>
      </c>
      <c r="H464" s="339"/>
      <c r="I464" s="339"/>
      <c r="J464" s="138"/>
      <c r="K464" s="98"/>
      <c r="L464" s="99"/>
    </row>
    <row r="465" hidden="1" outlineLevel="2">
      <c r="A465" s="132">
        <v>24.3</v>
      </c>
      <c r="B465" s="86" t="s">
        <v>920</v>
      </c>
      <c r="C465" s="325"/>
      <c r="D465" s="326"/>
      <c r="E465" s="327">
        <v>1355000.0</v>
      </c>
      <c r="F465" s="93">
        <v>1355000.0</v>
      </c>
      <c r="G465" s="93">
        <f t="shared" si="61"/>
        <v>0</v>
      </c>
      <c r="H465" s="339"/>
      <c r="I465" s="339"/>
      <c r="J465" s="138"/>
      <c r="K465" s="98"/>
      <c r="L465" s="99"/>
    </row>
    <row r="466" hidden="1" outlineLevel="2">
      <c r="A466" s="132">
        <v>24.4</v>
      </c>
      <c r="B466" s="86" t="s">
        <v>921</v>
      </c>
      <c r="C466" s="325"/>
      <c r="D466" s="326"/>
      <c r="E466" s="327">
        <v>1355000.0</v>
      </c>
      <c r="F466" s="93">
        <v>1355000.0</v>
      </c>
      <c r="G466" s="93">
        <f t="shared" si="61"/>
        <v>0</v>
      </c>
      <c r="H466" s="339"/>
      <c r="I466" s="339"/>
      <c r="J466" s="138"/>
      <c r="K466" s="98"/>
      <c r="L466" s="99"/>
    </row>
    <row r="467" hidden="1" outlineLevel="2">
      <c r="A467" s="132">
        <v>24.5</v>
      </c>
      <c r="B467" s="86" t="s">
        <v>442</v>
      </c>
      <c r="C467" s="325"/>
      <c r="D467" s="326"/>
      <c r="E467" s="327">
        <v>0.0</v>
      </c>
      <c r="F467" s="93">
        <v>0.0</v>
      </c>
      <c r="G467" s="93">
        <f t="shared" si="61"/>
        <v>0</v>
      </c>
      <c r="H467" s="357"/>
      <c r="I467" s="357" t="s">
        <v>922</v>
      </c>
      <c r="J467" s="202"/>
      <c r="K467" s="115" t="s">
        <v>427</v>
      </c>
      <c r="L467" s="99"/>
    </row>
    <row r="468" hidden="1" outlineLevel="2">
      <c r="A468" s="132"/>
      <c r="B468" s="133"/>
      <c r="C468" s="325"/>
      <c r="D468" s="326"/>
      <c r="E468" s="340"/>
      <c r="F468" s="341"/>
      <c r="G468" s="341"/>
      <c r="H468" s="137"/>
      <c r="I468" s="137"/>
      <c r="J468" s="138"/>
      <c r="K468" s="98"/>
      <c r="L468" s="99"/>
    </row>
    <row r="469" hidden="1" outlineLevel="1">
      <c r="A469" s="342">
        <v>25.0</v>
      </c>
      <c r="B469" s="343" t="s">
        <v>923</v>
      </c>
      <c r="C469" s="344">
        <f>B470*C470</f>
        <v>4000000</v>
      </c>
      <c r="D469" s="300">
        <f>C470*J470</f>
        <v>8626666.667</v>
      </c>
      <c r="E469" s="300">
        <f t="shared" ref="E469:F469" si="62">SUM(E471:E497)</f>
        <v>5823000</v>
      </c>
      <c r="F469" s="345">
        <f t="shared" si="62"/>
        <v>5823000</v>
      </c>
      <c r="G469" s="345">
        <f>F469-E469</f>
        <v>0</v>
      </c>
      <c r="H469" s="350"/>
      <c r="I469" s="350"/>
      <c r="J469" s="347">
        <f>E469-D469</f>
        <v>-2803666.667</v>
      </c>
      <c r="K469" s="348"/>
      <c r="L469" s="349"/>
    </row>
    <row r="470" hidden="1" outlineLevel="1" collapsed="1">
      <c r="A470" s="307"/>
      <c r="B470" s="308">
        <v>100000.0</v>
      </c>
      <c r="C470" s="309">
        <v>40.0</v>
      </c>
      <c r="D470" s="316">
        <f>(D469/C469)-1</f>
        <v>1.156666667</v>
      </c>
      <c r="E470" s="317">
        <f>COUNT(E471:E497)</f>
        <v>27</v>
      </c>
      <c r="F470" s="317"/>
      <c r="G470" s="317"/>
      <c r="H470" s="318"/>
      <c r="I470" s="318"/>
      <c r="J470" s="319">
        <f>E469/E470</f>
        <v>215666.6667</v>
      </c>
      <c r="K470" s="320"/>
      <c r="L470" s="322"/>
    </row>
    <row r="471" hidden="1" outlineLevel="2">
      <c r="A471" s="132">
        <f>A463+1</f>
        <v>25.1</v>
      </c>
      <c r="B471" s="86" t="s">
        <v>926</v>
      </c>
      <c r="C471" s="325"/>
      <c r="D471" s="326"/>
      <c r="E471" s="327">
        <v>198000.0</v>
      </c>
      <c r="F471" s="93">
        <v>198000.0</v>
      </c>
      <c r="G471" s="93">
        <f t="shared" ref="G471:G497" si="63">F471-E471</f>
        <v>0</v>
      </c>
      <c r="H471" s="339"/>
      <c r="I471" s="339"/>
      <c r="J471" s="138"/>
      <c r="K471" s="98"/>
      <c r="L471" s="99"/>
    </row>
    <row r="472" hidden="1" outlineLevel="2">
      <c r="A472" s="132">
        <f t="shared" ref="A472:A479" si="64">A471+0.1</f>
        <v>25.2</v>
      </c>
      <c r="B472" s="86" t="s">
        <v>927</v>
      </c>
      <c r="C472" s="325"/>
      <c r="D472" s="326"/>
      <c r="E472" s="327">
        <v>220000.0</v>
      </c>
      <c r="F472" s="93">
        <v>220000.0</v>
      </c>
      <c r="G472" s="93">
        <f t="shared" si="63"/>
        <v>0</v>
      </c>
      <c r="H472" s="339"/>
      <c r="I472" s="339"/>
      <c r="J472" s="138"/>
      <c r="K472" s="98"/>
      <c r="L472" s="99"/>
    </row>
    <row r="473" hidden="1" outlineLevel="2">
      <c r="A473" s="132">
        <f t="shared" si="64"/>
        <v>25.3</v>
      </c>
      <c r="B473" s="86" t="s">
        <v>928</v>
      </c>
      <c r="C473" s="325"/>
      <c r="D473" s="326"/>
      <c r="E473" s="327">
        <v>220000.0</v>
      </c>
      <c r="F473" s="93">
        <v>220000.0</v>
      </c>
      <c r="G473" s="93">
        <f t="shared" si="63"/>
        <v>0</v>
      </c>
      <c r="H473" s="339"/>
      <c r="I473" s="339"/>
      <c r="J473" s="138"/>
      <c r="K473" s="98"/>
      <c r="L473" s="99"/>
    </row>
    <row r="474" hidden="1" outlineLevel="2">
      <c r="A474" s="132">
        <f t="shared" si="64"/>
        <v>25.4</v>
      </c>
      <c r="B474" s="86" t="s">
        <v>929</v>
      </c>
      <c r="C474" s="325"/>
      <c r="D474" s="326"/>
      <c r="E474" s="327">
        <v>220000.0</v>
      </c>
      <c r="F474" s="93">
        <v>220000.0</v>
      </c>
      <c r="G474" s="93">
        <f t="shared" si="63"/>
        <v>0</v>
      </c>
      <c r="H474" s="339"/>
      <c r="I474" s="339"/>
      <c r="J474" s="138"/>
      <c r="K474" s="98"/>
      <c r="L474" s="99"/>
    </row>
    <row r="475" hidden="1" outlineLevel="2">
      <c r="A475" s="132">
        <f t="shared" si="64"/>
        <v>25.5</v>
      </c>
      <c r="B475" s="86" t="s">
        <v>930</v>
      </c>
      <c r="C475" s="325"/>
      <c r="D475" s="326"/>
      <c r="E475" s="327">
        <v>220000.0</v>
      </c>
      <c r="F475" s="93">
        <v>220000.0</v>
      </c>
      <c r="G475" s="93">
        <f t="shared" si="63"/>
        <v>0</v>
      </c>
      <c r="H475" s="339"/>
      <c r="I475" s="339"/>
      <c r="J475" s="138"/>
      <c r="K475" s="98"/>
      <c r="L475" s="99"/>
    </row>
    <row r="476" hidden="1" outlineLevel="2">
      <c r="A476" s="132">
        <f t="shared" si="64"/>
        <v>25.6</v>
      </c>
      <c r="B476" s="86" t="s">
        <v>931</v>
      </c>
      <c r="C476" s="325"/>
      <c r="D476" s="326"/>
      <c r="E476" s="327">
        <v>220000.0</v>
      </c>
      <c r="F476" s="93">
        <v>220000.0</v>
      </c>
      <c r="G476" s="93">
        <f t="shared" si="63"/>
        <v>0</v>
      </c>
      <c r="H476" s="339"/>
      <c r="I476" s="339"/>
      <c r="J476" s="138"/>
      <c r="K476" s="98"/>
      <c r="L476" s="99"/>
    </row>
    <row r="477" hidden="1" outlineLevel="2">
      <c r="A477" s="132">
        <f t="shared" si="64"/>
        <v>25.7</v>
      </c>
      <c r="B477" s="86" t="s">
        <v>933</v>
      </c>
      <c r="C477" s="325"/>
      <c r="D477" s="326"/>
      <c r="E477" s="327">
        <v>220000.0</v>
      </c>
      <c r="F477" s="93">
        <v>220000.0</v>
      </c>
      <c r="G477" s="93">
        <f t="shared" si="63"/>
        <v>0</v>
      </c>
      <c r="H477" s="339"/>
      <c r="I477" s="339"/>
      <c r="J477" s="138"/>
      <c r="K477" s="98"/>
      <c r="L477" s="99"/>
    </row>
    <row r="478" hidden="1" outlineLevel="2">
      <c r="A478" s="132">
        <f t="shared" si="64"/>
        <v>25.8</v>
      </c>
      <c r="B478" s="86" t="s">
        <v>935</v>
      </c>
      <c r="C478" s="325"/>
      <c r="D478" s="326"/>
      <c r="E478" s="327">
        <v>250000.0</v>
      </c>
      <c r="F478" s="93">
        <v>250000.0</v>
      </c>
      <c r="G478" s="93">
        <f t="shared" si="63"/>
        <v>0</v>
      </c>
      <c r="H478" s="339"/>
      <c r="I478" s="339"/>
      <c r="J478" s="138"/>
      <c r="K478" s="98"/>
      <c r="L478" s="99"/>
    </row>
    <row r="479" hidden="1" outlineLevel="2">
      <c r="A479" s="132">
        <f t="shared" si="64"/>
        <v>25.9</v>
      </c>
      <c r="B479" s="86" t="s">
        <v>936</v>
      </c>
      <c r="C479" s="325"/>
      <c r="D479" s="326"/>
      <c r="E479" s="327">
        <v>264000.0</v>
      </c>
      <c r="F479" s="93">
        <v>264000.0</v>
      </c>
      <c r="G479" s="93">
        <f t="shared" si="63"/>
        <v>0</v>
      </c>
      <c r="H479" s="339"/>
      <c r="I479" s="339"/>
      <c r="J479" s="138"/>
      <c r="K479" s="98"/>
      <c r="L479" s="99"/>
    </row>
    <row r="480" hidden="1" outlineLevel="2">
      <c r="A480" s="332" t="s">
        <v>937</v>
      </c>
      <c r="B480" s="86" t="s">
        <v>938</v>
      </c>
      <c r="C480" s="325"/>
      <c r="D480" s="326"/>
      <c r="E480" s="327">
        <v>253000.0</v>
      </c>
      <c r="F480" s="93">
        <v>253000.0</v>
      </c>
      <c r="G480" s="93">
        <f t="shared" si="63"/>
        <v>0</v>
      </c>
      <c r="H480" s="339"/>
      <c r="I480" s="339"/>
      <c r="J480" s="138"/>
      <c r="K480" s="98"/>
      <c r="L480" s="99"/>
    </row>
    <row r="481" hidden="1" outlineLevel="2">
      <c r="A481" s="132">
        <v>25.11</v>
      </c>
      <c r="B481" s="86" t="s">
        <v>941</v>
      </c>
      <c r="C481" s="325"/>
      <c r="D481" s="326"/>
      <c r="E481" s="327">
        <v>253000.0</v>
      </c>
      <c r="F481" s="93">
        <v>253000.0</v>
      </c>
      <c r="G481" s="93">
        <f t="shared" si="63"/>
        <v>0</v>
      </c>
      <c r="H481" s="339"/>
      <c r="I481" s="339"/>
      <c r="J481" s="138"/>
      <c r="K481" s="98"/>
      <c r="L481" s="99"/>
    </row>
    <row r="482" hidden="1" outlineLevel="2">
      <c r="A482" s="132">
        <f t="shared" ref="A482:A489" si="65">A481+0.01</f>
        <v>25.12</v>
      </c>
      <c r="B482" s="86" t="s">
        <v>945</v>
      </c>
      <c r="C482" s="325"/>
      <c r="D482" s="326"/>
      <c r="E482" s="327">
        <v>209000.0</v>
      </c>
      <c r="F482" s="93">
        <v>209000.0</v>
      </c>
      <c r="G482" s="93">
        <f t="shared" si="63"/>
        <v>0</v>
      </c>
      <c r="H482" s="339"/>
      <c r="I482" s="339"/>
      <c r="J482" s="138"/>
      <c r="K482" s="98"/>
      <c r="L482" s="99"/>
    </row>
    <row r="483" hidden="1" outlineLevel="2">
      <c r="A483" s="132">
        <f t="shared" si="65"/>
        <v>25.13</v>
      </c>
      <c r="B483" s="86" t="s">
        <v>946</v>
      </c>
      <c r="C483" s="325"/>
      <c r="D483" s="326"/>
      <c r="E483" s="327">
        <v>214000.0</v>
      </c>
      <c r="F483" s="93">
        <v>214000.0</v>
      </c>
      <c r="G483" s="93">
        <f t="shared" si="63"/>
        <v>0</v>
      </c>
      <c r="H483" s="339"/>
      <c r="I483" s="339"/>
      <c r="J483" s="138"/>
      <c r="K483" s="98"/>
      <c r="L483" s="99"/>
    </row>
    <row r="484" hidden="1" outlineLevel="2">
      <c r="A484" s="132">
        <f t="shared" si="65"/>
        <v>25.14</v>
      </c>
      <c r="B484" s="86" t="s">
        <v>948</v>
      </c>
      <c r="C484" s="325"/>
      <c r="D484" s="326"/>
      <c r="E484" s="327">
        <v>214000.0</v>
      </c>
      <c r="F484" s="93">
        <v>214000.0</v>
      </c>
      <c r="G484" s="93">
        <f t="shared" si="63"/>
        <v>0</v>
      </c>
      <c r="H484" s="339"/>
      <c r="I484" s="339"/>
      <c r="J484" s="138"/>
      <c r="K484" s="98"/>
      <c r="L484" s="99"/>
    </row>
    <row r="485" hidden="1" outlineLevel="2">
      <c r="A485" s="132">
        <f t="shared" si="65"/>
        <v>25.15</v>
      </c>
      <c r="B485" s="86" t="s">
        <v>950</v>
      </c>
      <c r="C485" s="325"/>
      <c r="D485" s="326"/>
      <c r="E485" s="327">
        <v>220000.0</v>
      </c>
      <c r="F485" s="93">
        <v>220000.0</v>
      </c>
      <c r="G485" s="93">
        <f t="shared" si="63"/>
        <v>0</v>
      </c>
      <c r="H485" s="339"/>
      <c r="I485" s="339"/>
      <c r="J485" s="138"/>
      <c r="K485" s="98"/>
      <c r="L485" s="99"/>
    </row>
    <row r="486" hidden="1" outlineLevel="2">
      <c r="A486" s="132">
        <f t="shared" si="65"/>
        <v>25.16</v>
      </c>
      <c r="B486" s="86" t="s">
        <v>952</v>
      </c>
      <c r="C486" s="325"/>
      <c r="D486" s="326"/>
      <c r="E486" s="327">
        <v>192000.0</v>
      </c>
      <c r="F486" s="93">
        <v>192000.0</v>
      </c>
      <c r="G486" s="93">
        <f t="shared" si="63"/>
        <v>0</v>
      </c>
      <c r="H486" s="339"/>
      <c r="I486" s="339"/>
      <c r="J486" s="138"/>
      <c r="K486" s="98"/>
      <c r="L486" s="99"/>
    </row>
    <row r="487" hidden="1" outlineLevel="2">
      <c r="A487" s="132">
        <f t="shared" si="65"/>
        <v>25.17</v>
      </c>
      <c r="B487" s="86" t="s">
        <v>954</v>
      </c>
      <c r="C487" s="325"/>
      <c r="D487" s="326"/>
      <c r="E487" s="327">
        <v>192000.0</v>
      </c>
      <c r="F487" s="93">
        <v>192000.0</v>
      </c>
      <c r="G487" s="93">
        <f t="shared" si="63"/>
        <v>0</v>
      </c>
      <c r="H487" s="339"/>
      <c r="I487" s="339"/>
      <c r="J487" s="138"/>
      <c r="K487" s="98"/>
      <c r="L487" s="99"/>
    </row>
    <row r="488" hidden="1" outlineLevel="2">
      <c r="A488" s="132">
        <f t="shared" si="65"/>
        <v>25.18</v>
      </c>
      <c r="B488" s="86" t="s">
        <v>955</v>
      </c>
      <c r="C488" s="325"/>
      <c r="D488" s="326"/>
      <c r="E488" s="327">
        <v>192000.0</v>
      </c>
      <c r="F488" s="93">
        <v>192000.0</v>
      </c>
      <c r="G488" s="93">
        <f t="shared" si="63"/>
        <v>0</v>
      </c>
      <c r="H488" s="339"/>
      <c r="I488" s="339"/>
      <c r="J488" s="138"/>
      <c r="K488" s="98"/>
      <c r="L488" s="99"/>
    </row>
    <row r="489" hidden="1" outlineLevel="2">
      <c r="A489" s="132">
        <f t="shared" si="65"/>
        <v>25.19</v>
      </c>
      <c r="B489" s="86" t="s">
        <v>956</v>
      </c>
      <c r="C489" s="325"/>
      <c r="D489" s="326"/>
      <c r="E489" s="327">
        <v>198000.0</v>
      </c>
      <c r="F489" s="93">
        <v>198000.0</v>
      </c>
      <c r="G489" s="93">
        <f t="shared" si="63"/>
        <v>0</v>
      </c>
      <c r="H489" s="339"/>
      <c r="I489" s="339"/>
      <c r="J489" s="138"/>
      <c r="K489" s="98"/>
      <c r="L489" s="99"/>
    </row>
    <row r="490" hidden="1" outlineLevel="2">
      <c r="A490" s="332" t="s">
        <v>957</v>
      </c>
      <c r="B490" s="86" t="s">
        <v>958</v>
      </c>
      <c r="C490" s="325"/>
      <c r="D490" s="326"/>
      <c r="E490" s="327">
        <v>209000.0</v>
      </c>
      <c r="F490" s="93">
        <v>209000.0</v>
      </c>
      <c r="G490" s="93">
        <f t="shared" si="63"/>
        <v>0</v>
      </c>
      <c r="H490" s="339"/>
      <c r="I490" s="339"/>
      <c r="J490" s="138"/>
      <c r="K490" s="98"/>
      <c r="L490" s="99"/>
    </row>
    <row r="491" hidden="1" outlineLevel="2">
      <c r="A491" s="132">
        <v>25.21</v>
      </c>
      <c r="B491" s="86" t="s">
        <v>959</v>
      </c>
      <c r="C491" s="325"/>
      <c r="D491" s="326"/>
      <c r="E491" s="327">
        <v>198000.0</v>
      </c>
      <c r="F491" s="93">
        <v>198000.0</v>
      </c>
      <c r="G491" s="93">
        <f t="shared" si="63"/>
        <v>0</v>
      </c>
      <c r="H491" s="339"/>
      <c r="I491" s="339"/>
      <c r="J491" s="138"/>
      <c r="K491" s="98"/>
      <c r="L491" s="99"/>
    </row>
    <row r="492" hidden="1" outlineLevel="2">
      <c r="A492" s="132">
        <f t="shared" ref="A492:A497" si="66">A491+0.01</f>
        <v>25.22</v>
      </c>
      <c r="B492" s="86" t="s">
        <v>960</v>
      </c>
      <c r="C492" s="325"/>
      <c r="D492" s="326"/>
      <c r="E492" s="327">
        <v>209000.0</v>
      </c>
      <c r="F492" s="93">
        <v>209000.0</v>
      </c>
      <c r="G492" s="93">
        <f t="shared" si="63"/>
        <v>0</v>
      </c>
      <c r="H492" s="339"/>
      <c r="I492" s="339"/>
      <c r="J492" s="138"/>
      <c r="K492" s="98"/>
      <c r="L492" s="99"/>
    </row>
    <row r="493" hidden="1" outlineLevel="2">
      <c r="A493" s="132">
        <f t="shared" si="66"/>
        <v>25.23</v>
      </c>
      <c r="B493" s="86" t="s">
        <v>961</v>
      </c>
      <c r="C493" s="325"/>
      <c r="D493" s="326"/>
      <c r="E493" s="327">
        <v>198000.0</v>
      </c>
      <c r="F493" s="93">
        <v>198000.0</v>
      </c>
      <c r="G493" s="93">
        <f t="shared" si="63"/>
        <v>0</v>
      </c>
      <c r="H493" s="339"/>
      <c r="I493" s="339"/>
      <c r="J493" s="138"/>
      <c r="K493" s="98"/>
      <c r="L493" s="99"/>
    </row>
    <row r="494" hidden="1" outlineLevel="2">
      <c r="A494" s="132">
        <f t="shared" si="66"/>
        <v>25.24</v>
      </c>
      <c r="B494" s="86" t="s">
        <v>962</v>
      </c>
      <c r="C494" s="325"/>
      <c r="D494" s="326"/>
      <c r="E494" s="327">
        <v>198000.0</v>
      </c>
      <c r="F494" s="93">
        <v>198000.0</v>
      </c>
      <c r="G494" s="93">
        <f t="shared" si="63"/>
        <v>0</v>
      </c>
      <c r="H494" s="339"/>
      <c r="I494" s="339"/>
      <c r="J494" s="138"/>
      <c r="K494" s="98"/>
      <c r="L494" s="99"/>
    </row>
    <row r="495" hidden="1" outlineLevel="2">
      <c r="A495" s="132">
        <f t="shared" si="66"/>
        <v>25.25</v>
      </c>
      <c r="B495" s="86" t="s">
        <v>963</v>
      </c>
      <c r="C495" s="325"/>
      <c r="D495" s="326"/>
      <c r="E495" s="327">
        <v>203000.0</v>
      </c>
      <c r="F495" s="93">
        <v>203000.0</v>
      </c>
      <c r="G495" s="93">
        <f t="shared" si="63"/>
        <v>0</v>
      </c>
      <c r="H495" s="339"/>
      <c r="I495" s="339"/>
      <c r="J495" s="138"/>
      <c r="K495" s="98"/>
      <c r="L495" s="99"/>
    </row>
    <row r="496" hidden="1" outlineLevel="2">
      <c r="A496" s="132">
        <f t="shared" si="66"/>
        <v>25.26</v>
      </c>
      <c r="B496" s="86" t="s">
        <v>964</v>
      </c>
      <c r="C496" s="325"/>
      <c r="D496" s="326"/>
      <c r="E496" s="327">
        <v>203000.0</v>
      </c>
      <c r="F496" s="93">
        <v>203000.0</v>
      </c>
      <c r="G496" s="93">
        <f t="shared" si="63"/>
        <v>0</v>
      </c>
      <c r="H496" s="339"/>
      <c r="I496" s="339"/>
      <c r="J496" s="138"/>
      <c r="K496" s="98"/>
      <c r="L496" s="99"/>
    </row>
    <row r="497" hidden="1" outlineLevel="2">
      <c r="A497" s="132">
        <f t="shared" si="66"/>
        <v>25.27</v>
      </c>
      <c r="B497" s="86" t="s">
        <v>965</v>
      </c>
      <c r="C497" s="325"/>
      <c r="D497" s="326"/>
      <c r="E497" s="327">
        <v>236000.0</v>
      </c>
      <c r="F497" s="93">
        <v>236000.0</v>
      </c>
      <c r="G497" s="93">
        <f t="shared" si="63"/>
        <v>0</v>
      </c>
      <c r="H497" s="339"/>
      <c r="I497" s="339"/>
      <c r="J497" s="138"/>
      <c r="K497" s="98"/>
      <c r="L497" s="99"/>
    </row>
    <row r="498" hidden="1" outlineLevel="2">
      <c r="A498" s="132"/>
      <c r="B498" s="133"/>
      <c r="C498" s="325"/>
      <c r="D498" s="326"/>
      <c r="E498" s="355"/>
      <c r="F498" s="356"/>
      <c r="G498" s="356"/>
      <c r="H498" s="137"/>
      <c r="I498" s="137"/>
      <c r="J498" s="138"/>
      <c r="K498" s="98"/>
      <c r="L498" s="99"/>
    </row>
    <row r="499" hidden="1" outlineLevel="1">
      <c r="A499" s="342">
        <v>26.0</v>
      </c>
      <c r="B499" s="343" t="s">
        <v>966</v>
      </c>
      <c r="C499" s="344">
        <f>B500*C500</f>
        <v>3600000</v>
      </c>
      <c r="D499" s="300">
        <f>C500*J500</f>
        <v>8344000</v>
      </c>
      <c r="E499" s="300">
        <f t="shared" ref="E499:F499" si="67">SUM(E501:E510)</f>
        <v>2086000</v>
      </c>
      <c r="F499" s="345">
        <f t="shared" si="67"/>
        <v>2086000</v>
      </c>
      <c r="G499" s="345">
        <f>F499-E499</f>
        <v>0</v>
      </c>
      <c r="H499" s="350"/>
      <c r="I499" s="350"/>
      <c r="J499" s="347">
        <f>E499-D499</f>
        <v>-6258000</v>
      </c>
      <c r="K499" s="348"/>
      <c r="L499" s="349"/>
    </row>
    <row r="500" hidden="1" outlineLevel="1" collapsed="1">
      <c r="A500" s="307"/>
      <c r="B500" s="308">
        <v>90000.0</v>
      </c>
      <c r="C500" s="309">
        <v>40.0</v>
      </c>
      <c r="D500" s="316">
        <f>(D499/C499)-1</f>
        <v>1.317777778</v>
      </c>
      <c r="E500" s="317">
        <f>COUNT(E501:E510)</f>
        <v>10</v>
      </c>
      <c r="F500" s="317"/>
      <c r="G500" s="317"/>
      <c r="H500" s="318"/>
      <c r="I500" s="318"/>
      <c r="J500" s="319">
        <f>E499/E500</f>
        <v>208600</v>
      </c>
      <c r="K500" s="320"/>
      <c r="L500" s="322"/>
    </row>
    <row r="501" hidden="1" outlineLevel="2">
      <c r="A501" s="132">
        <f t="shared" ref="A501:A509" si="68">A471+1</f>
        <v>26.1</v>
      </c>
      <c r="B501" s="86" t="s">
        <v>967</v>
      </c>
      <c r="C501" s="325"/>
      <c r="D501" s="326"/>
      <c r="E501" s="327">
        <v>403000.0</v>
      </c>
      <c r="F501" s="93">
        <v>403000.0</v>
      </c>
      <c r="G501" s="93">
        <f t="shared" ref="G501:G510" si="69">F501-E501</f>
        <v>0</v>
      </c>
      <c r="H501" s="339"/>
      <c r="I501" s="339"/>
      <c r="J501" s="138"/>
      <c r="K501" s="98"/>
      <c r="L501" s="99"/>
    </row>
    <row r="502" hidden="1" outlineLevel="2">
      <c r="A502" s="132">
        <f t="shared" si="68"/>
        <v>26.2</v>
      </c>
      <c r="B502" s="86" t="s">
        <v>969</v>
      </c>
      <c r="C502" s="325"/>
      <c r="D502" s="326"/>
      <c r="E502" s="327">
        <v>432000.0</v>
      </c>
      <c r="F502" s="93">
        <v>432000.0</v>
      </c>
      <c r="G502" s="93">
        <f t="shared" si="69"/>
        <v>0</v>
      </c>
      <c r="H502" s="339"/>
      <c r="I502" s="339"/>
      <c r="J502" s="138"/>
      <c r="K502" s="98"/>
      <c r="L502" s="99"/>
    </row>
    <row r="503" hidden="1" outlineLevel="2">
      <c r="A503" s="132">
        <f t="shared" si="68"/>
        <v>26.3</v>
      </c>
      <c r="B503" s="86" t="s">
        <v>970</v>
      </c>
      <c r="C503" s="325"/>
      <c r="D503" s="326"/>
      <c r="E503" s="327">
        <v>159000.0</v>
      </c>
      <c r="F503" s="93">
        <v>159000.0</v>
      </c>
      <c r="G503" s="93">
        <f t="shared" si="69"/>
        <v>0</v>
      </c>
      <c r="H503" s="339"/>
      <c r="I503" s="339"/>
      <c r="J503" s="138"/>
      <c r="K503" s="98"/>
      <c r="L503" s="99"/>
    </row>
    <row r="504" hidden="1" outlineLevel="2">
      <c r="A504" s="132">
        <f t="shared" si="68"/>
        <v>26.4</v>
      </c>
      <c r="B504" s="86" t="s">
        <v>971</v>
      </c>
      <c r="C504" s="325"/>
      <c r="D504" s="326"/>
      <c r="E504" s="327">
        <v>152000.0</v>
      </c>
      <c r="F504" s="93">
        <v>152000.0</v>
      </c>
      <c r="G504" s="93">
        <f t="shared" si="69"/>
        <v>0</v>
      </c>
      <c r="H504" s="339"/>
      <c r="I504" s="339"/>
      <c r="J504" s="138"/>
      <c r="K504" s="98"/>
      <c r="L504" s="99"/>
    </row>
    <row r="505" hidden="1" outlineLevel="2">
      <c r="A505" s="132">
        <f t="shared" si="68"/>
        <v>26.5</v>
      </c>
      <c r="B505" s="86" t="s">
        <v>972</v>
      </c>
      <c r="C505" s="325"/>
      <c r="D505" s="326"/>
      <c r="E505" s="327">
        <v>162000.0</v>
      </c>
      <c r="F505" s="93">
        <v>162000.0</v>
      </c>
      <c r="G505" s="93">
        <f t="shared" si="69"/>
        <v>0</v>
      </c>
      <c r="H505" s="339"/>
      <c r="I505" s="339"/>
      <c r="J505" s="138"/>
      <c r="K505" s="98"/>
      <c r="L505" s="99"/>
    </row>
    <row r="506" hidden="1" outlineLevel="2">
      <c r="A506" s="132">
        <f t="shared" si="68"/>
        <v>26.6</v>
      </c>
      <c r="B506" s="86" t="s">
        <v>973</v>
      </c>
      <c r="C506" s="325"/>
      <c r="D506" s="326"/>
      <c r="E506" s="327">
        <v>160000.0</v>
      </c>
      <c r="F506" s="93">
        <v>160000.0</v>
      </c>
      <c r="G506" s="93">
        <f t="shared" si="69"/>
        <v>0</v>
      </c>
      <c r="H506" s="339"/>
      <c r="I506" s="339"/>
      <c r="J506" s="138"/>
      <c r="K506" s="98"/>
      <c r="L506" s="99"/>
    </row>
    <row r="507" hidden="1" outlineLevel="2">
      <c r="A507" s="132">
        <f t="shared" si="68"/>
        <v>26.7</v>
      </c>
      <c r="B507" s="86" t="s">
        <v>974</v>
      </c>
      <c r="C507" s="325"/>
      <c r="D507" s="326"/>
      <c r="E507" s="327">
        <v>160000.0</v>
      </c>
      <c r="F507" s="93">
        <v>160000.0</v>
      </c>
      <c r="G507" s="93">
        <f t="shared" si="69"/>
        <v>0</v>
      </c>
      <c r="H507" s="339"/>
      <c r="I507" s="339"/>
      <c r="J507" s="138"/>
      <c r="K507" s="98"/>
      <c r="L507" s="99"/>
    </row>
    <row r="508" hidden="1" outlineLevel="2">
      <c r="A508" s="132">
        <f t="shared" si="68"/>
        <v>26.8</v>
      </c>
      <c r="B508" s="86" t="s">
        <v>975</v>
      </c>
      <c r="C508" s="325"/>
      <c r="D508" s="326"/>
      <c r="E508" s="327">
        <v>148000.0</v>
      </c>
      <c r="F508" s="93">
        <v>148000.0</v>
      </c>
      <c r="G508" s="93">
        <f t="shared" si="69"/>
        <v>0</v>
      </c>
      <c r="H508" s="339"/>
      <c r="I508" s="339"/>
      <c r="J508" s="138"/>
      <c r="K508" s="98"/>
      <c r="L508" s="99"/>
    </row>
    <row r="509" hidden="1" outlineLevel="2">
      <c r="A509" s="132">
        <f t="shared" si="68"/>
        <v>26.9</v>
      </c>
      <c r="B509" s="86" t="s">
        <v>976</v>
      </c>
      <c r="C509" s="325"/>
      <c r="D509" s="326"/>
      <c r="E509" s="327">
        <v>155000.0</v>
      </c>
      <c r="F509" s="93">
        <v>155000.0</v>
      </c>
      <c r="G509" s="93">
        <f t="shared" si="69"/>
        <v>0</v>
      </c>
      <c r="H509" s="339"/>
      <c r="I509" s="339"/>
      <c r="J509" s="138"/>
      <c r="K509" s="98"/>
      <c r="L509" s="99"/>
    </row>
    <row r="510" hidden="1" outlineLevel="2">
      <c r="A510" s="332" t="s">
        <v>977</v>
      </c>
      <c r="B510" s="86" t="s">
        <v>978</v>
      </c>
      <c r="C510" s="325"/>
      <c r="D510" s="326"/>
      <c r="E510" s="327">
        <v>155000.0</v>
      </c>
      <c r="F510" s="93">
        <v>155000.0</v>
      </c>
      <c r="G510" s="93">
        <f t="shared" si="69"/>
        <v>0</v>
      </c>
      <c r="H510" s="339"/>
      <c r="I510" s="339"/>
      <c r="J510" s="138"/>
      <c r="K510" s="98"/>
      <c r="L510" s="99"/>
    </row>
    <row r="511" hidden="1" outlineLevel="2">
      <c r="A511" s="132"/>
      <c r="B511" s="133"/>
      <c r="C511" s="325"/>
      <c r="D511" s="326"/>
      <c r="E511" s="355"/>
      <c r="F511" s="356"/>
      <c r="G511" s="356"/>
      <c r="H511" s="137"/>
      <c r="I511" s="137"/>
      <c r="J511" s="138"/>
      <c r="K511" s="98"/>
      <c r="L511" s="99"/>
    </row>
    <row r="512" hidden="1" outlineLevel="1">
      <c r="A512" s="342">
        <v>27.0</v>
      </c>
      <c r="B512" s="343" t="s">
        <v>979</v>
      </c>
      <c r="C512" s="344">
        <f>B513*C513</f>
        <v>5600000</v>
      </c>
      <c r="D512" s="300">
        <f>C513*J513</f>
        <v>7114666.667</v>
      </c>
      <c r="E512" s="300">
        <f t="shared" ref="E512:F512" si="70">SUM(E514:E573)</f>
        <v>5336000</v>
      </c>
      <c r="F512" s="345">
        <f t="shared" si="70"/>
        <v>5336000</v>
      </c>
      <c r="G512" s="345">
        <f>F512-E512</f>
        <v>0</v>
      </c>
      <c r="H512" s="350"/>
      <c r="I512" s="350"/>
      <c r="J512" s="347">
        <f>E512-D512</f>
        <v>-1778666.667</v>
      </c>
      <c r="K512" s="348"/>
      <c r="L512" s="349"/>
    </row>
    <row r="513" hidden="1" outlineLevel="1" collapsed="1">
      <c r="A513" s="307"/>
      <c r="B513" s="308">
        <v>70000.0</v>
      </c>
      <c r="C513" s="309">
        <v>80.0</v>
      </c>
      <c r="D513" s="316">
        <f>(D512/C512)-1</f>
        <v>0.2704761905</v>
      </c>
      <c r="E513" s="317">
        <f>COUNT(E514:E573)</f>
        <v>60</v>
      </c>
      <c r="F513" s="317"/>
      <c r="G513" s="317"/>
      <c r="H513" s="318"/>
      <c r="I513" s="318"/>
      <c r="J513" s="319">
        <f>E512/E513</f>
        <v>88933.33333</v>
      </c>
      <c r="K513" s="320"/>
      <c r="L513" s="322"/>
    </row>
    <row r="514" hidden="1" outlineLevel="2">
      <c r="A514" s="132">
        <v>27.1</v>
      </c>
      <c r="B514" s="86" t="s">
        <v>985</v>
      </c>
      <c r="C514" s="325"/>
      <c r="D514" s="326"/>
      <c r="E514" s="327">
        <v>93000.0</v>
      </c>
      <c r="F514" s="93">
        <v>93000.0</v>
      </c>
      <c r="G514" s="93">
        <f t="shared" ref="G514:G573" si="71">F514-E514</f>
        <v>0</v>
      </c>
      <c r="H514" s="339"/>
      <c r="I514" s="339"/>
      <c r="J514" s="138"/>
      <c r="K514" s="98"/>
      <c r="L514" s="99"/>
    </row>
    <row r="515" hidden="1" outlineLevel="2">
      <c r="A515" s="132">
        <v>27.2</v>
      </c>
      <c r="B515" s="86" t="s">
        <v>987</v>
      </c>
      <c r="C515" s="325"/>
      <c r="D515" s="326"/>
      <c r="E515" s="327">
        <v>95000.0</v>
      </c>
      <c r="F515" s="93">
        <v>95000.0</v>
      </c>
      <c r="G515" s="93">
        <f t="shared" si="71"/>
        <v>0</v>
      </c>
      <c r="H515" s="339"/>
      <c r="I515" s="339"/>
      <c r="J515" s="138"/>
      <c r="K515" s="98"/>
      <c r="L515" s="99"/>
    </row>
    <row r="516" hidden="1" outlineLevel="2">
      <c r="A516" s="132">
        <v>27.3</v>
      </c>
      <c r="B516" s="86" t="s">
        <v>988</v>
      </c>
      <c r="C516" s="325"/>
      <c r="D516" s="326"/>
      <c r="E516" s="327">
        <v>95000.0</v>
      </c>
      <c r="F516" s="93">
        <v>95000.0</v>
      </c>
      <c r="G516" s="93">
        <f t="shared" si="71"/>
        <v>0</v>
      </c>
      <c r="H516" s="339"/>
      <c r="I516" s="339"/>
      <c r="J516" s="138"/>
      <c r="K516" s="98"/>
      <c r="L516" s="99"/>
    </row>
    <row r="517" hidden="1" outlineLevel="2">
      <c r="A517" s="132">
        <v>27.4</v>
      </c>
      <c r="B517" s="86" t="s">
        <v>989</v>
      </c>
      <c r="C517" s="325"/>
      <c r="D517" s="326"/>
      <c r="E517" s="327">
        <v>99000.0</v>
      </c>
      <c r="F517" s="93">
        <v>99000.0</v>
      </c>
      <c r="G517" s="93">
        <f t="shared" si="71"/>
        <v>0</v>
      </c>
      <c r="H517" s="339"/>
      <c r="I517" s="339"/>
      <c r="J517" s="138"/>
      <c r="K517" s="98"/>
      <c r="L517" s="99"/>
    </row>
    <row r="518" hidden="1" outlineLevel="2">
      <c r="A518" s="132">
        <v>27.5</v>
      </c>
      <c r="B518" s="86" t="s">
        <v>990</v>
      </c>
      <c r="C518" s="325"/>
      <c r="D518" s="326"/>
      <c r="E518" s="327">
        <v>96000.0</v>
      </c>
      <c r="F518" s="93">
        <v>96000.0</v>
      </c>
      <c r="G518" s="93">
        <f t="shared" si="71"/>
        <v>0</v>
      </c>
      <c r="H518" s="339"/>
      <c r="I518" s="339"/>
      <c r="J518" s="138"/>
      <c r="K518" s="98"/>
      <c r="L518" s="99"/>
    </row>
    <row r="519" hidden="1" outlineLevel="2">
      <c r="A519" s="132">
        <v>27.6</v>
      </c>
      <c r="B519" s="86" t="s">
        <v>991</v>
      </c>
      <c r="C519" s="325"/>
      <c r="D519" s="326"/>
      <c r="E519" s="327">
        <v>93000.0</v>
      </c>
      <c r="F519" s="93">
        <v>93000.0</v>
      </c>
      <c r="G519" s="93">
        <f t="shared" si="71"/>
        <v>0</v>
      </c>
      <c r="H519" s="339"/>
      <c r="I519" s="339"/>
      <c r="J519" s="138"/>
      <c r="K519" s="98"/>
      <c r="L519" s="99"/>
    </row>
    <row r="520" hidden="1" outlineLevel="2">
      <c r="A520" s="132">
        <v>27.7</v>
      </c>
      <c r="B520" s="86" t="s">
        <v>992</v>
      </c>
      <c r="C520" s="325"/>
      <c r="D520" s="326"/>
      <c r="E520" s="327">
        <v>88000.0</v>
      </c>
      <c r="F520" s="93">
        <v>88000.0</v>
      </c>
      <c r="G520" s="93">
        <f t="shared" si="71"/>
        <v>0</v>
      </c>
      <c r="H520" s="339"/>
      <c r="I520" s="339"/>
      <c r="J520" s="138"/>
      <c r="K520" s="98"/>
      <c r="L520" s="99"/>
    </row>
    <row r="521" hidden="1" outlineLevel="2">
      <c r="A521" s="132">
        <v>27.8</v>
      </c>
      <c r="B521" s="86" t="s">
        <v>993</v>
      </c>
      <c r="C521" s="325"/>
      <c r="D521" s="326"/>
      <c r="E521" s="327">
        <v>88000.0</v>
      </c>
      <c r="F521" s="93">
        <v>88000.0</v>
      </c>
      <c r="G521" s="93">
        <f t="shared" si="71"/>
        <v>0</v>
      </c>
      <c r="H521" s="339"/>
      <c r="I521" s="339"/>
      <c r="J521" s="138"/>
      <c r="K521" s="98"/>
      <c r="L521" s="99"/>
    </row>
    <row r="522" hidden="1" outlineLevel="2">
      <c r="A522" s="132">
        <v>27.9</v>
      </c>
      <c r="B522" s="86" t="s">
        <v>995</v>
      </c>
      <c r="C522" s="325"/>
      <c r="D522" s="326"/>
      <c r="E522" s="327">
        <v>88000.0</v>
      </c>
      <c r="F522" s="93">
        <v>88000.0</v>
      </c>
      <c r="G522" s="93">
        <f t="shared" si="71"/>
        <v>0</v>
      </c>
      <c r="H522" s="339"/>
      <c r="I522" s="339"/>
      <c r="J522" s="138"/>
      <c r="K522" s="98"/>
      <c r="L522" s="99"/>
    </row>
    <row r="523" hidden="1" outlineLevel="2">
      <c r="A523" s="332" t="s">
        <v>997</v>
      </c>
      <c r="B523" s="86" t="s">
        <v>998</v>
      </c>
      <c r="C523" s="325"/>
      <c r="D523" s="326"/>
      <c r="E523" s="327">
        <v>88000.0</v>
      </c>
      <c r="F523" s="93">
        <v>88000.0</v>
      </c>
      <c r="G523" s="93">
        <f t="shared" si="71"/>
        <v>0</v>
      </c>
      <c r="H523" s="339"/>
      <c r="I523" s="339"/>
      <c r="J523" s="138"/>
      <c r="K523" s="98"/>
      <c r="L523" s="99"/>
    </row>
    <row r="524" hidden="1" outlineLevel="2">
      <c r="A524" s="332" t="s">
        <v>1000</v>
      </c>
      <c r="B524" s="86" t="s">
        <v>1001</v>
      </c>
      <c r="C524" s="325"/>
      <c r="D524" s="326"/>
      <c r="E524" s="327">
        <v>93000.0</v>
      </c>
      <c r="F524" s="93">
        <v>93000.0</v>
      </c>
      <c r="G524" s="93">
        <f t="shared" si="71"/>
        <v>0</v>
      </c>
      <c r="H524" s="339"/>
      <c r="I524" s="339"/>
      <c r="J524" s="138"/>
      <c r="K524" s="98"/>
      <c r="L524" s="99"/>
    </row>
    <row r="525" hidden="1" outlineLevel="2">
      <c r="A525" s="132" t="s">
        <v>1002</v>
      </c>
      <c r="B525" s="86" t="s">
        <v>1003</v>
      </c>
      <c r="C525" s="325"/>
      <c r="D525" s="326"/>
      <c r="E525" s="327">
        <v>85000.0</v>
      </c>
      <c r="F525" s="93">
        <v>85000.0</v>
      </c>
      <c r="G525" s="93">
        <f t="shared" si="71"/>
        <v>0</v>
      </c>
      <c r="H525" s="339"/>
      <c r="I525" s="339"/>
      <c r="J525" s="138"/>
      <c r="K525" s="98"/>
      <c r="L525" s="99"/>
    </row>
    <row r="526" hidden="1" outlineLevel="2">
      <c r="A526" s="132" t="s">
        <v>1004</v>
      </c>
      <c r="B526" s="86" t="s">
        <v>1005</v>
      </c>
      <c r="C526" s="325"/>
      <c r="D526" s="326"/>
      <c r="E526" s="327">
        <v>82000.0</v>
      </c>
      <c r="F526" s="93">
        <v>82000.0</v>
      </c>
      <c r="G526" s="93">
        <f t="shared" si="71"/>
        <v>0</v>
      </c>
      <c r="H526" s="339"/>
      <c r="I526" s="339"/>
      <c r="J526" s="138"/>
      <c r="K526" s="98"/>
      <c r="L526" s="99"/>
    </row>
    <row r="527" hidden="1" outlineLevel="2">
      <c r="A527" s="132" t="s">
        <v>1006</v>
      </c>
      <c r="B527" s="86" t="s">
        <v>1007</v>
      </c>
      <c r="C527" s="325"/>
      <c r="D527" s="326"/>
      <c r="E527" s="327">
        <v>93000.0</v>
      </c>
      <c r="F527" s="93">
        <v>93000.0</v>
      </c>
      <c r="G527" s="93">
        <f t="shared" si="71"/>
        <v>0</v>
      </c>
      <c r="H527" s="339"/>
      <c r="I527" s="339"/>
      <c r="J527" s="138"/>
      <c r="K527" s="98"/>
      <c r="L527" s="99"/>
    </row>
    <row r="528" hidden="1" outlineLevel="2">
      <c r="A528" s="132" t="s">
        <v>1009</v>
      </c>
      <c r="B528" s="86" t="s">
        <v>1010</v>
      </c>
      <c r="C528" s="325"/>
      <c r="D528" s="326"/>
      <c r="E528" s="327">
        <v>93000.0</v>
      </c>
      <c r="F528" s="93">
        <v>93000.0</v>
      </c>
      <c r="G528" s="93">
        <f t="shared" si="71"/>
        <v>0</v>
      </c>
      <c r="H528" s="339"/>
      <c r="I528" s="339"/>
      <c r="J528" s="138"/>
      <c r="K528" s="98"/>
      <c r="L528" s="99"/>
    </row>
    <row r="529" hidden="1" outlineLevel="2">
      <c r="A529" s="132" t="s">
        <v>1013</v>
      </c>
      <c r="B529" s="86" t="s">
        <v>1014</v>
      </c>
      <c r="C529" s="325"/>
      <c r="D529" s="326"/>
      <c r="E529" s="327">
        <v>93000.0</v>
      </c>
      <c r="F529" s="93">
        <v>93000.0</v>
      </c>
      <c r="G529" s="93">
        <f t="shared" si="71"/>
        <v>0</v>
      </c>
      <c r="H529" s="339"/>
      <c r="I529" s="339"/>
      <c r="J529" s="138"/>
      <c r="K529" s="98"/>
      <c r="L529" s="99"/>
    </row>
    <row r="530" hidden="1" outlineLevel="2">
      <c r="A530" s="132" t="s">
        <v>1015</v>
      </c>
      <c r="B530" s="86" t="s">
        <v>1016</v>
      </c>
      <c r="C530" s="325"/>
      <c r="D530" s="326"/>
      <c r="E530" s="327">
        <v>93000.0</v>
      </c>
      <c r="F530" s="93">
        <v>93000.0</v>
      </c>
      <c r="G530" s="93">
        <f t="shared" si="71"/>
        <v>0</v>
      </c>
      <c r="H530" s="339"/>
      <c r="I530" s="339"/>
      <c r="J530" s="138"/>
      <c r="K530" s="98"/>
      <c r="L530" s="99"/>
    </row>
    <row r="531" hidden="1" outlineLevel="2">
      <c r="A531" s="132" t="s">
        <v>1017</v>
      </c>
      <c r="B531" s="86" t="s">
        <v>1018</v>
      </c>
      <c r="C531" s="325"/>
      <c r="D531" s="326"/>
      <c r="E531" s="327">
        <v>93000.0</v>
      </c>
      <c r="F531" s="93">
        <v>93000.0</v>
      </c>
      <c r="G531" s="93">
        <f t="shared" si="71"/>
        <v>0</v>
      </c>
      <c r="H531" s="339"/>
      <c r="I531" s="339"/>
      <c r="J531" s="138"/>
      <c r="K531" s="98"/>
      <c r="L531" s="99"/>
    </row>
    <row r="532" hidden="1" outlineLevel="2">
      <c r="A532" s="132" t="s">
        <v>1020</v>
      </c>
      <c r="B532" s="86" t="s">
        <v>1021</v>
      </c>
      <c r="C532" s="325"/>
      <c r="D532" s="326"/>
      <c r="E532" s="327">
        <v>99000.0</v>
      </c>
      <c r="F532" s="93">
        <v>99000.0</v>
      </c>
      <c r="G532" s="93">
        <f t="shared" si="71"/>
        <v>0</v>
      </c>
      <c r="H532" s="339"/>
      <c r="I532" s="339"/>
      <c r="J532" s="138"/>
      <c r="K532" s="98"/>
      <c r="L532" s="99"/>
    </row>
    <row r="533" hidden="1" outlineLevel="2">
      <c r="A533" s="132" t="s">
        <v>1024</v>
      </c>
      <c r="B533" s="86" t="s">
        <v>1025</v>
      </c>
      <c r="C533" s="325"/>
      <c r="D533" s="326"/>
      <c r="E533" s="327">
        <v>93000.0</v>
      </c>
      <c r="F533" s="93">
        <v>93000.0</v>
      </c>
      <c r="G533" s="93">
        <f t="shared" si="71"/>
        <v>0</v>
      </c>
      <c r="H533" s="339"/>
      <c r="I533" s="339"/>
      <c r="J533" s="138"/>
      <c r="K533" s="98"/>
      <c r="L533" s="99"/>
    </row>
    <row r="534" hidden="1" outlineLevel="2">
      <c r="A534" s="132" t="s">
        <v>1026</v>
      </c>
      <c r="B534" s="86" t="s">
        <v>1027</v>
      </c>
      <c r="C534" s="325"/>
      <c r="D534" s="326"/>
      <c r="E534" s="327">
        <v>93000.0</v>
      </c>
      <c r="F534" s="93">
        <v>93000.0</v>
      </c>
      <c r="G534" s="93">
        <f t="shared" si="71"/>
        <v>0</v>
      </c>
      <c r="H534" s="339"/>
      <c r="I534" s="339"/>
      <c r="J534" s="138"/>
      <c r="K534" s="98"/>
      <c r="L534" s="99"/>
    </row>
    <row r="535" hidden="1" outlineLevel="2">
      <c r="A535" s="132" t="s">
        <v>1029</v>
      </c>
      <c r="B535" s="86" t="s">
        <v>1030</v>
      </c>
      <c r="C535" s="325"/>
      <c r="D535" s="326"/>
      <c r="E535" s="327">
        <v>106000.0</v>
      </c>
      <c r="F535" s="93">
        <v>106000.0</v>
      </c>
      <c r="G535" s="93">
        <f t="shared" si="71"/>
        <v>0</v>
      </c>
      <c r="H535" s="339"/>
      <c r="I535" s="339"/>
      <c r="J535" s="138"/>
      <c r="K535" s="98"/>
      <c r="L535" s="99"/>
    </row>
    <row r="536" hidden="1" outlineLevel="2">
      <c r="A536" s="132" t="s">
        <v>1031</v>
      </c>
      <c r="B536" s="86" t="s">
        <v>1032</v>
      </c>
      <c r="C536" s="325"/>
      <c r="D536" s="326"/>
      <c r="E536" s="327">
        <v>106000.0</v>
      </c>
      <c r="F536" s="93">
        <v>106000.0</v>
      </c>
      <c r="G536" s="93">
        <f t="shared" si="71"/>
        <v>0</v>
      </c>
      <c r="H536" s="339"/>
      <c r="I536" s="339"/>
      <c r="J536" s="138"/>
      <c r="K536" s="98"/>
      <c r="L536" s="99"/>
    </row>
    <row r="537" hidden="1" outlineLevel="2">
      <c r="A537" s="132" t="s">
        <v>1033</v>
      </c>
      <c r="B537" s="86" t="s">
        <v>1034</v>
      </c>
      <c r="C537" s="325"/>
      <c r="D537" s="326"/>
      <c r="E537" s="327">
        <v>96000.0</v>
      </c>
      <c r="F537" s="93">
        <v>96000.0</v>
      </c>
      <c r="G537" s="93">
        <f t="shared" si="71"/>
        <v>0</v>
      </c>
      <c r="H537" s="339"/>
      <c r="I537" s="339"/>
      <c r="J537" s="138"/>
      <c r="K537" s="98"/>
      <c r="L537" s="99"/>
    </row>
    <row r="538" hidden="1" outlineLevel="2">
      <c r="A538" s="132" t="s">
        <v>1038</v>
      </c>
      <c r="B538" s="86" t="s">
        <v>1039</v>
      </c>
      <c r="C538" s="325"/>
      <c r="D538" s="326"/>
      <c r="E538" s="327">
        <v>96000.0</v>
      </c>
      <c r="F538" s="93">
        <v>96000.0</v>
      </c>
      <c r="G538" s="93">
        <f t="shared" si="71"/>
        <v>0</v>
      </c>
      <c r="H538" s="339"/>
      <c r="I538" s="339"/>
      <c r="J538" s="138"/>
      <c r="K538" s="98"/>
      <c r="L538" s="99"/>
    </row>
    <row r="539" hidden="1" outlineLevel="2">
      <c r="A539" s="132" t="s">
        <v>1040</v>
      </c>
      <c r="B539" s="86" t="s">
        <v>1041</v>
      </c>
      <c r="C539" s="325"/>
      <c r="D539" s="326"/>
      <c r="E539" s="327">
        <v>99000.0</v>
      </c>
      <c r="F539" s="93">
        <v>99000.0</v>
      </c>
      <c r="G539" s="93">
        <f t="shared" si="71"/>
        <v>0</v>
      </c>
      <c r="H539" s="339"/>
      <c r="I539" s="339"/>
      <c r="J539" s="138"/>
      <c r="K539" s="98"/>
      <c r="L539" s="99"/>
    </row>
    <row r="540" hidden="1" outlineLevel="2">
      <c r="A540" s="132" t="s">
        <v>1042</v>
      </c>
      <c r="B540" s="86" t="s">
        <v>1043</v>
      </c>
      <c r="C540" s="325"/>
      <c r="D540" s="326"/>
      <c r="E540" s="327">
        <v>106000.0</v>
      </c>
      <c r="F540" s="93">
        <v>106000.0</v>
      </c>
      <c r="G540" s="93">
        <f t="shared" si="71"/>
        <v>0</v>
      </c>
      <c r="H540" s="339"/>
      <c r="I540" s="339"/>
      <c r="J540" s="138"/>
      <c r="K540" s="98"/>
      <c r="L540" s="99"/>
    </row>
    <row r="541" hidden="1" outlineLevel="2">
      <c r="A541" s="132" t="s">
        <v>1045</v>
      </c>
      <c r="B541" s="86" t="s">
        <v>1046</v>
      </c>
      <c r="C541" s="325"/>
      <c r="D541" s="326"/>
      <c r="E541" s="327">
        <v>99000.0</v>
      </c>
      <c r="F541" s="93">
        <v>99000.0</v>
      </c>
      <c r="G541" s="93">
        <f t="shared" si="71"/>
        <v>0</v>
      </c>
      <c r="H541" s="339"/>
      <c r="I541" s="339"/>
      <c r="J541" s="138"/>
      <c r="K541" s="98"/>
      <c r="L541" s="99"/>
    </row>
    <row r="542" hidden="1" outlineLevel="2">
      <c r="A542" s="132" t="s">
        <v>1047</v>
      </c>
      <c r="B542" s="86" t="s">
        <v>1048</v>
      </c>
      <c r="C542" s="325"/>
      <c r="D542" s="326"/>
      <c r="E542" s="327">
        <v>99000.0</v>
      </c>
      <c r="F542" s="93">
        <v>99000.0</v>
      </c>
      <c r="G542" s="93">
        <f t="shared" si="71"/>
        <v>0</v>
      </c>
      <c r="H542" s="339"/>
      <c r="I542" s="339"/>
      <c r="J542" s="138"/>
      <c r="K542" s="98"/>
      <c r="L542" s="99"/>
    </row>
    <row r="543" hidden="1" outlineLevel="2">
      <c r="A543" s="132" t="s">
        <v>1049</v>
      </c>
      <c r="B543" s="86" t="s">
        <v>1051</v>
      </c>
      <c r="C543" s="325"/>
      <c r="D543" s="326"/>
      <c r="E543" s="327">
        <v>88000.0</v>
      </c>
      <c r="F543" s="93">
        <v>88000.0</v>
      </c>
      <c r="G543" s="93">
        <f t="shared" si="71"/>
        <v>0</v>
      </c>
      <c r="H543" s="339"/>
      <c r="I543" s="339"/>
      <c r="J543" s="138"/>
      <c r="K543" s="98"/>
      <c r="L543" s="99"/>
    </row>
    <row r="544" hidden="1" outlineLevel="2">
      <c r="A544" s="132" t="s">
        <v>1053</v>
      </c>
      <c r="B544" s="86" t="s">
        <v>1054</v>
      </c>
      <c r="C544" s="325"/>
      <c r="D544" s="326"/>
      <c r="E544" s="327">
        <v>93000.0</v>
      </c>
      <c r="F544" s="93">
        <v>93000.0</v>
      </c>
      <c r="G544" s="93">
        <f t="shared" si="71"/>
        <v>0</v>
      </c>
      <c r="H544" s="339"/>
      <c r="I544" s="339"/>
      <c r="J544" s="138"/>
      <c r="K544" s="98"/>
      <c r="L544" s="99"/>
    </row>
    <row r="545" hidden="1" outlineLevel="2">
      <c r="A545" s="132" t="s">
        <v>1056</v>
      </c>
      <c r="B545" s="86" t="s">
        <v>1057</v>
      </c>
      <c r="C545" s="325"/>
      <c r="D545" s="326"/>
      <c r="E545" s="327">
        <v>88000.0</v>
      </c>
      <c r="F545" s="93">
        <v>88000.0</v>
      </c>
      <c r="G545" s="93">
        <f t="shared" si="71"/>
        <v>0</v>
      </c>
      <c r="H545" s="339"/>
      <c r="I545" s="339"/>
      <c r="J545" s="138"/>
      <c r="K545" s="98"/>
      <c r="L545" s="99"/>
    </row>
    <row r="546" hidden="1" outlineLevel="2">
      <c r="A546" s="132" t="s">
        <v>1058</v>
      </c>
      <c r="B546" s="86" t="s">
        <v>1059</v>
      </c>
      <c r="C546" s="325"/>
      <c r="D546" s="326"/>
      <c r="E546" s="327">
        <v>88000.0</v>
      </c>
      <c r="F546" s="93">
        <v>88000.0</v>
      </c>
      <c r="G546" s="93">
        <f t="shared" si="71"/>
        <v>0</v>
      </c>
      <c r="H546" s="339"/>
      <c r="I546" s="339"/>
      <c r="J546" s="138"/>
      <c r="K546" s="98"/>
      <c r="L546" s="99"/>
    </row>
    <row r="547" hidden="1" outlineLevel="2">
      <c r="A547" s="132" t="s">
        <v>1060</v>
      </c>
      <c r="B547" s="86" t="s">
        <v>1061</v>
      </c>
      <c r="C547" s="325"/>
      <c r="D547" s="326"/>
      <c r="E547" s="327">
        <v>88000.0</v>
      </c>
      <c r="F547" s="93">
        <v>88000.0</v>
      </c>
      <c r="G547" s="93">
        <f t="shared" si="71"/>
        <v>0</v>
      </c>
      <c r="H547" s="339"/>
      <c r="I547" s="339"/>
      <c r="J547" s="138"/>
      <c r="K547" s="98"/>
      <c r="L547" s="99"/>
    </row>
    <row r="548" hidden="1" outlineLevel="2">
      <c r="A548" s="132" t="s">
        <v>1064</v>
      </c>
      <c r="B548" s="86" t="s">
        <v>1065</v>
      </c>
      <c r="C548" s="325"/>
      <c r="D548" s="326"/>
      <c r="E548" s="327">
        <v>82000.0</v>
      </c>
      <c r="F548" s="93">
        <v>82000.0</v>
      </c>
      <c r="G548" s="93">
        <f t="shared" si="71"/>
        <v>0</v>
      </c>
      <c r="H548" s="339"/>
      <c r="I548" s="339"/>
      <c r="J548" s="138"/>
      <c r="K548" s="98"/>
      <c r="L548" s="99"/>
    </row>
    <row r="549" hidden="1" outlineLevel="2">
      <c r="A549" s="132" t="s">
        <v>1066</v>
      </c>
      <c r="B549" s="86" t="s">
        <v>1067</v>
      </c>
      <c r="C549" s="325"/>
      <c r="D549" s="326"/>
      <c r="E549" s="327">
        <v>82000.0</v>
      </c>
      <c r="F549" s="93">
        <v>82000.0</v>
      </c>
      <c r="G549" s="93">
        <f t="shared" si="71"/>
        <v>0</v>
      </c>
      <c r="H549" s="339"/>
      <c r="I549" s="339"/>
      <c r="J549" s="138"/>
      <c r="K549" s="98"/>
      <c r="L549" s="99"/>
    </row>
    <row r="550" hidden="1" outlineLevel="2">
      <c r="A550" s="132" t="s">
        <v>1068</v>
      </c>
      <c r="B550" s="86" t="s">
        <v>1069</v>
      </c>
      <c r="C550" s="325"/>
      <c r="D550" s="326"/>
      <c r="E550" s="327">
        <v>82000.0</v>
      </c>
      <c r="F550" s="93">
        <v>82000.0</v>
      </c>
      <c r="G550" s="93">
        <f t="shared" si="71"/>
        <v>0</v>
      </c>
      <c r="H550" s="339"/>
      <c r="I550" s="339"/>
      <c r="J550" s="138"/>
      <c r="K550" s="98"/>
      <c r="L550" s="99"/>
    </row>
    <row r="551" hidden="1" outlineLevel="2">
      <c r="A551" s="132" t="s">
        <v>1070</v>
      </c>
      <c r="B551" s="86" t="s">
        <v>1071</v>
      </c>
      <c r="C551" s="325"/>
      <c r="D551" s="326"/>
      <c r="E551" s="327">
        <v>82000.0</v>
      </c>
      <c r="F551" s="93">
        <v>82000.0</v>
      </c>
      <c r="G551" s="93">
        <f t="shared" si="71"/>
        <v>0</v>
      </c>
      <c r="H551" s="339"/>
      <c r="I551" s="339"/>
      <c r="J551" s="138"/>
      <c r="K551" s="98"/>
      <c r="L551" s="99"/>
    </row>
    <row r="552" hidden="1" outlineLevel="2">
      <c r="A552" s="132" t="s">
        <v>1074</v>
      </c>
      <c r="B552" s="86" t="s">
        <v>1075</v>
      </c>
      <c r="C552" s="325"/>
      <c r="D552" s="326"/>
      <c r="E552" s="327">
        <v>82000.0</v>
      </c>
      <c r="F552" s="93">
        <v>82000.0</v>
      </c>
      <c r="G552" s="93">
        <f t="shared" si="71"/>
        <v>0</v>
      </c>
      <c r="H552" s="339"/>
      <c r="I552" s="339"/>
      <c r="J552" s="138"/>
      <c r="K552" s="98"/>
      <c r="L552" s="99"/>
    </row>
    <row r="553" hidden="1" outlineLevel="2">
      <c r="A553" s="132" t="s">
        <v>1076</v>
      </c>
      <c r="B553" s="86" t="s">
        <v>1077</v>
      </c>
      <c r="C553" s="325"/>
      <c r="D553" s="326"/>
      <c r="E553" s="327">
        <v>82000.0</v>
      </c>
      <c r="F553" s="93">
        <v>82000.0</v>
      </c>
      <c r="G553" s="93">
        <f t="shared" si="71"/>
        <v>0</v>
      </c>
      <c r="H553" s="339"/>
      <c r="I553" s="339"/>
      <c r="J553" s="138"/>
      <c r="K553" s="98"/>
      <c r="L553" s="99"/>
    </row>
    <row r="554" hidden="1" outlineLevel="2">
      <c r="A554" s="132" t="s">
        <v>1078</v>
      </c>
      <c r="B554" s="86" t="s">
        <v>1079</v>
      </c>
      <c r="C554" s="325"/>
      <c r="D554" s="326"/>
      <c r="E554" s="327">
        <v>88000.0</v>
      </c>
      <c r="F554" s="93">
        <v>88000.0</v>
      </c>
      <c r="G554" s="93">
        <f t="shared" si="71"/>
        <v>0</v>
      </c>
      <c r="H554" s="339"/>
      <c r="I554" s="339"/>
      <c r="J554" s="138"/>
      <c r="K554" s="98"/>
      <c r="L554" s="99"/>
    </row>
    <row r="555" hidden="1" outlineLevel="2">
      <c r="A555" s="132" t="s">
        <v>1080</v>
      </c>
      <c r="B555" s="86" t="s">
        <v>1081</v>
      </c>
      <c r="C555" s="325"/>
      <c r="D555" s="326"/>
      <c r="E555" s="327">
        <v>82000.0</v>
      </c>
      <c r="F555" s="93">
        <v>82000.0</v>
      </c>
      <c r="G555" s="93">
        <f t="shared" si="71"/>
        <v>0</v>
      </c>
      <c r="H555" s="339"/>
      <c r="I555" s="339"/>
      <c r="J555" s="138"/>
      <c r="K555" s="98"/>
      <c r="L555" s="99"/>
    </row>
    <row r="556" hidden="1" outlineLevel="2">
      <c r="A556" s="132" t="s">
        <v>1082</v>
      </c>
      <c r="B556" s="86" t="s">
        <v>1083</v>
      </c>
      <c r="C556" s="325"/>
      <c r="D556" s="326"/>
      <c r="E556" s="327">
        <v>82000.0</v>
      </c>
      <c r="F556" s="93">
        <v>82000.0</v>
      </c>
      <c r="G556" s="93">
        <f t="shared" si="71"/>
        <v>0</v>
      </c>
      <c r="H556" s="339"/>
      <c r="I556" s="339"/>
      <c r="J556" s="138"/>
      <c r="K556" s="98"/>
      <c r="L556" s="99"/>
    </row>
    <row r="557" hidden="1" outlineLevel="2">
      <c r="A557" s="132" t="s">
        <v>1085</v>
      </c>
      <c r="B557" s="86" t="s">
        <v>1086</v>
      </c>
      <c r="C557" s="325"/>
      <c r="D557" s="326"/>
      <c r="E557" s="327">
        <v>82000.0</v>
      </c>
      <c r="F557" s="93">
        <v>82000.0</v>
      </c>
      <c r="G557" s="93">
        <f t="shared" si="71"/>
        <v>0</v>
      </c>
      <c r="H557" s="339"/>
      <c r="I557" s="339"/>
      <c r="J557" s="138"/>
      <c r="K557" s="98"/>
      <c r="L557" s="99"/>
    </row>
    <row r="558" hidden="1" outlineLevel="2">
      <c r="A558" s="132" t="s">
        <v>1088</v>
      </c>
      <c r="B558" s="86" t="s">
        <v>1089</v>
      </c>
      <c r="C558" s="325"/>
      <c r="D558" s="326"/>
      <c r="E558" s="327">
        <v>88000.0</v>
      </c>
      <c r="F558" s="93">
        <v>88000.0</v>
      </c>
      <c r="G558" s="93">
        <f t="shared" si="71"/>
        <v>0</v>
      </c>
      <c r="H558" s="339"/>
      <c r="I558" s="339"/>
      <c r="J558" s="138"/>
      <c r="K558" s="98"/>
      <c r="L558" s="99"/>
    </row>
    <row r="559" hidden="1" outlineLevel="2">
      <c r="A559" s="132" t="s">
        <v>1090</v>
      </c>
      <c r="B559" s="86" t="s">
        <v>1091</v>
      </c>
      <c r="C559" s="325"/>
      <c r="D559" s="326"/>
      <c r="E559" s="327">
        <v>88000.0</v>
      </c>
      <c r="F559" s="93">
        <v>88000.0</v>
      </c>
      <c r="G559" s="93">
        <f t="shared" si="71"/>
        <v>0</v>
      </c>
      <c r="H559" s="339"/>
      <c r="I559" s="339"/>
      <c r="J559" s="138"/>
      <c r="K559" s="98"/>
      <c r="L559" s="99"/>
    </row>
    <row r="560" hidden="1" outlineLevel="2">
      <c r="A560" s="132" t="s">
        <v>1093</v>
      </c>
      <c r="B560" s="86" t="s">
        <v>1094</v>
      </c>
      <c r="C560" s="325"/>
      <c r="D560" s="326"/>
      <c r="E560" s="327">
        <v>84000.0</v>
      </c>
      <c r="F560" s="93">
        <v>84000.0</v>
      </c>
      <c r="G560" s="93">
        <f t="shared" si="71"/>
        <v>0</v>
      </c>
      <c r="H560" s="339"/>
      <c r="I560" s="339"/>
      <c r="J560" s="138"/>
      <c r="K560" s="98"/>
      <c r="L560" s="99"/>
    </row>
    <row r="561" hidden="1" outlineLevel="2">
      <c r="A561" s="132" t="s">
        <v>1095</v>
      </c>
      <c r="B561" s="86" t="s">
        <v>1096</v>
      </c>
      <c r="C561" s="325"/>
      <c r="D561" s="326"/>
      <c r="E561" s="327">
        <v>85000.0</v>
      </c>
      <c r="F561" s="93">
        <v>85000.0</v>
      </c>
      <c r="G561" s="93">
        <f t="shared" si="71"/>
        <v>0</v>
      </c>
      <c r="H561" s="339"/>
      <c r="I561" s="339"/>
      <c r="J561" s="138"/>
      <c r="K561" s="98"/>
      <c r="L561" s="99"/>
    </row>
    <row r="562" hidden="1" outlineLevel="2">
      <c r="A562" s="132" t="s">
        <v>1098</v>
      </c>
      <c r="B562" s="86" t="s">
        <v>1099</v>
      </c>
      <c r="C562" s="325"/>
      <c r="D562" s="326"/>
      <c r="E562" s="327">
        <v>80000.0</v>
      </c>
      <c r="F562" s="93">
        <v>80000.0</v>
      </c>
      <c r="G562" s="93">
        <f t="shared" si="71"/>
        <v>0</v>
      </c>
      <c r="H562" s="339"/>
      <c r="I562" s="339"/>
      <c r="J562" s="138"/>
      <c r="K562" s="98"/>
      <c r="L562" s="99"/>
    </row>
    <row r="563" hidden="1" outlineLevel="2">
      <c r="A563" s="132" t="s">
        <v>1100</v>
      </c>
      <c r="B563" s="86" t="s">
        <v>1101</v>
      </c>
      <c r="C563" s="325"/>
      <c r="D563" s="326"/>
      <c r="E563" s="327">
        <v>80000.0</v>
      </c>
      <c r="F563" s="93">
        <v>80000.0</v>
      </c>
      <c r="G563" s="93">
        <f t="shared" si="71"/>
        <v>0</v>
      </c>
      <c r="H563" s="339"/>
      <c r="I563" s="339"/>
      <c r="J563" s="138"/>
      <c r="K563" s="98"/>
      <c r="L563" s="99"/>
    </row>
    <row r="564" hidden="1" outlineLevel="2">
      <c r="A564" s="132" t="s">
        <v>1102</v>
      </c>
      <c r="B564" s="86" t="s">
        <v>1103</v>
      </c>
      <c r="C564" s="325"/>
      <c r="D564" s="326"/>
      <c r="E564" s="327">
        <v>80000.0</v>
      </c>
      <c r="F564" s="93">
        <v>80000.0</v>
      </c>
      <c r="G564" s="93">
        <f t="shared" si="71"/>
        <v>0</v>
      </c>
      <c r="H564" s="339"/>
      <c r="I564" s="339"/>
      <c r="J564" s="138"/>
      <c r="K564" s="98"/>
      <c r="L564" s="99"/>
    </row>
    <row r="565" hidden="1" outlineLevel="2">
      <c r="A565" s="132" t="s">
        <v>1105</v>
      </c>
      <c r="B565" s="86" t="s">
        <v>1106</v>
      </c>
      <c r="C565" s="325"/>
      <c r="D565" s="326"/>
      <c r="E565" s="327">
        <v>85000.0</v>
      </c>
      <c r="F565" s="93">
        <v>85000.0</v>
      </c>
      <c r="G565" s="93">
        <f t="shared" si="71"/>
        <v>0</v>
      </c>
      <c r="H565" s="339"/>
      <c r="I565" s="339"/>
      <c r="J565" s="138"/>
      <c r="K565" s="98"/>
      <c r="L565" s="99"/>
    </row>
    <row r="566" hidden="1" outlineLevel="2">
      <c r="A566" s="132" t="s">
        <v>1107</v>
      </c>
      <c r="B566" s="86" t="s">
        <v>1108</v>
      </c>
      <c r="C566" s="325"/>
      <c r="D566" s="326"/>
      <c r="E566" s="327">
        <v>82000.0</v>
      </c>
      <c r="F566" s="93">
        <v>82000.0</v>
      </c>
      <c r="G566" s="93">
        <f t="shared" si="71"/>
        <v>0</v>
      </c>
      <c r="H566" s="339"/>
      <c r="I566" s="339"/>
      <c r="J566" s="138"/>
      <c r="K566" s="98"/>
      <c r="L566" s="99"/>
    </row>
    <row r="567" hidden="1" outlineLevel="2">
      <c r="A567" s="132" t="s">
        <v>1111</v>
      </c>
      <c r="B567" s="86" t="s">
        <v>1112</v>
      </c>
      <c r="C567" s="325"/>
      <c r="D567" s="326"/>
      <c r="E567" s="327">
        <v>82000.0</v>
      </c>
      <c r="F567" s="93">
        <v>82000.0</v>
      </c>
      <c r="G567" s="93">
        <f t="shared" si="71"/>
        <v>0</v>
      </c>
      <c r="H567" s="339"/>
      <c r="I567" s="339"/>
      <c r="J567" s="138"/>
      <c r="K567" s="98"/>
      <c r="L567" s="99"/>
    </row>
    <row r="568" hidden="1" outlineLevel="2">
      <c r="A568" s="132" t="s">
        <v>1114</v>
      </c>
      <c r="B568" s="86" t="s">
        <v>1115</v>
      </c>
      <c r="C568" s="325"/>
      <c r="D568" s="326"/>
      <c r="E568" s="327">
        <v>85000.0</v>
      </c>
      <c r="F568" s="93">
        <v>85000.0</v>
      </c>
      <c r="G568" s="93">
        <f t="shared" si="71"/>
        <v>0</v>
      </c>
      <c r="H568" s="339"/>
      <c r="I568" s="339"/>
      <c r="J568" s="138"/>
      <c r="K568" s="98"/>
      <c r="L568" s="99"/>
    </row>
    <row r="569" hidden="1" outlineLevel="2">
      <c r="A569" s="132" t="s">
        <v>1117</v>
      </c>
      <c r="B569" s="86" t="s">
        <v>1118</v>
      </c>
      <c r="C569" s="325"/>
      <c r="D569" s="326"/>
      <c r="E569" s="327">
        <v>82000.0</v>
      </c>
      <c r="F569" s="93">
        <v>82000.0</v>
      </c>
      <c r="G569" s="93">
        <f t="shared" si="71"/>
        <v>0</v>
      </c>
      <c r="H569" s="339"/>
      <c r="I569" s="339"/>
      <c r="J569" s="138"/>
      <c r="K569" s="98"/>
      <c r="L569" s="99"/>
    </row>
    <row r="570" hidden="1" outlineLevel="2">
      <c r="A570" s="132" t="s">
        <v>1119</v>
      </c>
      <c r="B570" s="86" t="s">
        <v>1120</v>
      </c>
      <c r="C570" s="325"/>
      <c r="D570" s="326"/>
      <c r="E570" s="327">
        <v>82000.0</v>
      </c>
      <c r="F570" s="93">
        <v>82000.0</v>
      </c>
      <c r="G570" s="93">
        <f t="shared" si="71"/>
        <v>0</v>
      </c>
      <c r="H570" s="339"/>
      <c r="I570" s="339"/>
      <c r="J570" s="138"/>
      <c r="K570" s="98"/>
      <c r="L570" s="99"/>
    </row>
    <row r="571" hidden="1" outlineLevel="2">
      <c r="A571" s="132" t="s">
        <v>1122</v>
      </c>
      <c r="B571" s="86" t="s">
        <v>1123</v>
      </c>
      <c r="C571" s="325"/>
      <c r="D571" s="326"/>
      <c r="E571" s="327">
        <v>84000.0</v>
      </c>
      <c r="F571" s="93">
        <v>84000.0</v>
      </c>
      <c r="G571" s="93">
        <f t="shared" si="71"/>
        <v>0</v>
      </c>
      <c r="H571" s="339"/>
      <c r="I571" s="339"/>
      <c r="J571" s="138"/>
      <c r="K571" s="98"/>
      <c r="L571" s="99"/>
    </row>
    <row r="572" hidden="1" outlineLevel="2">
      <c r="A572" s="132" t="s">
        <v>1125</v>
      </c>
      <c r="B572" s="86" t="s">
        <v>1126</v>
      </c>
      <c r="C572" s="325"/>
      <c r="D572" s="326"/>
      <c r="E572" s="327">
        <v>81000.0</v>
      </c>
      <c r="F572" s="93">
        <v>81000.0</v>
      </c>
      <c r="G572" s="93">
        <f t="shared" si="71"/>
        <v>0</v>
      </c>
      <c r="H572" s="339"/>
      <c r="I572" s="339"/>
      <c r="J572" s="138"/>
      <c r="K572" s="98"/>
      <c r="L572" s="99"/>
    </row>
    <row r="573" hidden="1" outlineLevel="2">
      <c r="A573" s="132" t="s">
        <v>1129</v>
      </c>
      <c r="B573" s="86" t="s">
        <v>1130</v>
      </c>
      <c r="C573" s="325"/>
      <c r="D573" s="326"/>
      <c r="E573" s="327">
        <v>77000.0</v>
      </c>
      <c r="F573" s="93">
        <v>77000.0</v>
      </c>
      <c r="G573" s="93">
        <f t="shared" si="71"/>
        <v>0</v>
      </c>
      <c r="H573" s="339"/>
      <c r="I573" s="339"/>
      <c r="J573" s="138"/>
      <c r="K573" s="98"/>
      <c r="L573" s="99"/>
    </row>
    <row r="574" hidden="1" outlineLevel="2">
      <c r="A574" s="132"/>
      <c r="B574" s="133"/>
      <c r="C574" s="325"/>
      <c r="D574" s="326"/>
      <c r="E574" s="355"/>
      <c r="F574" s="356"/>
      <c r="G574" s="356"/>
      <c r="H574" s="137"/>
      <c r="I574" s="137"/>
      <c r="J574" s="138"/>
      <c r="K574" s="98"/>
      <c r="L574" s="99"/>
    </row>
    <row r="575" hidden="1" outlineLevel="1">
      <c r="A575" s="342">
        <v>28.0</v>
      </c>
      <c r="B575" s="343" t="s">
        <v>1132</v>
      </c>
      <c r="C575" s="344">
        <f>B576*C576</f>
        <v>320000</v>
      </c>
      <c r="D575" s="300">
        <f>C576*J576</f>
        <v>533000</v>
      </c>
      <c r="E575" s="300">
        <f t="shared" ref="E575:F575" si="72">SUM(E577:E580)</f>
        <v>533000</v>
      </c>
      <c r="F575" s="345">
        <f t="shared" si="72"/>
        <v>533000</v>
      </c>
      <c r="G575" s="345">
        <f>F575-E575</f>
        <v>0</v>
      </c>
      <c r="H575" s="350"/>
      <c r="I575" s="350"/>
      <c r="J575" s="347">
        <f>E575-D575</f>
        <v>0</v>
      </c>
      <c r="K575" s="348"/>
      <c r="L575" s="349"/>
    </row>
    <row r="576" hidden="1" outlineLevel="1" collapsed="1">
      <c r="A576" s="307"/>
      <c r="B576" s="308">
        <v>80000.0</v>
      </c>
      <c r="C576" s="309">
        <v>4.0</v>
      </c>
      <c r="D576" s="316">
        <f>(D575/C575)-1</f>
        <v>0.665625</v>
      </c>
      <c r="E576" s="317">
        <f>COUNT(E577:E580)</f>
        <v>4</v>
      </c>
      <c r="F576" s="317"/>
      <c r="G576" s="317"/>
      <c r="H576" s="318"/>
      <c r="I576" s="318"/>
      <c r="J576" s="319">
        <f>E575/E576</f>
        <v>133250</v>
      </c>
      <c r="K576" s="320"/>
      <c r="L576" s="322"/>
    </row>
    <row r="577" hidden="1" outlineLevel="2">
      <c r="A577" s="132">
        <f t="shared" ref="A577:A580" si="73">A514+1</f>
        <v>28.1</v>
      </c>
      <c r="B577" s="86" t="s">
        <v>1139</v>
      </c>
      <c r="C577" s="325"/>
      <c r="D577" s="326"/>
      <c r="E577" s="327">
        <v>144000.0</v>
      </c>
      <c r="F577" s="93">
        <v>144000.0</v>
      </c>
      <c r="G577" s="93">
        <f t="shared" ref="G577:G580" si="74">F577-E577</f>
        <v>0</v>
      </c>
      <c r="H577" s="339"/>
      <c r="I577" s="339"/>
      <c r="J577" s="138"/>
      <c r="K577" s="98"/>
      <c r="L577" s="99"/>
    </row>
    <row r="578" hidden="1" outlineLevel="2">
      <c r="A578" s="132">
        <f t="shared" si="73"/>
        <v>28.2</v>
      </c>
      <c r="B578" s="86" t="s">
        <v>1141</v>
      </c>
      <c r="C578" s="325"/>
      <c r="D578" s="326"/>
      <c r="E578" s="327">
        <v>133000.0</v>
      </c>
      <c r="F578" s="93">
        <v>133000.0</v>
      </c>
      <c r="G578" s="93">
        <f t="shared" si="74"/>
        <v>0</v>
      </c>
      <c r="H578" s="339"/>
      <c r="I578" s="339"/>
      <c r="J578" s="138"/>
      <c r="K578" s="98"/>
      <c r="L578" s="99"/>
    </row>
    <row r="579" hidden="1" outlineLevel="2">
      <c r="A579" s="132">
        <f t="shared" si="73"/>
        <v>28.3</v>
      </c>
      <c r="B579" s="86" t="s">
        <v>1142</v>
      </c>
      <c r="C579" s="325"/>
      <c r="D579" s="326"/>
      <c r="E579" s="327">
        <v>110000.0</v>
      </c>
      <c r="F579" s="93">
        <v>110000.0</v>
      </c>
      <c r="G579" s="93">
        <f t="shared" si="74"/>
        <v>0</v>
      </c>
      <c r="H579" s="339"/>
      <c r="I579" s="339"/>
      <c r="J579" s="138"/>
      <c r="K579" s="98"/>
      <c r="L579" s="99"/>
    </row>
    <row r="580" hidden="1" outlineLevel="2">
      <c r="A580" s="132">
        <f t="shared" si="73"/>
        <v>28.4</v>
      </c>
      <c r="B580" s="86" t="s">
        <v>1144</v>
      </c>
      <c r="C580" s="325"/>
      <c r="D580" s="326"/>
      <c r="E580" s="327">
        <v>146000.0</v>
      </c>
      <c r="F580" s="93">
        <v>146000.0</v>
      </c>
      <c r="G580" s="93">
        <f t="shared" si="74"/>
        <v>0</v>
      </c>
      <c r="H580" s="339"/>
      <c r="I580" s="339"/>
      <c r="J580" s="138"/>
      <c r="K580" s="98"/>
      <c r="L580" s="99"/>
    </row>
    <row r="581" hidden="1" outlineLevel="2">
      <c r="A581" s="132"/>
      <c r="B581" s="133"/>
      <c r="C581" s="325"/>
      <c r="D581" s="326"/>
      <c r="E581" s="510"/>
      <c r="F581" s="511"/>
      <c r="G581" s="511"/>
      <c r="H581" s="137"/>
      <c r="I581" s="137"/>
      <c r="J581" s="138"/>
      <c r="K581" s="98"/>
      <c r="L581" s="99"/>
    </row>
    <row r="582" hidden="1" outlineLevel="1">
      <c r="A582" s="342">
        <v>29.0</v>
      </c>
      <c r="B582" s="343" t="s">
        <v>1146</v>
      </c>
      <c r="C582" s="344">
        <f>B583*C583</f>
        <v>5100000</v>
      </c>
      <c r="D582" s="300">
        <f>C583*J583</f>
        <v>13474928.57</v>
      </c>
      <c r="E582" s="300">
        <f t="shared" ref="E582:F582" si="75">SUM(E584:E597)</f>
        <v>3699000</v>
      </c>
      <c r="F582" s="345">
        <f t="shared" si="75"/>
        <v>3699000</v>
      </c>
      <c r="G582" s="345">
        <f>F582-E582</f>
        <v>0</v>
      </c>
      <c r="H582" s="350"/>
      <c r="I582" s="350"/>
      <c r="J582" s="347">
        <f>E582-D582</f>
        <v>-9775928.571</v>
      </c>
      <c r="K582" s="348"/>
      <c r="L582" s="349"/>
    </row>
    <row r="583" hidden="1" outlineLevel="1" collapsed="1">
      <c r="A583" s="307"/>
      <c r="B583" s="308">
        <v>100000.0</v>
      </c>
      <c r="C583" s="309">
        <v>51.0</v>
      </c>
      <c r="D583" s="316">
        <f>(D582/C582)-1</f>
        <v>1.642142857</v>
      </c>
      <c r="E583" s="317">
        <f>COUNT(E584:E597)</f>
        <v>14</v>
      </c>
      <c r="F583" s="317"/>
      <c r="G583" s="317"/>
      <c r="H583" s="318"/>
      <c r="I583" s="318"/>
      <c r="J583" s="319">
        <f>E582/E583</f>
        <v>264214.2857</v>
      </c>
      <c r="K583" s="320"/>
      <c r="L583" s="322"/>
    </row>
    <row r="584" hidden="1" outlineLevel="2">
      <c r="A584" s="132">
        <f>A577+1</f>
        <v>29.1</v>
      </c>
      <c r="B584" s="86" t="s">
        <v>1153</v>
      </c>
      <c r="C584" s="325"/>
      <c r="D584" s="326"/>
      <c r="E584" s="327">
        <v>305000.0</v>
      </c>
      <c r="F584" s="93">
        <v>305000.0</v>
      </c>
      <c r="G584" s="93">
        <f t="shared" ref="G584:G597" si="76">F584-E584</f>
        <v>0</v>
      </c>
      <c r="H584" s="339"/>
      <c r="I584" s="339"/>
      <c r="J584" s="138"/>
      <c r="K584" s="98"/>
      <c r="L584" s="99"/>
    </row>
    <row r="585" hidden="1" outlineLevel="2">
      <c r="A585" s="132">
        <f t="shared" ref="A585:A592" si="77">A584+0.1</f>
        <v>29.2</v>
      </c>
      <c r="B585" s="86" t="s">
        <v>1155</v>
      </c>
      <c r="C585" s="325"/>
      <c r="D585" s="326"/>
      <c r="E585" s="327">
        <v>305000.0</v>
      </c>
      <c r="F585" s="93">
        <v>305000.0</v>
      </c>
      <c r="G585" s="93">
        <f t="shared" si="76"/>
        <v>0</v>
      </c>
      <c r="H585" s="339"/>
      <c r="I585" s="339"/>
      <c r="J585" s="138"/>
      <c r="K585" s="98"/>
      <c r="L585" s="99"/>
    </row>
    <row r="586" hidden="1" outlineLevel="2">
      <c r="A586" s="132">
        <f t="shared" si="77"/>
        <v>29.3</v>
      </c>
      <c r="B586" s="86" t="s">
        <v>1156</v>
      </c>
      <c r="C586" s="325"/>
      <c r="D586" s="326"/>
      <c r="E586" s="327">
        <v>367000.0</v>
      </c>
      <c r="F586" s="93">
        <v>367000.0</v>
      </c>
      <c r="G586" s="93">
        <f t="shared" si="76"/>
        <v>0</v>
      </c>
      <c r="H586" s="339"/>
      <c r="I586" s="339"/>
      <c r="J586" s="138"/>
      <c r="K586" s="98"/>
      <c r="L586" s="99"/>
    </row>
    <row r="587" hidden="1" outlineLevel="2">
      <c r="A587" s="132">
        <f t="shared" si="77"/>
        <v>29.4</v>
      </c>
      <c r="B587" s="86" t="s">
        <v>1158</v>
      </c>
      <c r="C587" s="325"/>
      <c r="D587" s="326"/>
      <c r="E587" s="327">
        <v>367000.0</v>
      </c>
      <c r="F587" s="93">
        <v>367000.0</v>
      </c>
      <c r="G587" s="93">
        <f t="shared" si="76"/>
        <v>0</v>
      </c>
      <c r="H587" s="339"/>
      <c r="I587" s="339"/>
      <c r="J587" s="138"/>
      <c r="K587" s="98"/>
      <c r="L587" s="99"/>
    </row>
    <row r="588" hidden="1" outlineLevel="2">
      <c r="A588" s="132">
        <f t="shared" si="77"/>
        <v>29.5</v>
      </c>
      <c r="B588" s="86" t="s">
        <v>1159</v>
      </c>
      <c r="C588" s="325"/>
      <c r="D588" s="326"/>
      <c r="E588" s="327">
        <v>286000.0</v>
      </c>
      <c r="F588" s="93">
        <v>286000.0</v>
      </c>
      <c r="G588" s="93">
        <f t="shared" si="76"/>
        <v>0</v>
      </c>
      <c r="H588" s="339"/>
      <c r="I588" s="339"/>
      <c r="J588" s="138"/>
      <c r="K588" s="98"/>
      <c r="L588" s="99"/>
    </row>
    <row r="589" hidden="1" outlineLevel="2">
      <c r="A589" s="132">
        <f t="shared" si="77"/>
        <v>29.6</v>
      </c>
      <c r="B589" s="86" t="s">
        <v>1161</v>
      </c>
      <c r="C589" s="325"/>
      <c r="D589" s="326"/>
      <c r="E589" s="327">
        <v>286000.0</v>
      </c>
      <c r="F589" s="93">
        <v>286000.0</v>
      </c>
      <c r="G589" s="93">
        <f t="shared" si="76"/>
        <v>0</v>
      </c>
      <c r="H589" s="339"/>
      <c r="I589" s="339"/>
      <c r="J589" s="138"/>
      <c r="K589" s="98"/>
      <c r="L589" s="99"/>
    </row>
    <row r="590" hidden="1" outlineLevel="2">
      <c r="A590" s="132">
        <f t="shared" si="77"/>
        <v>29.7</v>
      </c>
      <c r="B590" s="86" t="s">
        <v>1162</v>
      </c>
      <c r="C590" s="325"/>
      <c r="D590" s="326"/>
      <c r="E590" s="327">
        <v>414000.0</v>
      </c>
      <c r="F590" s="93">
        <v>414000.0</v>
      </c>
      <c r="G590" s="93">
        <f t="shared" si="76"/>
        <v>0</v>
      </c>
      <c r="H590" s="339"/>
      <c r="I590" s="339"/>
      <c r="J590" s="138"/>
      <c r="K590" s="98"/>
      <c r="L590" s="99"/>
    </row>
    <row r="591" hidden="1" outlineLevel="2">
      <c r="A591" s="132">
        <f t="shared" si="77"/>
        <v>29.8</v>
      </c>
      <c r="B591" s="86" t="s">
        <v>1163</v>
      </c>
      <c r="C591" s="325"/>
      <c r="D591" s="326"/>
      <c r="E591" s="327">
        <v>416000.0</v>
      </c>
      <c r="F591" s="93">
        <v>416000.0</v>
      </c>
      <c r="G591" s="93">
        <f t="shared" si="76"/>
        <v>0</v>
      </c>
      <c r="H591" s="339"/>
      <c r="I591" s="339"/>
      <c r="J591" s="138"/>
      <c r="K591" s="98"/>
      <c r="L591" s="99"/>
    </row>
    <row r="592" hidden="1" outlineLevel="2">
      <c r="A592" s="132">
        <f t="shared" si="77"/>
        <v>29.9</v>
      </c>
      <c r="B592" s="86" t="s">
        <v>1165</v>
      </c>
      <c r="C592" s="325"/>
      <c r="D592" s="326"/>
      <c r="E592" s="327">
        <v>188000.0</v>
      </c>
      <c r="F592" s="93">
        <v>188000.0</v>
      </c>
      <c r="G592" s="93">
        <f t="shared" si="76"/>
        <v>0</v>
      </c>
      <c r="H592" s="339"/>
      <c r="I592" s="339"/>
      <c r="J592" s="138"/>
      <c r="K592" s="98"/>
      <c r="L592" s="99"/>
    </row>
    <row r="593" hidden="1" outlineLevel="2">
      <c r="A593" s="332" t="s">
        <v>1166</v>
      </c>
      <c r="B593" s="86" t="s">
        <v>1167</v>
      </c>
      <c r="C593" s="325"/>
      <c r="D593" s="326"/>
      <c r="E593" s="327">
        <v>172000.0</v>
      </c>
      <c r="F593" s="93">
        <v>172000.0</v>
      </c>
      <c r="G593" s="93">
        <f t="shared" si="76"/>
        <v>0</v>
      </c>
      <c r="H593" s="339"/>
      <c r="I593" s="339"/>
      <c r="J593" s="138"/>
      <c r="K593" s="98"/>
      <c r="L593" s="99"/>
    </row>
    <row r="594" hidden="1" outlineLevel="2">
      <c r="A594" s="132">
        <v>29.11</v>
      </c>
      <c r="B594" s="86" t="s">
        <v>1168</v>
      </c>
      <c r="C594" s="325"/>
      <c r="D594" s="326"/>
      <c r="E594" s="327">
        <v>148000.0</v>
      </c>
      <c r="F594" s="93">
        <v>148000.0</v>
      </c>
      <c r="G594" s="93">
        <f t="shared" si="76"/>
        <v>0</v>
      </c>
      <c r="H594" s="339"/>
      <c r="I594" s="339"/>
      <c r="J594" s="138"/>
      <c r="K594" s="98"/>
      <c r="L594" s="99"/>
    </row>
    <row r="595" hidden="1" outlineLevel="2">
      <c r="A595" s="132">
        <f t="shared" ref="A595:A597" si="78">A594+0.01</f>
        <v>29.12</v>
      </c>
      <c r="B595" s="86" t="s">
        <v>1170</v>
      </c>
      <c r="C595" s="325"/>
      <c r="D595" s="326"/>
      <c r="E595" s="327">
        <v>152000.0</v>
      </c>
      <c r="F595" s="93">
        <v>152000.0</v>
      </c>
      <c r="G595" s="93">
        <f t="shared" si="76"/>
        <v>0</v>
      </c>
      <c r="H595" s="339"/>
      <c r="I595" s="339"/>
      <c r="J595" s="138"/>
      <c r="K595" s="98"/>
      <c r="L595" s="99"/>
    </row>
    <row r="596" hidden="1" outlineLevel="2">
      <c r="A596" s="132">
        <f t="shared" si="78"/>
        <v>29.13</v>
      </c>
      <c r="B596" s="86" t="s">
        <v>1171</v>
      </c>
      <c r="C596" s="325"/>
      <c r="D596" s="326"/>
      <c r="E596" s="327">
        <v>152000.0</v>
      </c>
      <c r="F596" s="93">
        <v>152000.0</v>
      </c>
      <c r="G596" s="93">
        <f t="shared" si="76"/>
        <v>0</v>
      </c>
      <c r="H596" s="339"/>
      <c r="I596" s="339"/>
      <c r="J596" s="138"/>
      <c r="K596" s="98"/>
      <c r="L596" s="99"/>
    </row>
    <row r="597" hidden="1" outlineLevel="2">
      <c r="A597" s="132">
        <f t="shared" si="78"/>
        <v>29.14</v>
      </c>
      <c r="B597" s="86" t="s">
        <v>1172</v>
      </c>
      <c r="C597" s="325"/>
      <c r="D597" s="326"/>
      <c r="E597" s="327">
        <v>141000.0</v>
      </c>
      <c r="F597" s="93">
        <v>141000.0</v>
      </c>
      <c r="G597" s="93">
        <f t="shared" si="76"/>
        <v>0</v>
      </c>
      <c r="H597" s="339"/>
      <c r="I597" s="339"/>
      <c r="J597" s="138"/>
      <c r="K597" s="98"/>
      <c r="L597" s="99"/>
    </row>
    <row r="598" hidden="1" outlineLevel="2">
      <c r="A598" s="132"/>
      <c r="B598" s="133"/>
      <c r="C598" s="325"/>
      <c r="D598" s="326"/>
      <c r="E598" s="355"/>
      <c r="F598" s="356"/>
      <c r="G598" s="356"/>
      <c r="H598" s="137"/>
      <c r="I598" s="137"/>
      <c r="J598" s="138"/>
      <c r="K598" s="98"/>
      <c r="L598" s="99"/>
    </row>
    <row r="599" hidden="1" outlineLevel="1">
      <c r="A599" s="342">
        <v>30.0</v>
      </c>
      <c r="B599" s="343" t="s">
        <v>1174</v>
      </c>
      <c r="C599" s="344">
        <f>B600*C600</f>
        <v>5000000</v>
      </c>
      <c r="D599" s="300">
        <f>C600*J600</f>
        <v>30360000</v>
      </c>
      <c r="E599" s="300">
        <f t="shared" ref="E599:F599" si="79">SUM(E601:E630)</f>
        <v>18216000</v>
      </c>
      <c r="F599" s="345">
        <f t="shared" si="79"/>
        <v>18216000</v>
      </c>
      <c r="G599" s="345">
        <f>F599-E599</f>
        <v>0</v>
      </c>
      <c r="H599" s="350"/>
      <c r="I599" s="350"/>
      <c r="J599" s="347">
        <f>E599-D599</f>
        <v>-12144000</v>
      </c>
      <c r="K599" s="348"/>
      <c r="L599" s="349"/>
    </row>
    <row r="600" hidden="1" outlineLevel="1" collapsed="1">
      <c r="A600" s="307"/>
      <c r="B600" s="308">
        <v>100000.0</v>
      </c>
      <c r="C600" s="309">
        <v>50.0</v>
      </c>
      <c r="D600" s="316">
        <f>(D599/C599)-1</f>
        <v>5.072</v>
      </c>
      <c r="E600" s="317">
        <f>COUNT(E601:E630)</f>
        <v>30</v>
      </c>
      <c r="F600" s="317"/>
      <c r="G600" s="317"/>
      <c r="H600" s="318"/>
      <c r="I600" s="318"/>
      <c r="J600" s="319">
        <f>E599/E600</f>
        <v>607200</v>
      </c>
      <c r="K600" s="320"/>
      <c r="L600" s="322"/>
    </row>
    <row r="601" hidden="1" outlineLevel="2">
      <c r="A601" s="132">
        <v>30.1</v>
      </c>
      <c r="B601" s="86" t="s">
        <v>1178</v>
      </c>
      <c r="C601" s="325"/>
      <c r="D601" s="326"/>
      <c r="E601" s="327">
        <v>934000.0</v>
      </c>
      <c r="F601" s="93">
        <v>934000.0</v>
      </c>
      <c r="G601" s="93">
        <f t="shared" ref="G601:G630" si="80">F601-E601</f>
        <v>0</v>
      </c>
      <c r="H601" s="339"/>
      <c r="I601" s="339"/>
      <c r="J601" s="138"/>
      <c r="K601" s="98"/>
      <c r="L601" s="99"/>
    </row>
    <row r="602" hidden="1" outlineLevel="2">
      <c r="A602" s="132">
        <v>30.2</v>
      </c>
      <c r="B602" s="86" t="s">
        <v>1179</v>
      </c>
      <c r="C602" s="325"/>
      <c r="D602" s="326"/>
      <c r="E602" s="327">
        <v>581000.0</v>
      </c>
      <c r="F602" s="93">
        <v>581000.0</v>
      </c>
      <c r="G602" s="93">
        <f t="shared" si="80"/>
        <v>0</v>
      </c>
      <c r="H602" s="339"/>
      <c r="I602" s="339"/>
      <c r="J602" s="138"/>
      <c r="K602" s="98"/>
      <c r="L602" s="99"/>
    </row>
    <row r="603" hidden="1" outlineLevel="2">
      <c r="A603" s="132">
        <v>30.3</v>
      </c>
      <c r="B603" s="86" t="s">
        <v>1180</v>
      </c>
      <c r="C603" s="325"/>
      <c r="D603" s="326"/>
      <c r="E603" s="327">
        <v>494000.0</v>
      </c>
      <c r="F603" s="93">
        <v>494000.0</v>
      </c>
      <c r="G603" s="93">
        <f t="shared" si="80"/>
        <v>0</v>
      </c>
      <c r="H603" s="339"/>
      <c r="I603" s="339"/>
      <c r="J603" s="138"/>
      <c r="K603" s="98"/>
      <c r="L603" s="99"/>
    </row>
    <row r="604" hidden="1" outlineLevel="2">
      <c r="A604" s="132">
        <v>30.4</v>
      </c>
      <c r="B604" s="86" t="s">
        <v>1181</v>
      </c>
      <c r="C604" s="325"/>
      <c r="D604" s="326"/>
      <c r="E604" s="327">
        <v>406000.0</v>
      </c>
      <c r="F604" s="93">
        <v>406000.0</v>
      </c>
      <c r="G604" s="93">
        <f t="shared" si="80"/>
        <v>0</v>
      </c>
      <c r="H604" s="339"/>
      <c r="I604" s="339"/>
      <c r="J604" s="138"/>
      <c r="K604" s="98"/>
      <c r="L604" s="99"/>
    </row>
    <row r="605" hidden="1" outlineLevel="2">
      <c r="A605" s="132">
        <v>30.5</v>
      </c>
      <c r="B605" s="86" t="s">
        <v>1182</v>
      </c>
      <c r="C605" s="325"/>
      <c r="D605" s="326"/>
      <c r="E605" s="327">
        <v>406000.0</v>
      </c>
      <c r="F605" s="93">
        <v>406000.0</v>
      </c>
      <c r="G605" s="93">
        <f t="shared" si="80"/>
        <v>0</v>
      </c>
      <c r="H605" s="339"/>
      <c r="I605" s="339"/>
      <c r="J605" s="138"/>
      <c r="K605" s="98"/>
      <c r="L605" s="99"/>
    </row>
    <row r="606" hidden="1" outlineLevel="2">
      <c r="A606" s="132">
        <v>30.6</v>
      </c>
      <c r="B606" s="86" t="s">
        <v>1183</v>
      </c>
      <c r="C606" s="325"/>
      <c r="D606" s="326"/>
      <c r="E606" s="327">
        <v>406000.0</v>
      </c>
      <c r="F606" s="93">
        <v>406000.0</v>
      </c>
      <c r="G606" s="93">
        <f t="shared" si="80"/>
        <v>0</v>
      </c>
      <c r="H606" s="339"/>
      <c r="I606" s="339"/>
      <c r="J606" s="138"/>
      <c r="K606" s="98"/>
      <c r="L606" s="99"/>
    </row>
    <row r="607" hidden="1" outlineLevel="2">
      <c r="A607" s="132">
        <v>30.7</v>
      </c>
      <c r="B607" s="86" t="s">
        <v>1184</v>
      </c>
      <c r="C607" s="325"/>
      <c r="D607" s="326"/>
      <c r="E607" s="327">
        <v>406000.0</v>
      </c>
      <c r="F607" s="93">
        <v>406000.0</v>
      </c>
      <c r="G607" s="93">
        <f t="shared" si="80"/>
        <v>0</v>
      </c>
      <c r="H607" s="339"/>
      <c r="I607" s="339"/>
      <c r="J607" s="138"/>
      <c r="K607" s="98"/>
      <c r="L607" s="99"/>
    </row>
    <row r="608" hidden="1" outlineLevel="2">
      <c r="A608" s="132">
        <v>30.8</v>
      </c>
      <c r="B608" s="86" t="s">
        <v>1185</v>
      </c>
      <c r="C608" s="325"/>
      <c r="D608" s="326"/>
      <c r="E608" s="327">
        <v>405000.0</v>
      </c>
      <c r="F608" s="93">
        <v>405000.0</v>
      </c>
      <c r="G608" s="93">
        <f t="shared" si="80"/>
        <v>0</v>
      </c>
      <c r="H608" s="339"/>
      <c r="I608" s="339"/>
      <c r="J608" s="138"/>
      <c r="K608" s="98"/>
      <c r="L608" s="99"/>
    </row>
    <row r="609" hidden="1" outlineLevel="2">
      <c r="A609" s="132">
        <v>30.9</v>
      </c>
      <c r="B609" s="86" t="s">
        <v>1186</v>
      </c>
      <c r="C609" s="325"/>
      <c r="D609" s="326"/>
      <c r="E609" s="327">
        <v>593000.0</v>
      </c>
      <c r="F609" s="93">
        <v>593000.0</v>
      </c>
      <c r="G609" s="93">
        <f t="shared" si="80"/>
        <v>0</v>
      </c>
      <c r="H609" s="339"/>
      <c r="I609" s="339"/>
      <c r="J609" s="138"/>
      <c r="K609" s="98"/>
      <c r="L609" s="99"/>
    </row>
    <row r="610" hidden="1" outlineLevel="2">
      <c r="A610" s="332" t="s">
        <v>1187</v>
      </c>
      <c r="B610" s="86" t="s">
        <v>1188</v>
      </c>
      <c r="C610" s="325"/>
      <c r="D610" s="326"/>
      <c r="E610" s="327">
        <v>532000.0</v>
      </c>
      <c r="F610" s="93">
        <v>532000.0</v>
      </c>
      <c r="G610" s="93">
        <f t="shared" si="80"/>
        <v>0</v>
      </c>
      <c r="H610" s="339"/>
      <c r="I610" s="339"/>
      <c r="J610" s="138"/>
      <c r="K610" s="98"/>
      <c r="L610" s="99"/>
    </row>
    <row r="611" hidden="1" outlineLevel="2">
      <c r="A611" s="332" t="s">
        <v>1189</v>
      </c>
      <c r="B611" s="86" t="s">
        <v>1190</v>
      </c>
      <c r="C611" s="325"/>
      <c r="D611" s="326"/>
      <c r="E611" s="327">
        <v>688000.0</v>
      </c>
      <c r="F611" s="93">
        <v>688000.0</v>
      </c>
      <c r="G611" s="93">
        <f t="shared" si="80"/>
        <v>0</v>
      </c>
      <c r="H611" s="339"/>
      <c r="I611" s="339"/>
      <c r="J611" s="138"/>
      <c r="K611" s="98"/>
      <c r="L611" s="99"/>
    </row>
    <row r="612" hidden="1" outlineLevel="2">
      <c r="A612" s="132" t="s">
        <v>1191</v>
      </c>
      <c r="B612" s="86" t="s">
        <v>1192</v>
      </c>
      <c r="C612" s="325"/>
      <c r="D612" s="326"/>
      <c r="E612" s="327">
        <v>688000.0</v>
      </c>
      <c r="F612" s="93">
        <v>688000.0</v>
      </c>
      <c r="G612" s="93">
        <f t="shared" si="80"/>
        <v>0</v>
      </c>
      <c r="H612" s="339"/>
      <c r="I612" s="339"/>
      <c r="J612" s="138"/>
      <c r="K612" s="98"/>
      <c r="L612" s="99"/>
    </row>
    <row r="613" hidden="1" outlineLevel="2">
      <c r="A613" s="132" t="s">
        <v>1193</v>
      </c>
      <c r="B613" s="86" t="s">
        <v>1194</v>
      </c>
      <c r="C613" s="325"/>
      <c r="D613" s="326"/>
      <c r="E613" s="327">
        <v>758000.0</v>
      </c>
      <c r="F613" s="93">
        <v>758000.0</v>
      </c>
      <c r="G613" s="93">
        <f t="shared" si="80"/>
        <v>0</v>
      </c>
      <c r="H613" s="339"/>
      <c r="I613" s="339"/>
      <c r="J613" s="138"/>
      <c r="K613" s="98"/>
      <c r="L613" s="99"/>
    </row>
    <row r="614" hidden="1" outlineLevel="2">
      <c r="A614" s="132" t="s">
        <v>1195</v>
      </c>
      <c r="B614" s="86" t="s">
        <v>1196</v>
      </c>
      <c r="C614" s="325"/>
      <c r="D614" s="326"/>
      <c r="E614" s="327">
        <v>504000.0</v>
      </c>
      <c r="F614" s="93">
        <v>504000.0</v>
      </c>
      <c r="G614" s="93">
        <f t="shared" si="80"/>
        <v>0</v>
      </c>
      <c r="H614" s="339"/>
      <c r="I614" s="339"/>
      <c r="J614" s="138"/>
      <c r="K614" s="98"/>
      <c r="L614" s="99"/>
    </row>
    <row r="615" hidden="1" outlineLevel="2">
      <c r="A615" s="132" t="s">
        <v>1197</v>
      </c>
      <c r="B615" s="86" t="s">
        <v>1198</v>
      </c>
      <c r="C615" s="325"/>
      <c r="D615" s="326"/>
      <c r="E615" s="327">
        <v>504000.0</v>
      </c>
      <c r="F615" s="93">
        <v>504000.0</v>
      </c>
      <c r="G615" s="93">
        <f t="shared" si="80"/>
        <v>0</v>
      </c>
      <c r="H615" s="339"/>
      <c r="I615" s="339"/>
      <c r="J615" s="138"/>
      <c r="K615" s="98"/>
      <c r="L615" s="99"/>
    </row>
    <row r="616" hidden="1" outlineLevel="2">
      <c r="A616" s="132" t="s">
        <v>1199</v>
      </c>
      <c r="B616" s="86" t="s">
        <v>1200</v>
      </c>
      <c r="C616" s="325"/>
      <c r="D616" s="326"/>
      <c r="E616" s="327">
        <v>504000.0</v>
      </c>
      <c r="F616" s="93">
        <v>504000.0</v>
      </c>
      <c r="G616" s="93">
        <f t="shared" si="80"/>
        <v>0</v>
      </c>
      <c r="H616" s="339"/>
      <c r="I616" s="339"/>
      <c r="J616" s="138"/>
      <c r="K616" s="98"/>
      <c r="L616" s="99"/>
    </row>
    <row r="617" hidden="1" outlineLevel="2">
      <c r="A617" s="132" t="s">
        <v>1201</v>
      </c>
      <c r="B617" s="86" t="s">
        <v>1202</v>
      </c>
      <c r="C617" s="325"/>
      <c r="D617" s="326"/>
      <c r="E617" s="327">
        <v>679000.0</v>
      </c>
      <c r="F617" s="93">
        <v>679000.0</v>
      </c>
      <c r="G617" s="93">
        <f t="shared" si="80"/>
        <v>0</v>
      </c>
      <c r="H617" s="339"/>
      <c r="I617" s="339"/>
      <c r="J617" s="138"/>
      <c r="K617" s="98"/>
      <c r="L617" s="99"/>
    </row>
    <row r="618" hidden="1" outlineLevel="2">
      <c r="A618" s="132" t="s">
        <v>1203</v>
      </c>
      <c r="B618" s="86" t="s">
        <v>1204</v>
      </c>
      <c r="C618" s="325"/>
      <c r="D618" s="326"/>
      <c r="E618" s="327">
        <v>655000.0</v>
      </c>
      <c r="F618" s="93">
        <v>655000.0</v>
      </c>
      <c r="G618" s="93">
        <f t="shared" si="80"/>
        <v>0</v>
      </c>
      <c r="H618" s="339"/>
      <c r="I618" s="339"/>
      <c r="J618" s="138"/>
      <c r="K618" s="98"/>
      <c r="L618" s="99"/>
    </row>
    <row r="619" hidden="1" outlineLevel="2">
      <c r="A619" s="132" t="s">
        <v>1205</v>
      </c>
      <c r="B619" s="86" t="s">
        <v>1206</v>
      </c>
      <c r="C619" s="325"/>
      <c r="D619" s="326"/>
      <c r="E619" s="327">
        <v>763000.0</v>
      </c>
      <c r="F619" s="93">
        <v>763000.0</v>
      </c>
      <c r="G619" s="93">
        <f t="shared" si="80"/>
        <v>0</v>
      </c>
      <c r="H619" s="339"/>
      <c r="I619" s="339"/>
      <c r="J619" s="138"/>
      <c r="K619" s="98"/>
      <c r="L619" s="99"/>
    </row>
    <row r="620" hidden="1" outlineLevel="2">
      <c r="A620" s="132" t="s">
        <v>1207</v>
      </c>
      <c r="B620" s="86" t="s">
        <v>1208</v>
      </c>
      <c r="C620" s="325"/>
      <c r="D620" s="326"/>
      <c r="E620" s="327">
        <v>576000.0</v>
      </c>
      <c r="F620" s="93">
        <v>576000.0</v>
      </c>
      <c r="G620" s="93">
        <f t="shared" si="80"/>
        <v>0</v>
      </c>
      <c r="H620" s="339"/>
      <c r="I620" s="339"/>
      <c r="J620" s="138"/>
      <c r="K620" s="98"/>
      <c r="L620" s="99"/>
    </row>
    <row r="621" hidden="1" outlineLevel="2">
      <c r="A621" s="132" t="s">
        <v>1209</v>
      </c>
      <c r="B621" s="86" t="s">
        <v>1210</v>
      </c>
      <c r="C621" s="325"/>
      <c r="D621" s="326"/>
      <c r="E621" s="327">
        <v>565000.0</v>
      </c>
      <c r="F621" s="93">
        <v>565000.0</v>
      </c>
      <c r="G621" s="93">
        <f t="shared" si="80"/>
        <v>0</v>
      </c>
      <c r="H621" s="339"/>
      <c r="I621" s="339"/>
      <c r="J621" s="138"/>
      <c r="K621" s="98"/>
      <c r="L621" s="99"/>
    </row>
    <row r="622" hidden="1" outlineLevel="2">
      <c r="A622" s="132" t="s">
        <v>1211</v>
      </c>
      <c r="B622" s="86" t="s">
        <v>1212</v>
      </c>
      <c r="C622" s="325"/>
      <c r="D622" s="326"/>
      <c r="E622" s="327">
        <v>565000.0</v>
      </c>
      <c r="F622" s="93">
        <v>565000.0</v>
      </c>
      <c r="G622" s="93">
        <f t="shared" si="80"/>
        <v>0</v>
      </c>
      <c r="H622" s="339"/>
      <c r="I622" s="339"/>
      <c r="J622" s="138"/>
      <c r="K622" s="98"/>
      <c r="L622" s="99"/>
    </row>
    <row r="623" hidden="1" outlineLevel="2">
      <c r="A623" s="132" t="s">
        <v>1213</v>
      </c>
      <c r="B623" s="86" t="s">
        <v>1214</v>
      </c>
      <c r="C623" s="325"/>
      <c r="D623" s="326"/>
      <c r="E623" s="327">
        <v>646000.0</v>
      </c>
      <c r="F623" s="93">
        <v>646000.0</v>
      </c>
      <c r="G623" s="93">
        <f t="shared" si="80"/>
        <v>0</v>
      </c>
      <c r="H623" s="339"/>
      <c r="I623" s="339"/>
      <c r="J623" s="138"/>
      <c r="K623" s="98"/>
      <c r="L623" s="99"/>
    </row>
    <row r="624" hidden="1" outlineLevel="2">
      <c r="A624" s="132" t="s">
        <v>1215</v>
      </c>
      <c r="B624" s="86" t="s">
        <v>1216</v>
      </c>
      <c r="C624" s="325"/>
      <c r="D624" s="326"/>
      <c r="E624" s="327">
        <v>771000.0</v>
      </c>
      <c r="F624" s="93">
        <v>771000.0</v>
      </c>
      <c r="G624" s="93">
        <f t="shared" si="80"/>
        <v>0</v>
      </c>
      <c r="H624" s="339"/>
      <c r="I624" s="339"/>
      <c r="J624" s="138"/>
      <c r="K624" s="98"/>
      <c r="L624" s="99"/>
    </row>
    <row r="625" hidden="1" outlineLevel="2">
      <c r="A625" s="132" t="s">
        <v>1217</v>
      </c>
      <c r="B625" s="86" t="s">
        <v>1218</v>
      </c>
      <c r="C625" s="325"/>
      <c r="D625" s="326"/>
      <c r="E625" s="327">
        <v>759000.0</v>
      </c>
      <c r="F625" s="93">
        <v>759000.0</v>
      </c>
      <c r="G625" s="93">
        <f t="shared" si="80"/>
        <v>0</v>
      </c>
      <c r="H625" s="339"/>
      <c r="I625" s="339"/>
      <c r="J625" s="138"/>
      <c r="K625" s="98"/>
      <c r="L625" s="99"/>
    </row>
    <row r="626" hidden="1" outlineLevel="2">
      <c r="A626" s="132" t="s">
        <v>1219</v>
      </c>
      <c r="B626" s="86" t="s">
        <v>1220</v>
      </c>
      <c r="C626" s="325"/>
      <c r="D626" s="326"/>
      <c r="E626" s="327">
        <v>823000.0</v>
      </c>
      <c r="F626" s="93">
        <v>823000.0</v>
      </c>
      <c r="G626" s="93">
        <f t="shared" si="80"/>
        <v>0</v>
      </c>
      <c r="H626" s="339"/>
      <c r="I626" s="339"/>
      <c r="J626" s="138"/>
      <c r="K626" s="98"/>
      <c r="L626" s="99"/>
    </row>
    <row r="627" hidden="1" outlineLevel="2">
      <c r="A627" s="132" t="s">
        <v>1221</v>
      </c>
      <c r="B627" s="86" t="s">
        <v>1222</v>
      </c>
      <c r="C627" s="325"/>
      <c r="D627" s="326"/>
      <c r="E627" s="327">
        <v>595000.0</v>
      </c>
      <c r="F627" s="93">
        <v>595000.0</v>
      </c>
      <c r="G627" s="93">
        <f t="shared" si="80"/>
        <v>0</v>
      </c>
      <c r="H627" s="339"/>
      <c r="I627" s="339"/>
      <c r="J627" s="138"/>
      <c r="K627" s="98"/>
      <c r="L627" s="99"/>
    </row>
    <row r="628" hidden="1" outlineLevel="2">
      <c r="A628" s="132" t="s">
        <v>1223</v>
      </c>
      <c r="B628" s="86" t="s">
        <v>1224</v>
      </c>
      <c r="C628" s="325"/>
      <c r="D628" s="326"/>
      <c r="E628" s="327">
        <v>595000.0</v>
      </c>
      <c r="F628" s="93">
        <v>595000.0</v>
      </c>
      <c r="G628" s="93">
        <f t="shared" si="80"/>
        <v>0</v>
      </c>
      <c r="H628" s="339"/>
      <c r="I628" s="339"/>
      <c r="J628" s="138"/>
      <c r="K628" s="98"/>
      <c r="L628" s="99"/>
    </row>
    <row r="629" hidden="1" outlineLevel="2">
      <c r="A629" s="132" t="s">
        <v>1225</v>
      </c>
      <c r="B629" s="86" t="s">
        <v>1226</v>
      </c>
      <c r="C629" s="325"/>
      <c r="D629" s="326"/>
      <c r="E629" s="327">
        <v>684000.0</v>
      </c>
      <c r="F629" s="93">
        <v>684000.0</v>
      </c>
      <c r="G629" s="93">
        <f t="shared" si="80"/>
        <v>0</v>
      </c>
      <c r="H629" s="339"/>
      <c r="I629" s="339"/>
      <c r="J629" s="138"/>
      <c r="K629" s="98"/>
      <c r="L629" s="99"/>
    </row>
    <row r="630" hidden="1" outlineLevel="2">
      <c r="A630" s="132" t="s">
        <v>1227</v>
      </c>
      <c r="B630" s="86" t="s">
        <v>1228</v>
      </c>
      <c r="C630" s="325"/>
      <c r="D630" s="326"/>
      <c r="E630" s="327">
        <v>731000.0</v>
      </c>
      <c r="F630" s="93">
        <v>731000.0</v>
      </c>
      <c r="G630" s="93">
        <f t="shared" si="80"/>
        <v>0</v>
      </c>
      <c r="H630" s="339"/>
      <c r="I630" s="339"/>
      <c r="J630" s="138"/>
      <c r="K630" s="98"/>
      <c r="L630" s="99"/>
    </row>
    <row r="631" hidden="1" outlineLevel="2">
      <c r="A631" s="132"/>
      <c r="B631" s="133"/>
      <c r="C631" s="325"/>
      <c r="D631" s="326"/>
      <c r="E631" s="340"/>
      <c r="F631" s="341"/>
      <c r="G631" s="341"/>
      <c r="H631" s="137"/>
      <c r="I631" s="137"/>
      <c r="J631" s="138"/>
      <c r="K631" s="98"/>
      <c r="L631" s="99"/>
    </row>
    <row r="632" hidden="1" outlineLevel="2">
      <c r="A632" s="132"/>
      <c r="B632" s="133"/>
      <c r="C632" s="325"/>
      <c r="D632" s="326"/>
      <c r="E632" s="340"/>
      <c r="F632" s="341"/>
      <c r="G632" s="341"/>
      <c r="H632" s="137"/>
      <c r="I632" s="137"/>
      <c r="J632" s="138"/>
      <c r="K632" s="98"/>
      <c r="L632" s="99"/>
    </row>
    <row r="633" hidden="1" outlineLevel="1">
      <c r="A633" s="342">
        <v>31.0</v>
      </c>
      <c r="B633" s="343" t="s">
        <v>1229</v>
      </c>
      <c r="C633" s="344">
        <f>B634*C634</f>
        <v>0</v>
      </c>
      <c r="D633" s="300">
        <v>500000.0</v>
      </c>
      <c r="E633" s="300">
        <v>500000.0</v>
      </c>
      <c r="F633" s="345">
        <f>F635</f>
        <v>500000</v>
      </c>
      <c r="G633" s="345">
        <f>F633-E633</f>
        <v>0</v>
      </c>
      <c r="H633" s="350"/>
      <c r="I633" s="350"/>
      <c r="J633" s="347">
        <f>E633-D633</f>
        <v>0</v>
      </c>
      <c r="K633" s="348" t="s">
        <v>494</v>
      </c>
      <c r="L633" s="349"/>
    </row>
    <row r="634" hidden="1" outlineLevel="1" collapsed="1">
      <c r="A634" s="307"/>
      <c r="B634" s="308">
        <v>0.0</v>
      </c>
      <c r="C634" s="309">
        <v>0.0</v>
      </c>
      <c r="D634" s="316" t="s">
        <v>268</v>
      </c>
      <c r="E634" s="317">
        <f>COUNT(E635)</f>
        <v>1</v>
      </c>
      <c r="F634" s="317"/>
      <c r="G634" s="317"/>
      <c r="H634" s="318"/>
      <c r="I634" s="318"/>
      <c r="J634" s="319">
        <f>E633/E634</f>
        <v>500000</v>
      </c>
      <c r="K634" s="320"/>
      <c r="L634" s="322"/>
    </row>
    <row r="635" hidden="1" outlineLevel="2">
      <c r="A635" s="536">
        <v>31.1</v>
      </c>
      <c r="B635" s="375" t="s">
        <v>1231</v>
      </c>
      <c r="C635" s="134" t="s">
        <v>1232</v>
      </c>
      <c r="D635" s="135">
        <v>500000.0</v>
      </c>
      <c r="E635" s="464">
        <v>500000.0</v>
      </c>
      <c r="F635" s="99">
        <v>500000.0</v>
      </c>
      <c r="G635" s="99">
        <f>F635-E635</f>
        <v>0</v>
      </c>
      <c r="H635" s="94"/>
      <c r="I635" s="94"/>
      <c r="J635" s="537"/>
      <c r="K635" s="325" t="s">
        <v>616</v>
      </c>
      <c r="L635" s="140"/>
    </row>
    <row r="636" hidden="1" outlineLevel="2">
      <c r="A636" s="132"/>
      <c r="B636" s="271"/>
      <c r="C636" s="134"/>
      <c r="D636" s="135"/>
      <c r="E636" s="538"/>
      <c r="F636" s="539"/>
      <c r="G636" s="539"/>
      <c r="H636" s="436"/>
      <c r="I636" s="436"/>
      <c r="J636" s="540"/>
      <c r="K636" s="541"/>
      <c r="L636" s="140"/>
    </row>
    <row r="637" hidden="1" outlineLevel="1">
      <c r="A637" s="342" t="s">
        <v>1233</v>
      </c>
      <c r="B637" s="343" t="s">
        <v>262</v>
      </c>
      <c r="C637" s="344">
        <f>SUM(C639:C662)</f>
        <v>3255000</v>
      </c>
      <c r="D637" s="300">
        <f>C637*2</f>
        <v>6510000</v>
      </c>
      <c r="E637" s="300">
        <v>0.0</v>
      </c>
      <c r="F637" s="345"/>
      <c r="G637" s="345"/>
      <c r="H637" s="350"/>
      <c r="I637" s="350"/>
      <c r="J637" s="347">
        <v>0.0</v>
      </c>
      <c r="K637" s="348"/>
      <c r="L637" s="349"/>
    </row>
    <row r="638" hidden="1" outlineLevel="1" collapsed="1">
      <c r="A638" s="307"/>
      <c r="B638" s="308">
        <v>0.0</v>
      </c>
      <c r="C638" s="309">
        <v>34.0</v>
      </c>
      <c r="D638" s="316">
        <f>(D637/C637)-1</f>
        <v>1</v>
      </c>
      <c r="E638" s="317">
        <v>0.0</v>
      </c>
      <c r="F638" s="317"/>
      <c r="G638" s="317"/>
      <c r="H638" s="318"/>
      <c r="I638" s="318"/>
      <c r="J638" s="319">
        <v>0.0</v>
      </c>
      <c r="K638" s="320"/>
      <c r="L638" s="322"/>
    </row>
    <row r="639" hidden="1" outlineLevel="2">
      <c r="A639" s="84">
        <v>1.0</v>
      </c>
      <c r="B639" s="542" t="s">
        <v>1235</v>
      </c>
      <c r="C639" s="88">
        <f>10*100000</f>
        <v>1000000</v>
      </c>
      <c r="D639" s="90"/>
      <c r="E639" s="543">
        <v>0.0</v>
      </c>
      <c r="F639" s="544"/>
      <c r="G639" s="544"/>
      <c r="H639" s="436"/>
      <c r="I639" s="436"/>
      <c r="J639" s="438"/>
      <c r="K639" s="440"/>
      <c r="L639" s="275"/>
    </row>
    <row r="640" hidden="1" outlineLevel="2">
      <c r="A640" s="84">
        <f t="shared" ref="A640:A662" si="81">A639+1</f>
        <v>2</v>
      </c>
      <c r="B640" s="542" t="s">
        <v>1239</v>
      </c>
      <c r="C640" s="88">
        <v>90000.0</v>
      </c>
      <c r="D640" s="90"/>
      <c r="E640" s="545">
        <v>0.0</v>
      </c>
      <c r="F640" s="546"/>
      <c r="G640" s="546"/>
      <c r="H640" s="436"/>
      <c r="I640" s="436"/>
      <c r="J640" s="438"/>
      <c r="K640" s="440"/>
      <c r="L640" s="275"/>
    </row>
    <row r="641" hidden="1" outlineLevel="2">
      <c r="A641" s="84">
        <f t="shared" si="81"/>
        <v>3</v>
      </c>
      <c r="B641" s="542" t="s">
        <v>1241</v>
      </c>
      <c r="C641" s="88">
        <v>0.0</v>
      </c>
      <c r="D641" s="90"/>
      <c r="E641" s="543">
        <v>0.0</v>
      </c>
      <c r="F641" s="544"/>
      <c r="G641" s="544"/>
      <c r="H641" s="436"/>
      <c r="I641" s="436"/>
      <c r="J641" s="438"/>
      <c r="K641" s="547" t="s">
        <v>1242</v>
      </c>
      <c r="L641" s="275"/>
    </row>
    <row r="642" hidden="1" outlineLevel="2">
      <c r="A642" s="84">
        <f t="shared" si="81"/>
        <v>4</v>
      </c>
      <c r="B642" s="542" t="s">
        <v>1244</v>
      </c>
      <c r="C642" s="88">
        <f>130000*2</f>
        <v>260000</v>
      </c>
      <c r="D642" s="90"/>
      <c r="E642" s="545">
        <v>0.0</v>
      </c>
      <c r="F642" s="546"/>
      <c r="G642" s="546"/>
      <c r="H642" s="436"/>
      <c r="I642" s="436"/>
      <c r="J642" s="438"/>
      <c r="K642" s="440"/>
      <c r="L642" s="275"/>
    </row>
    <row r="643" hidden="1" outlineLevel="2">
      <c r="A643" s="84">
        <f t="shared" si="81"/>
        <v>5</v>
      </c>
      <c r="B643" s="542" t="s">
        <v>1245</v>
      </c>
      <c r="C643" s="88">
        <v>0.0</v>
      </c>
      <c r="D643" s="90"/>
      <c r="E643" s="543">
        <v>0.0</v>
      </c>
      <c r="F643" s="544"/>
      <c r="G643" s="544"/>
      <c r="H643" s="436"/>
      <c r="I643" s="436"/>
      <c r="J643" s="438"/>
      <c r="K643" s="547" t="s">
        <v>1242</v>
      </c>
      <c r="L643" s="275"/>
    </row>
    <row r="644" hidden="1" outlineLevel="2">
      <c r="A644" s="84">
        <f t="shared" si="81"/>
        <v>6</v>
      </c>
      <c r="B644" s="542" t="s">
        <v>1247</v>
      </c>
      <c r="C644" s="88">
        <f>3*75000</f>
        <v>225000</v>
      </c>
      <c r="D644" s="90"/>
      <c r="E644" s="545">
        <v>0.0</v>
      </c>
      <c r="F644" s="546"/>
      <c r="G644" s="546"/>
      <c r="H644" s="436"/>
      <c r="I644" s="436"/>
      <c r="J644" s="438"/>
      <c r="K644" s="440"/>
      <c r="L644" s="275"/>
    </row>
    <row r="645" hidden="1" outlineLevel="2">
      <c r="A645" s="84">
        <f t="shared" si="81"/>
        <v>7</v>
      </c>
      <c r="B645" s="542" t="s">
        <v>1249</v>
      </c>
      <c r="C645" s="88">
        <f>5*120000</f>
        <v>600000</v>
      </c>
      <c r="D645" s="90"/>
      <c r="E645" s="543">
        <v>0.0</v>
      </c>
      <c r="F645" s="544"/>
      <c r="G645" s="544"/>
      <c r="H645" s="436"/>
      <c r="I645" s="436"/>
      <c r="J645" s="438"/>
      <c r="K645" s="440"/>
      <c r="L645" s="275"/>
    </row>
    <row r="646" hidden="1" outlineLevel="2">
      <c r="A646" s="84">
        <f t="shared" si="81"/>
        <v>8</v>
      </c>
      <c r="B646" s="542" t="s">
        <v>1250</v>
      </c>
      <c r="C646" s="88">
        <v>60000.0</v>
      </c>
      <c r="D646" s="90"/>
      <c r="E646" s="545">
        <v>0.0</v>
      </c>
      <c r="F646" s="546"/>
      <c r="G646" s="546"/>
      <c r="H646" s="436"/>
      <c r="I646" s="436"/>
      <c r="J646" s="438"/>
      <c r="K646" s="440"/>
      <c r="L646" s="275"/>
    </row>
    <row r="647" hidden="1" outlineLevel="2">
      <c r="A647" s="84">
        <f t="shared" si="81"/>
        <v>9</v>
      </c>
      <c r="B647" s="542" t="s">
        <v>1252</v>
      </c>
      <c r="C647" s="88">
        <v>0.0</v>
      </c>
      <c r="D647" s="90"/>
      <c r="E647" s="543">
        <v>0.0</v>
      </c>
      <c r="F647" s="544"/>
      <c r="G647" s="544"/>
      <c r="H647" s="436"/>
      <c r="I647" s="436"/>
      <c r="J647" s="438"/>
      <c r="K647" s="547" t="s">
        <v>1242</v>
      </c>
      <c r="L647" s="275"/>
    </row>
    <row r="648" hidden="1" outlineLevel="2">
      <c r="A648" s="84">
        <f t="shared" si="81"/>
        <v>10</v>
      </c>
      <c r="B648" s="542" t="s">
        <v>1254</v>
      </c>
      <c r="C648" s="88">
        <f>2*90000</f>
        <v>180000</v>
      </c>
      <c r="D648" s="90"/>
      <c r="E648" s="545">
        <v>0.0</v>
      </c>
      <c r="F648" s="546"/>
      <c r="G648" s="546"/>
      <c r="H648" s="436"/>
      <c r="I648" s="436"/>
      <c r="J648" s="438"/>
      <c r="K648" s="440"/>
      <c r="L648" s="275"/>
    </row>
    <row r="649" hidden="1" outlineLevel="2">
      <c r="A649" s="84">
        <f t="shared" si="81"/>
        <v>11</v>
      </c>
      <c r="B649" s="542" t="s">
        <v>1256</v>
      </c>
      <c r="C649" s="88" t="s">
        <v>1257</v>
      </c>
      <c r="D649" s="90"/>
      <c r="E649" s="543">
        <v>0.0</v>
      </c>
      <c r="F649" s="544"/>
      <c r="G649" s="544"/>
      <c r="H649" s="436"/>
      <c r="I649" s="436"/>
      <c r="J649" s="438"/>
      <c r="K649" s="547" t="s">
        <v>1242</v>
      </c>
      <c r="L649" s="275"/>
    </row>
    <row r="650" hidden="1" outlineLevel="2">
      <c r="A650" s="84">
        <f t="shared" si="81"/>
        <v>12</v>
      </c>
      <c r="B650" s="542" t="s">
        <v>1259</v>
      </c>
      <c r="C650" s="88">
        <f>2*100000</f>
        <v>200000</v>
      </c>
      <c r="D650" s="90"/>
      <c r="E650" s="545">
        <v>0.0</v>
      </c>
      <c r="F650" s="546"/>
      <c r="G650" s="546"/>
      <c r="H650" s="436"/>
      <c r="I650" s="436"/>
      <c r="J650" s="438"/>
      <c r="K650" s="440"/>
      <c r="L650" s="275"/>
    </row>
    <row r="651" hidden="1" outlineLevel="2">
      <c r="A651" s="84">
        <f t="shared" si="81"/>
        <v>13</v>
      </c>
      <c r="B651" s="542" t="s">
        <v>1260</v>
      </c>
      <c r="C651" s="88">
        <f>8*80000</f>
        <v>640000</v>
      </c>
      <c r="D651" s="90"/>
      <c r="E651" s="543">
        <v>0.0</v>
      </c>
      <c r="F651" s="544"/>
      <c r="G651" s="544"/>
      <c r="H651" s="436"/>
      <c r="I651" s="436"/>
      <c r="J651" s="438"/>
      <c r="K651" s="440"/>
      <c r="L651" s="275"/>
    </row>
    <row r="652" hidden="1" outlineLevel="2">
      <c r="A652" s="84">
        <f t="shared" si="81"/>
        <v>14</v>
      </c>
      <c r="B652" s="542" t="s">
        <v>1263</v>
      </c>
      <c r="C652" s="88">
        <v>0.0</v>
      </c>
      <c r="D652" s="90"/>
      <c r="E652" s="545">
        <v>0.0</v>
      </c>
      <c r="F652" s="546"/>
      <c r="G652" s="546"/>
      <c r="H652" s="436"/>
      <c r="I652" s="436"/>
      <c r="J652" s="438"/>
      <c r="K652" s="547" t="s">
        <v>1242</v>
      </c>
      <c r="L652" s="275"/>
    </row>
    <row r="653" hidden="1" outlineLevel="2">
      <c r="A653" s="84">
        <f t="shared" si="81"/>
        <v>15</v>
      </c>
      <c r="B653" s="542" t="s">
        <v>1265</v>
      </c>
      <c r="C653" s="88">
        <v>0.0</v>
      </c>
      <c r="D653" s="90"/>
      <c r="E653" s="543">
        <v>0.0</v>
      </c>
      <c r="F653" s="544"/>
      <c r="G653" s="544"/>
      <c r="H653" s="436"/>
      <c r="I653" s="436"/>
      <c r="J653" s="438"/>
      <c r="K653" s="547" t="s">
        <v>1242</v>
      </c>
      <c r="L653" s="275"/>
    </row>
    <row r="654" hidden="1" outlineLevel="2">
      <c r="A654" s="84">
        <f t="shared" si="81"/>
        <v>16</v>
      </c>
      <c r="B654" s="542" t="s">
        <v>1266</v>
      </c>
      <c r="C654" s="88">
        <v>0.0</v>
      </c>
      <c r="D654" s="90"/>
      <c r="E654" s="545">
        <v>0.0</v>
      </c>
      <c r="F654" s="546"/>
      <c r="G654" s="546"/>
      <c r="H654" s="436"/>
      <c r="I654" s="436"/>
      <c r="J654" s="438"/>
      <c r="K654" s="547" t="s">
        <v>1242</v>
      </c>
      <c r="L654" s="275"/>
    </row>
    <row r="655" hidden="1" outlineLevel="2">
      <c r="A655" s="84">
        <f t="shared" si="81"/>
        <v>17</v>
      </c>
      <c r="B655" s="542" t="s">
        <v>1267</v>
      </c>
      <c r="C655" s="88">
        <v>0.0</v>
      </c>
      <c r="D655" s="90"/>
      <c r="E655" s="543">
        <v>0.0</v>
      </c>
      <c r="F655" s="544"/>
      <c r="G655" s="544"/>
      <c r="H655" s="436"/>
      <c r="I655" s="436"/>
      <c r="J655" s="438"/>
      <c r="K655" s="547" t="s">
        <v>1242</v>
      </c>
      <c r="L655" s="275"/>
    </row>
    <row r="656" hidden="1" outlineLevel="2">
      <c r="A656" s="84">
        <f t="shared" si="81"/>
        <v>18</v>
      </c>
      <c r="B656" s="542" t="s">
        <v>1270</v>
      </c>
      <c r="C656" s="88">
        <v>0.0</v>
      </c>
      <c r="D656" s="90"/>
      <c r="E656" s="545">
        <v>0.0</v>
      </c>
      <c r="F656" s="546"/>
      <c r="G656" s="546"/>
      <c r="H656" s="436"/>
      <c r="I656" s="436"/>
      <c r="J656" s="438"/>
      <c r="K656" s="547" t="s">
        <v>1242</v>
      </c>
      <c r="L656" s="275"/>
    </row>
    <row r="657" hidden="1" outlineLevel="2">
      <c r="A657" s="84">
        <f t="shared" si="81"/>
        <v>19</v>
      </c>
      <c r="B657" s="542" t="s">
        <v>1271</v>
      </c>
      <c r="C657" s="88">
        <v>0.0</v>
      </c>
      <c r="D657" s="90"/>
      <c r="E657" s="543">
        <v>0.0</v>
      </c>
      <c r="F657" s="544"/>
      <c r="G657" s="544"/>
      <c r="H657" s="436"/>
      <c r="I657" s="436"/>
      <c r="J657" s="438"/>
      <c r="K657" s="547" t="s">
        <v>1242</v>
      </c>
      <c r="L657" s="275"/>
    </row>
    <row r="658" hidden="1" outlineLevel="2">
      <c r="A658" s="84">
        <f t="shared" si="81"/>
        <v>20</v>
      </c>
      <c r="B658" s="542" t="s">
        <v>1272</v>
      </c>
      <c r="C658" s="88">
        <v>0.0</v>
      </c>
      <c r="D658" s="90"/>
      <c r="E658" s="545">
        <v>0.0</v>
      </c>
      <c r="F658" s="546"/>
      <c r="G658" s="546"/>
      <c r="H658" s="436"/>
      <c r="I658" s="436"/>
      <c r="J658" s="438"/>
      <c r="K658" s="547" t="s">
        <v>1242</v>
      </c>
      <c r="L658" s="275"/>
    </row>
    <row r="659" hidden="1" outlineLevel="2">
      <c r="A659" s="84">
        <f t="shared" si="81"/>
        <v>21</v>
      </c>
      <c r="B659" s="542" t="s">
        <v>1275</v>
      </c>
      <c r="C659" s="88">
        <v>0.0</v>
      </c>
      <c r="D659" s="90"/>
      <c r="E659" s="543">
        <v>0.0</v>
      </c>
      <c r="F659" s="544"/>
      <c r="G659" s="544"/>
      <c r="H659" s="436"/>
      <c r="I659" s="436"/>
      <c r="J659" s="438"/>
      <c r="K659" s="547" t="s">
        <v>1242</v>
      </c>
      <c r="L659" s="275"/>
    </row>
    <row r="660" hidden="1" outlineLevel="2">
      <c r="A660" s="84">
        <f t="shared" si="81"/>
        <v>22</v>
      </c>
      <c r="B660" s="542" t="s">
        <v>1277</v>
      </c>
      <c r="C660" s="88">
        <v>0.0</v>
      </c>
      <c r="D660" s="90"/>
      <c r="E660" s="545">
        <v>0.0</v>
      </c>
      <c r="F660" s="546"/>
      <c r="G660" s="546"/>
      <c r="H660" s="436"/>
      <c r="I660" s="436"/>
      <c r="J660" s="438"/>
      <c r="K660" s="547" t="s">
        <v>1242</v>
      </c>
      <c r="L660" s="275"/>
    </row>
    <row r="661" hidden="1" outlineLevel="2">
      <c r="A661" s="84">
        <f t="shared" si="81"/>
        <v>23</v>
      </c>
      <c r="B661" s="542" t="s">
        <v>1278</v>
      </c>
      <c r="C661" s="88">
        <v>0.0</v>
      </c>
      <c r="D661" s="90"/>
      <c r="E661" s="543">
        <v>0.0</v>
      </c>
      <c r="F661" s="544"/>
      <c r="G661" s="544"/>
      <c r="H661" s="436"/>
      <c r="I661" s="436"/>
      <c r="J661" s="438"/>
      <c r="K661" s="547" t="s">
        <v>1242</v>
      </c>
      <c r="L661" s="275"/>
    </row>
    <row r="662" hidden="1" outlineLevel="2">
      <c r="A662" s="84">
        <f t="shared" si="81"/>
        <v>24</v>
      </c>
      <c r="B662" s="542" t="s">
        <v>1280</v>
      </c>
      <c r="C662" s="88">
        <v>0.0</v>
      </c>
      <c r="D662" s="90"/>
      <c r="E662" s="545">
        <v>0.0</v>
      </c>
      <c r="F662" s="546"/>
      <c r="G662" s="546"/>
      <c r="H662" s="436"/>
      <c r="I662" s="436"/>
      <c r="J662" s="438"/>
      <c r="K662" s="547" t="s">
        <v>1242</v>
      </c>
      <c r="L662" s="275"/>
    </row>
    <row r="663" hidden="1" outlineLevel="2">
      <c r="A663" s="548"/>
      <c r="B663" s="165"/>
      <c r="C663" s="549"/>
      <c r="D663" s="550"/>
      <c r="E663" s="550"/>
      <c r="F663" s="551"/>
      <c r="G663" s="551"/>
      <c r="H663" s="436"/>
      <c r="I663" s="436"/>
      <c r="J663" s="540"/>
      <c r="K663" s="541"/>
      <c r="L663" s="140"/>
    </row>
    <row r="664">
      <c r="A664" s="29">
        <v>11.2</v>
      </c>
      <c r="B664" s="30" t="s">
        <v>1282</v>
      </c>
      <c r="C664" s="553"/>
      <c r="D664" s="554"/>
      <c r="E664" s="554">
        <f>E666+E677+E719+E721+E738</f>
        <v>-51922233.03</v>
      </c>
      <c r="F664" s="555">
        <f>F666+F677+F719+F721</f>
        <v>-17778633</v>
      </c>
      <c r="G664" s="555">
        <f>F664-E664</f>
        <v>34143600.03</v>
      </c>
      <c r="H664" s="34"/>
      <c r="I664" s="34"/>
      <c r="J664" s="556"/>
      <c r="K664" s="36"/>
      <c r="L664" s="37"/>
    </row>
    <row r="665">
      <c r="A665" s="38"/>
      <c r="B665" s="39"/>
      <c r="C665" s="40"/>
      <c r="D665" s="42"/>
      <c r="E665" s="42"/>
      <c r="F665" s="43"/>
      <c r="G665" s="43"/>
      <c r="H665" s="44"/>
      <c r="I665" s="44"/>
      <c r="J665" s="558"/>
      <c r="K665" s="46"/>
      <c r="L665" s="47"/>
    </row>
    <row r="666" collapsed="1">
      <c r="A666" s="559" t="s">
        <v>22</v>
      </c>
      <c r="B666" s="560" t="s">
        <v>1286</v>
      </c>
      <c r="C666" s="561"/>
      <c r="D666" s="562"/>
      <c r="E666" s="562">
        <f t="shared" ref="E666:F666" si="82">SUM(E667:E675)</f>
        <v>-15754581</v>
      </c>
      <c r="F666" s="565">
        <f t="shared" si="82"/>
        <v>18389019</v>
      </c>
      <c r="G666" s="565">
        <f t="shared" ref="G666:G675" si="83">F666-E666</f>
        <v>34143600</v>
      </c>
      <c r="H666" s="568"/>
      <c r="I666" s="568"/>
      <c r="J666" s="561"/>
      <c r="K666" s="569"/>
      <c r="L666" s="570"/>
    </row>
    <row r="667" hidden="1" outlineLevel="1">
      <c r="A667" s="132">
        <v>1.0</v>
      </c>
      <c r="B667" s="271" t="s">
        <v>1290</v>
      </c>
      <c r="C667" s="134">
        <v>0.0</v>
      </c>
      <c r="D667" s="135">
        <v>0.0</v>
      </c>
      <c r="E667" s="538">
        <v>0.0</v>
      </c>
      <c r="F667" s="539">
        <f>61*141000</f>
        <v>8601000</v>
      </c>
      <c r="G667" s="539">
        <f t="shared" si="83"/>
        <v>8601000</v>
      </c>
      <c r="H667" s="571"/>
      <c r="I667" s="571"/>
      <c r="J667" s="537"/>
      <c r="K667" s="325" t="s">
        <v>1294</v>
      </c>
      <c r="L667" s="140"/>
    </row>
    <row r="668" hidden="1" outlineLevel="1">
      <c r="A668" s="132">
        <v>2.0</v>
      </c>
      <c r="B668" s="271" t="s">
        <v>1295</v>
      </c>
      <c r="C668" s="134">
        <f t="shared" ref="C668:D668" si="84">D668</f>
        <v>-4211035</v>
      </c>
      <c r="D668" s="135">
        <f t="shared" si="84"/>
        <v>-4211035</v>
      </c>
      <c r="E668" s="538">
        <f>-3560000-651035</f>
        <v>-4211035</v>
      </c>
      <c r="F668" s="539">
        <f>5019600-3560000-651035</f>
        <v>808565</v>
      </c>
      <c r="G668" s="539">
        <f t="shared" si="83"/>
        <v>5019600</v>
      </c>
      <c r="H668" s="571"/>
      <c r="I668" s="571"/>
      <c r="J668" s="537"/>
      <c r="K668" s="325" t="s">
        <v>1299</v>
      </c>
      <c r="L668" s="140"/>
    </row>
    <row r="669" hidden="1" outlineLevel="1">
      <c r="A669" s="132">
        <v>3.0</v>
      </c>
      <c r="B669" s="271" t="s">
        <v>1300</v>
      </c>
      <c r="C669" s="134">
        <f t="shared" ref="C669:D669" si="85">D669</f>
        <v>-2664900</v>
      </c>
      <c r="D669" s="135">
        <f t="shared" si="85"/>
        <v>-2664900</v>
      </c>
      <c r="E669" s="538">
        <f>-2556900-108000</f>
        <v>-2664900</v>
      </c>
      <c r="F669" s="539">
        <f>3384000-2556900-108000</f>
        <v>719100</v>
      </c>
      <c r="G669" s="539">
        <f t="shared" si="83"/>
        <v>3384000</v>
      </c>
      <c r="H669" s="571"/>
      <c r="I669" s="571"/>
      <c r="J669" s="537"/>
      <c r="K669" s="325" t="s">
        <v>1303</v>
      </c>
      <c r="L669" s="140"/>
    </row>
    <row r="670" hidden="1" outlineLevel="1">
      <c r="A670" s="132">
        <v>4.0</v>
      </c>
      <c r="B670" s="271" t="s">
        <v>1305</v>
      </c>
      <c r="C670" s="134">
        <f t="shared" ref="C670:D670" si="86">D670</f>
        <v>-2588646</v>
      </c>
      <c r="D670" s="135">
        <f t="shared" si="86"/>
        <v>-2588646</v>
      </c>
      <c r="E670" s="538">
        <f>-2280646-308000</f>
        <v>-2588646</v>
      </c>
      <c r="F670" s="539">
        <f>3384000-2280646-308000</f>
        <v>795354</v>
      </c>
      <c r="G670" s="539">
        <f t="shared" si="83"/>
        <v>3384000</v>
      </c>
      <c r="H670" s="571"/>
      <c r="I670" s="571"/>
      <c r="J670" s="537"/>
      <c r="K670" s="325" t="s">
        <v>1307</v>
      </c>
      <c r="L670" s="140"/>
    </row>
    <row r="671" hidden="1" outlineLevel="1">
      <c r="A671" s="132">
        <v>5.0</v>
      </c>
      <c r="B671" s="271" t="s">
        <v>1308</v>
      </c>
      <c r="C671" s="134"/>
      <c r="D671" s="135">
        <f t="shared" ref="D671:D675" si="87">E671</f>
        <v>-1300000</v>
      </c>
      <c r="E671" s="538">
        <f>-1300000</f>
        <v>-1300000</v>
      </c>
      <c r="F671" s="539">
        <f>9165000-1300000</f>
        <v>7865000</v>
      </c>
      <c r="G671" s="539">
        <f t="shared" si="83"/>
        <v>9165000</v>
      </c>
      <c r="H671" s="571"/>
      <c r="I671" s="571"/>
      <c r="J671" s="537"/>
      <c r="K671" s="325" t="s">
        <v>1310</v>
      </c>
      <c r="L671" s="140"/>
    </row>
    <row r="672" hidden="1" outlineLevel="1">
      <c r="A672" s="132">
        <v>6.0</v>
      </c>
      <c r="B672" s="271" t="s">
        <v>1311</v>
      </c>
      <c r="C672" s="134"/>
      <c r="D672" s="135">
        <f t="shared" si="87"/>
        <v>-782000</v>
      </c>
      <c r="E672" s="538">
        <v>-782000.0</v>
      </c>
      <c r="F672" s="539">
        <f>3111000-782000</f>
        <v>2329000</v>
      </c>
      <c r="G672" s="539">
        <f t="shared" si="83"/>
        <v>3111000</v>
      </c>
      <c r="H672" s="571"/>
      <c r="I672" s="571"/>
      <c r="J672" s="537"/>
      <c r="K672" s="325" t="s">
        <v>1312</v>
      </c>
      <c r="L672" s="140"/>
    </row>
    <row r="673" hidden="1" outlineLevel="1">
      <c r="A673" s="132">
        <v>7.0</v>
      </c>
      <c r="B673" s="271" t="s">
        <v>1313</v>
      </c>
      <c r="C673" s="134"/>
      <c r="D673" s="135">
        <f t="shared" si="87"/>
        <v>-1500000</v>
      </c>
      <c r="E673" s="538">
        <v>-1500000.0</v>
      </c>
      <c r="F673" s="539">
        <f>1479000-1500000</f>
        <v>-21000</v>
      </c>
      <c r="G673" s="539">
        <f t="shared" si="83"/>
        <v>1479000</v>
      </c>
      <c r="H673" s="571"/>
      <c r="I673" s="571"/>
      <c r="J673" s="537"/>
      <c r="K673" s="325" t="s">
        <v>1315</v>
      </c>
      <c r="L673" s="140"/>
    </row>
    <row r="674" hidden="1" outlineLevel="1">
      <c r="A674" s="132">
        <v>8.0</v>
      </c>
      <c r="B674" s="271" t="s">
        <v>1316</v>
      </c>
      <c r="C674" s="134"/>
      <c r="D674" s="135">
        <f t="shared" si="87"/>
        <v>-1650000</v>
      </c>
      <c r="E674" s="538">
        <v>-1650000.0</v>
      </c>
      <c r="F674" s="539">
        <f>-1650000</f>
        <v>-1650000</v>
      </c>
      <c r="G674" s="539">
        <f t="shared" si="83"/>
        <v>0</v>
      </c>
      <c r="H674" s="571"/>
      <c r="I674" s="571"/>
      <c r="J674" s="537"/>
      <c r="K674" s="325" t="s">
        <v>1317</v>
      </c>
      <c r="L674" s="140"/>
    </row>
    <row r="675" hidden="1" outlineLevel="1">
      <c r="A675" s="132">
        <v>9.0</v>
      </c>
      <c r="B675" s="271" t="s">
        <v>1319</v>
      </c>
      <c r="C675" s="134"/>
      <c r="D675" s="135">
        <f t="shared" si="87"/>
        <v>-1058000</v>
      </c>
      <c r="E675" s="538">
        <v>-1058000.0</v>
      </c>
      <c r="F675" s="539">
        <f>-1058000</f>
        <v>-1058000</v>
      </c>
      <c r="G675" s="539">
        <f t="shared" si="83"/>
        <v>0</v>
      </c>
      <c r="H675" s="571"/>
      <c r="I675" s="571"/>
      <c r="J675" s="537"/>
      <c r="K675" s="325" t="s">
        <v>1320</v>
      </c>
      <c r="L675" s="140"/>
    </row>
    <row r="676" hidden="1" outlineLevel="1">
      <c r="A676" s="238"/>
      <c r="B676" s="271"/>
      <c r="C676" s="134"/>
      <c r="D676" s="135"/>
      <c r="E676" s="538"/>
      <c r="F676" s="572"/>
      <c r="G676" s="572"/>
      <c r="H676" s="94"/>
      <c r="I676" s="94"/>
      <c r="J676" s="134"/>
      <c r="K676" s="325"/>
      <c r="L676" s="140"/>
    </row>
    <row r="677">
      <c r="A677" s="559" t="s">
        <v>43</v>
      </c>
      <c r="B677" s="560" t="s">
        <v>1321</v>
      </c>
      <c r="C677" s="561">
        <f t="shared" ref="C677:F677" si="88">C678+C684+C692+C699+C706</f>
        <v>0</v>
      </c>
      <c r="D677" s="562">
        <f t="shared" si="88"/>
        <v>-15600000</v>
      </c>
      <c r="E677" s="562">
        <f t="shared" si="88"/>
        <v>-16240000</v>
      </c>
      <c r="F677" s="565">
        <f t="shared" si="88"/>
        <v>-16240000</v>
      </c>
      <c r="G677" s="565">
        <f t="shared" ref="G677:G678" si="90">F677-E677</f>
        <v>0</v>
      </c>
      <c r="H677" s="568"/>
      <c r="I677" s="568"/>
      <c r="J677" s="561">
        <f>E677-D677</f>
        <v>-640000</v>
      </c>
      <c r="K677" s="569" t="s">
        <v>1322</v>
      </c>
      <c r="L677" s="570"/>
    </row>
    <row r="678" collapsed="1">
      <c r="A678" s="141">
        <v>1.0</v>
      </c>
      <c r="B678" s="142" t="s">
        <v>1323</v>
      </c>
      <c r="C678" s="573">
        <v>0.0</v>
      </c>
      <c r="D678" s="144">
        <f t="shared" ref="D678:F678" si="89">SUM(D680:D682)</f>
        <v>-400000</v>
      </c>
      <c r="E678" s="144">
        <f t="shared" si="89"/>
        <v>-400000</v>
      </c>
      <c r="F678" s="145">
        <f t="shared" si="89"/>
        <v>-400000</v>
      </c>
      <c r="G678" s="145">
        <f t="shared" si="90"/>
        <v>0</v>
      </c>
      <c r="H678" s="146"/>
      <c r="I678" s="146"/>
      <c r="J678" s="147"/>
      <c r="K678" s="574" t="s">
        <v>1325</v>
      </c>
      <c r="L678" s="149"/>
    </row>
    <row r="679" hidden="1" outlineLevel="1">
      <c r="A679" s="63"/>
      <c r="B679" s="575"/>
      <c r="C679" s="576"/>
      <c r="D679" s="578"/>
      <c r="E679" s="580"/>
      <c r="F679" s="582"/>
      <c r="G679" s="582"/>
      <c r="H679" s="583"/>
      <c r="I679" s="583"/>
      <c r="J679" s="584"/>
      <c r="K679" s="79"/>
      <c r="L679" s="82"/>
    </row>
    <row r="680" hidden="1" outlineLevel="1">
      <c r="A680" s="132"/>
      <c r="B680" s="86" t="s">
        <v>1327</v>
      </c>
      <c r="C680" s="134"/>
      <c r="D680" s="135">
        <f t="shared" ref="D680:D682" si="91">E680</f>
        <v>-130000</v>
      </c>
      <c r="E680" s="464">
        <v>-130000.0</v>
      </c>
      <c r="F680" s="99">
        <v>-130000.0</v>
      </c>
      <c r="G680" s="99">
        <f t="shared" ref="G680:G682" si="92">F680-E680</f>
        <v>0</v>
      </c>
      <c r="H680" s="588"/>
      <c r="I680" s="588"/>
      <c r="J680" s="540"/>
      <c r="K680" s="541"/>
      <c r="L680" s="140"/>
    </row>
    <row r="681" hidden="1" outlineLevel="1">
      <c r="A681" s="132"/>
      <c r="B681" s="86" t="s">
        <v>1333</v>
      </c>
      <c r="C681" s="134"/>
      <c r="D681" s="135">
        <f t="shared" si="91"/>
        <v>-135000</v>
      </c>
      <c r="E681" s="464">
        <v>-135000.0</v>
      </c>
      <c r="F681" s="99">
        <v>-135000.0</v>
      </c>
      <c r="G681" s="99">
        <f t="shared" si="92"/>
        <v>0</v>
      </c>
      <c r="H681" s="588"/>
      <c r="I681" s="588"/>
      <c r="J681" s="540"/>
      <c r="K681" s="541"/>
      <c r="L681" s="140"/>
    </row>
    <row r="682" hidden="1" outlineLevel="1">
      <c r="A682" s="132"/>
      <c r="B682" s="86" t="s">
        <v>1341</v>
      </c>
      <c r="C682" s="134"/>
      <c r="D682" s="135">
        <f t="shared" si="91"/>
        <v>-135000</v>
      </c>
      <c r="E682" s="464">
        <v>-135000.0</v>
      </c>
      <c r="F682" s="99">
        <v>-135000.0</v>
      </c>
      <c r="G682" s="99">
        <f t="shared" si="92"/>
        <v>0</v>
      </c>
      <c r="H682" s="94"/>
      <c r="I682" s="94" t="s">
        <v>1343</v>
      </c>
      <c r="J682" s="540"/>
      <c r="K682" s="541"/>
      <c r="L682" s="140"/>
    </row>
    <row r="683" hidden="1" outlineLevel="1">
      <c r="A683" s="132"/>
      <c r="B683" s="271"/>
      <c r="C683" s="134"/>
      <c r="D683" s="135"/>
      <c r="E683" s="538"/>
      <c r="F683" s="539"/>
      <c r="G683" s="539"/>
      <c r="H683" s="436"/>
      <c r="I683" s="436"/>
      <c r="J683" s="540"/>
      <c r="K683" s="541"/>
      <c r="L683" s="140"/>
    </row>
    <row r="684" collapsed="1">
      <c r="A684" s="141">
        <v>2.0</v>
      </c>
      <c r="B684" s="142" t="s">
        <v>1344</v>
      </c>
      <c r="C684" s="573">
        <v>0.0</v>
      </c>
      <c r="D684" s="144">
        <f>E684</f>
        <v>-986000</v>
      </c>
      <c r="E684" s="144">
        <f t="shared" ref="E684:F684" si="93">SUM(E686:E690)</f>
        <v>-986000</v>
      </c>
      <c r="F684" s="145">
        <f t="shared" si="93"/>
        <v>-986000</v>
      </c>
      <c r="G684" s="145">
        <f>F684-E684</f>
        <v>0</v>
      </c>
      <c r="H684" s="146"/>
      <c r="I684" s="146"/>
      <c r="J684" s="147"/>
      <c r="K684" s="574" t="s">
        <v>1325</v>
      </c>
      <c r="L684" s="149"/>
    </row>
    <row r="685" hidden="1" outlineLevel="1">
      <c r="A685" s="63"/>
      <c r="B685" s="575"/>
      <c r="C685" s="576"/>
      <c r="D685" s="578"/>
      <c r="E685" s="580"/>
      <c r="F685" s="582"/>
      <c r="G685" s="582"/>
      <c r="H685" s="583"/>
      <c r="I685" s="583"/>
      <c r="J685" s="584"/>
      <c r="K685" s="79"/>
      <c r="L685" s="82"/>
    </row>
    <row r="686" hidden="1" outlineLevel="1">
      <c r="A686" s="132"/>
      <c r="B686" s="86" t="s">
        <v>1346</v>
      </c>
      <c r="C686" s="134"/>
      <c r="D686" s="135"/>
      <c r="E686" s="464">
        <v>-193000.0</v>
      </c>
      <c r="F686" s="99">
        <v>-193000.0</v>
      </c>
      <c r="G686" s="99">
        <f t="shared" ref="G686:G690" si="94">F686-E686</f>
        <v>0</v>
      </c>
      <c r="H686" s="588"/>
      <c r="I686" s="588"/>
      <c r="J686" s="540"/>
      <c r="K686" s="541"/>
      <c r="L686" s="140"/>
    </row>
    <row r="687" hidden="1" outlineLevel="1">
      <c r="A687" s="132"/>
      <c r="B687" s="86" t="s">
        <v>1348</v>
      </c>
      <c r="C687" s="134"/>
      <c r="D687" s="135"/>
      <c r="E687" s="464">
        <v>-193000.0</v>
      </c>
      <c r="F687" s="99">
        <v>-193000.0</v>
      </c>
      <c r="G687" s="99">
        <f t="shared" si="94"/>
        <v>0</v>
      </c>
      <c r="H687" s="588"/>
      <c r="I687" s="588"/>
      <c r="J687" s="540"/>
      <c r="K687" s="541"/>
      <c r="L687" s="140"/>
    </row>
    <row r="688" hidden="1" outlineLevel="1">
      <c r="A688" s="132"/>
      <c r="B688" s="86" t="s">
        <v>1349</v>
      </c>
      <c r="C688" s="134"/>
      <c r="D688" s="135"/>
      <c r="E688" s="464">
        <v>-200000.0</v>
      </c>
      <c r="F688" s="99">
        <v>-200000.0</v>
      </c>
      <c r="G688" s="99">
        <f t="shared" si="94"/>
        <v>0</v>
      </c>
      <c r="H688" s="588"/>
      <c r="I688" s="588"/>
      <c r="J688" s="540"/>
      <c r="K688" s="541"/>
      <c r="L688" s="140"/>
    </row>
    <row r="689" hidden="1" outlineLevel="1">
      <c r="A689" s="132"/>
      <c r="B689" s="86" t="s">
        <v>1350</v>
      </c>
      <c r="C689" s="134"/>
      <c r="D689" s="135"/>
      <c r="E689" s="464">
        <v>-200000.0</v>
      </c>
      <c r="F689" s="99">
        <v>-200000.0</v>
      </c>
      <c r="G689" s="99">
        <f t="shared" si="94"/>
        <v>0</v>
      </c>
      <c r="H689" s="588"/>
      <c r="I689" s="588"/>
      <c r="J689" s="540"/>
      <c r="K689" s="541"/>
      <c r="L689" s="140"/>
    </row>
    <row r="690" hidden="1" outlineLevel="1">
      <c r="A690" s="132"/>
      <c r="B690" s="86" t="s">
        <v>1351</v>
      </c>
      <c r="C690" s="134"/>
      <c r="D690" s="135"/>
      <c r="E690" s="464">
        <v>-200000.0</v>
      </c>
      <c r="F690" s="99">
        <v>-200000.0</v>
      </c>
      <c r="G690" s="99">
        <f t="shared" si="94"/>
        <v>0</v>
      </c>
      <c r="H690" s="588"/>
      <c r="I690" s="588"/>
      <c r="J690" s="540"/>
      <c r="K690" s="541"/>
      <c r="L690" s="140"/>
    </row>
    <row r="691" hidden="1" outlineLevel="1">
      <c r="A691" s="132"/>
      <c r="B691" s="271"/>
      <c r="C691" s="134"/>
      <c r="D691" s="135"/>
      <c r="E691" s="538"/>
      <c r="F691" s="539"/>
      <c r="G691" s="539"/>
      <c r="H691" s="436"/>
      <c r="I691" s="436"/>
      <c r="J691" s="540"/>
      <c r="K691" s="541"/>
      <c r="L691" s="140"/>
    </row>
    <row r="692" collapsed="1">
      <c r="A692" s="141">
        <v>3.0</v>
      </c>
      <c r="B692" s="142" t="s">
        <v>1352</v>
      </c>
      <c r="C692" s="573">
        <v>0.0</v>
      </c>
      <c r="D692" s="144"/>
      <c r="E692" s="144">
        <f t="shared" ref="E692:F692" si="95">SUM(E694:E697)</f>
        <v>-640000</v>
      </c>
      <c r="F692" s="145">
        <f t="shared" si="95"/>
        <v>-640000</v>
      </c>
      <c r="G692" s="145">
        <f>F692-E692</f>
        <v>0</v>
      </c>
      <c r="H692" s="146"/>
      <c r="I692" s="146"/>
      <c r="J692" s="147"/>
      <c r="K692" s="574" t="s">
        <v>1325</v>
      </c>
      <c r="L692" s="149"/>
    </row>
    <row r="693" hidden="1" outlineLevel="1">
      <c r="A693" s="63"/>
      <c r="B693" s="575"/>
      <c r="C693" s="576"/>
      <c r="D693" s="578"/>
      <c r="E693" s="580"/>
      <c r="F693" s="582"/>
      <c r="G693" s="582"/>
      <c r="H693" s="583"/>
      <c r="I693" s="583"/>
      <c r="J693" s="584"/>
      <c r="K693" s="79"/>
      <c r="L693" s="82"/>
    </row>
    <row r="694" hidden="1" outlineLevel="1">
      <c r="A694" s="132"/>
      <c r="B694" s="271" t="s">
        <v>1355</v>
      </c>
      <c r="C694" s="134"/>
      <c r="D694" s="135"/>
      <c r="E694" s="464">
        <v>-160000.0</v>
      </c>
      <c r="F694" s="99">
        <v>-160000.0</v>
      </c>
      <c r="G694" s="99">
        <f t="shared" ref="G694:G697" si="96">F694-E694</f>
        <v>0</v>
      </c>
      <c r="H694" s="588"/>
      <c r="I694" s="588"/>
      <c r="J694" s="540"/>
      <c r="K694" s="541"/>
      <c r="L694" s="140"/>
    </row>
    <row r="695" hidden="1" outlineLevel="1">
      <c r="A695" s="132"/>
      <c r="B695" s="271" t="s">
        <v>1357</v>
      </c>
      <c r="C695" s="134"/>
      <c r="D695" s="135"/>
      <c r="E695" s="464">
        <v>-160000.0</v>
      </c>
      <c r="F695" s="99">
        <v>-160000.0</v>
      </c>
      <c r="G695" s="99">
        <f t="shared" si="96"/>
        <v>0</v>
      </c>
      <c r="H695" s="588"/>
      <c r="I695" s="588"/>
      <c r="J695" s="540"/>
      <c r="K695" s="541"/>
      <c r="L695" s="140"/>
    </row>
    <row r="696" hidden="1" outlineLevel="1">
      <c r="A696" s="132"/>
      <c r="B696" s="271" t="s">
        <v>1358</v>
      </c>
      <c r="C696" s="134"/>
      <c r="D696" s="135"/>
      <c r="E696" s="464">
        <v>-160000.0</v>
      </c>
      <c r="F696" s="99">
        <v>-160000.0</v>
      </c>
      <c r="G696" s="99">
        <f t="shared" si="96"/>
        <v>0</v>
      </c>
      <c r="H696" s="588"/>
      <c r="I696" s="588"/>
      <c r="J696" s="540"/>
      <c r="K696" s="541"/>
      <c r="L696" s="140"/>
    </row>
    <row r="697" hidden="1" outlineLevel="1">
      <c r="A697" s="132"/>
      <c r="B697" s="271" t="s">
        <v>1359</v>
      </c>
      <c r="C697" s="134"/>
      <c r="D697" s="135"/>
      <c r="E697" s="464">
        <v>-160000.0</v>
      </c>
      <c r="F697" s="99">
        <v>-160000.0</v>
      </c>
      <c r="G697" s="99">
        <f t="shared" si="96"/>
        <v>0</v>
      </c>
      <c r="H697" s="588"/>
      <c r="I697" s="588"/>
      <c r="J697" s="540"/>
      <c r="K697" s="541"/>
      <c r="L697" s="140"/>
    </row>
    <row r="698" hidden="1" outlineLevel="1">
      <c r="A698" s="132"/>
      <c r="B698" s="271"/>
      <c r="C698" s="134"/>
      <c r="D698" s="135"/>
      <c r="E698" s="538"/>
      <c r="F698" s="539"/>
      <c r="G698" s="539"/>
      <c r="H698" s="436"/>
      <c r="I698" s="436"/>
      <c r="J698" s="540"/>
      <c r="K698" s="541"/>
      <c r="L698" s="140"/>
    </row>
    <row r="699" collapsed="1">
      <c r="A699" s="141">
        <v>4.0</v>
      </c>
      <c r="B699" s="142" t="s">
        <v>1362</v>
      </c>
      <c r="C699" s="573">
        <v>0.0</v>
      </c>
      <c r="D699" s="144">
        <f>E699</f>
        <v>-664000</v>
      </c>
      <c r="E699" s="144">
        <f t="shared" ref="E699:F699" si="97">SUM(E701:E704)</f>
        <v>-664000</v>
      </c>
      <c r="F699" s="145">
        <f t="shared" si="97"/>
        <v>-664000</v>
      </c>
      <c r="G699" s="145">
        <f>F699-E699</f>
        <v>0</v>
      </c>
      <c r="H699" s="146"/>
      <c r="I699" s="146"/>
      <c r="J699" s="147"/>
      <c r="K699" s="574" t="s">
        <v>1325</v>
      </c>
      <c r="L699" s="149"/>
    </row>
    <row r="700" hidden="1" outlineLevel="1">
      <c r="A700" s="63"/>
      <c r="B700" s="575"/>
      <c r="C700" s="576"/>
      <c r="D700" s="578"/>
      <c r="E700" s="580"/>
      <c r="F700" s="582"/>
      <c r="G700" s="582"/>
      <c r="H700" s="583"/>
      <c r="I700" s="583"/>
      <c r="J700" s="584"/>
      <c r="K700" s="79"/>
      <c r="L700" s="82"/>
    </row>
    <row r="701" hidden="1" outlineLevel="1">
      <c r="A701" s="132"/>
      <c r="B701" s="271" t="s">
        <v>1366</v>
      </c>
      <c r="C701" s="134"/>
      <c r="D701" s="135"/>
      <c r="E701" s="464">
        <v>-166000.0</v>
      </c>
      <c r="F701" s="99">
        <v>-166000.0</v>
      </c>
      <c r="G701" s="99">
        <f t="shared" ref="G701:G704" si="98">F701-E701</f>
        <v>0</v>
      </c>
      <c r="H701" s="588"/>
      <c r="I701" s="588"/>
      <c r="J701" s="540"/>
      <c r="K701" s="541"/>
      <c r="L701" s="140"/>
    </row>
    <row r="702" hidden="1" outlineLevel="1">
      <c r="A702" s="132"/>
      <c r="B702" s="271" t="s">
        <v>1369</v>
      </c>
      <c r="C702" s="134"/>
      <c r="D702" s="135"/>
      <c r="E702" s="464">
        <v>-166000.0</v>
      </c>
      <c r="F702" s="99">
        <v>-166000.0</v>
      </c>
      <c r="G702" s="99">
        <f t="shared" si="98"/>
        <v>0</v>
      </c>
      <c r="H702" s="588"/>
      <c r="I702" s="588"/>
      <c r="J702" s="540"/>
      <c r="K702" s="541"/>
      <c r="L702" s="140"/>
    </row>
    <row r="703" hidden="1" outlineLevel="1">
      <c r="A703" s="132"/>
      <c r="B703" s="271" t="s">
        <v>1370</v>
      </c>
      <c r="C703" s="134"/>
      <c r="D703" s="135"/>
      <c r="E703" s="464">
        <v>-166000.0</v>
      </c>
      <c r="F703" s="99">
        <v>-166000.0</v>
      </c>
      <c r="G703" s="99">
        <f t="shared" si="98"/>
        <v>0</v>
      </c>
      <c r="H703" s="588"/>
      <c r="I703" s="588"/>
      <c r="J703" s="540"/>
      <c r="K703" s="541"/>
      <c r="L703" s="140"/>
    </row>
    <row r="704" hidden="1" outlineLevel="1">
      <c r="A704" s="132"/>
      <c r="B704" s="271" t="s">
        <v>1372</v>
      </c>
      <c r="C704" s="134"/>
      <c r="D704" s="135"/>
      <c r="E704" s="464">
        <v>-166000.0</v>
      </c>
      <c r="F704" s="99">
        <v>-166000.0</v>
      </c>
      <c r="G704" s="99">
        <f t="shared" si="98"/>
        <v>0</v>
      </c>
      <c r="H704" s="588"/>
      <c r="I704" s="588"/>
      <c r="J704" s="540"/>
      <c r="K704" s="541"/>
      <c r="L704" s="140"/>
    </row>
    <row r="705" hidden="1" outlineLevel="1">
      <c r="A705" s="132"/>
      <c r="B705" s="271"/>
      <c r="C705" s="134"/>
      <c r="D705" s="135"/>
      <c r="E705" s="538"/>
      <c r="F705" s="539"/>
      <c r="G705" s="539"/>
      <c r="H705" s="436"/>
      <c r="I705" s="436"/>
      <c r="J705" s="540"/>
      <c r="K705" s="541"/>
      <c r="L705" s="140"/>
    </row>
    <row r="706" collapsed="1">
      <c r="A706" s="141">
        <v>5.0</v>
      </c>
      <c r="B706" s="142" t="s">
        <v>1374</v>
      </c>
      <c r="C706" s="573">
        <v>0.0</v>
      </c>
      <c r="D706" s="144">
        <f>E706</f>
        <v>-13550000</v>
      </c>
      <c r="E706" s="144">
        <f t="shared" ref="E706:F706" si="99">SUM(E708:E717)</f>
        <v>-13550000</v>
      </c>
      <c r="F706" s="145">
        <f t="shared" si="99"/>
        <v>-13550000</v>
      </c>
      <c r="G706" s="145">
        <f>F706-E706</f>
        <v>0</v>
      </c>
      <c r="H706" s="146"/>
      <c r="I706" s="146"/>
      <c r="J706" s="147"/>
      <c r="K706" s="574" t="s">
        <v>1325</v>
      </c>
      <c r="L706" s="149"/>
    </row>
    <row r="707" hidden="1" outlineLevel="1">
      <c r="A707" s="63"/>
      <c r="B707" s="575"/>
      <c r="C707" s="576"/>
      <c r="D707" s="578"/>
      <c r="E707" s="580"/>
      <c r="F707" s="582"/>
      <c r="G707" s="582"/>
      <c r="H707" s="583"/>
      <c r="I707" s="583"/>
      <c r="J707" s="584"/>
      <c r="K707" s="79"/>
      <c r="L707" s="82"/>
    </row>
    <row r="708" hidden="1" outlineLevel="1">
      <c r="A708" s="132"/>
      <c r="B708" s="271" t="s">
        <v>1377</v>
      </c>
      <c r="C708" s="134"/>
      <c r="D708" s="135"/>
      <c r="E708" s="464">
        <v>-1355000.0</v>
      </c>
      <c r="F708" s="99">
        <v>-1355000.0</v>
      </c>
      <c r="G708" s="99">
        <f t="shared" ref="G708:G717" si="100">F708-E708</f>
        <v>0</v>
      </c>
      <c r="H708" s="588"/>
      <c r="I708" s="588"/>
      <c r="J708" s="540"/>
      <c r="K708" s="541"/>
      <c r="L708" s="140"/>
    </row>
    <row r="709" hidden="1" outlineLevel="1">
      <c r="A709" s="132"/>
      <c r="B709" s="271" t="s">
        <v>1379</v>
      </c>
      <c r="C709" s="134"/>
      <c r="D709" s="135"/>
      <c r="E709" s="464">
        <v>-1355000.0</v>
      </c>
      <c r="F709" s="99">
        <v>-1355000.0</v>
      </c>
      <c r="G709" s="99">
        <f t="shared" si="100"/>
        <v>0</v>
      </c>
      <c r="H709" s="588"/>
      <c r="I709" s="588"/>
      <c r="J709" s="540"/>
      <c r="K709" s="541"/>
      <c r="L709" s="140"/>
    </row>
    <row r="710" hidden="1" outlineLevel="1">
      <c r="A710" s="132"/>
      <c r="B710" s="271" t="s">
        <v>1380</v>
      </c>
      <c r="C710" s="134"/>
      <c r="D710" s="135"/>
      <c r="E710" s="464">
        <v>-1355000.0</v>
      </c>
      <c r="F710" s="99">
        <v>-1355000.0</v>
      </c>
      <c r="G710" s="99">
        <f t="shared" si="100"/>
        <v>0</v>
      </c>
      <c r="H710" s="588"/>
      <c r="I710" s="588"/>
      <c r="J710" s="540"/>
      <c r="K710" s="541"/>
      <c r="L710" s="140"/>
    </row>
    <row r="711" hidden="1" outlineLevel="1">
      <c r="A711" s="132"/>
      <c r="B711" s="271" t="s">
        <v>1382</v>
      </c>
      <c r="C711" s="134"/>
      <c r="D711" s="135"/>
      <c r="E711" s="464">
        <v>-1355000.0</v>
      </c>
      <c r="F711" s="99">
        <v>-1355000.0</v>
      </c>
      <c r="G711" s="99">
        <f t="shared" si="100"/>
        <v>0</v>
      </c>
      <c r="H711" s="588"/>
      <c r="I711" s="588"/>
      <c r="J711" s="540"/>
      <c r="K711" s="541"/>
      <c r="L711" s="140"/>
    </row>
    <row r="712" hidden="1" outlineLevel="1">
      <c r="A712" s="132"/>
      <c r="B712" s="271" t="s">
        <v>1384</v>
      </c>
      <c r="C712" s="134"/>
      <c r="D712" s="135"/>
      <c r="E712" s="464">
        <v>-1355000.0</v>
      </c>
      <c r="F712" s="99">
        <v>-1355000.0</v>
      </c>
      <c r="G712" s="99">
        <f t="shared" si="100"/>
        <v>0</v>
      </c>
      <c r="H712" s="588"/>
      <c r="I712" s="588"/>
      <c r="J712" s="540"/>
      <c r="K712" s="541"/>
      <c r="L712" s="140"/>
    </row>
    <row r="713" hidden="1" outlineLevel="1">
      <c r="A713" s="132"/>
      <c r="B713" s="271" t="s">
        <v>1385</v>
      </c>
      <c r="C713" s="134"/>
      <c r="D713" s="135"/>
      <c r="E713" s="464">
        <v>-1355000.0</v>
      </c>
      <c r="F713" s="99">
        <v>-1355000.0</v>
      </c>
      <c r="G713" s="99">
        <f t="shared" si="100"/>
        <v>0</v>
      </c>
      <c r="H713" s="588"/>
      <c r="I713" s="588"/>
      <c r="J713" s="540"/>
      <c r="K713" s="541"/>
      <c r="L713" s="140"/>
    </row>
    <row r="714" hidden="1" outlineLevel="1">
      <c r="A714" s="132"/>
      <c r="B714" s="271" t="s">
        <v>1387</v>
      </c>
      <c r="C714" s="134"/>
      <c r="D714" s="135"/>
      <c r="E714" s="464">
        <v>-1355000.0</v>
      </c>
      <c r="F714" s="99">
        <v>-1355000.0</v>
      </c>
      <c r="G714" s="99">
        <f t="shared" si="100"/>
        <v>0</v>
      </c>
      <c r="H714" s="588"/>
      <c r="I714" s="588"/>
      <c r="J714" s="540"/>
      <c r="K714" s="541"/>
      <c r="L714" s="140"/>
    </row>
    <row r="715" hidden="1" outlineLevel="1">
      <c r="A715" s="132"/>
      <c r="B715" s="271" t="s">
        <v>1388</v>
      </c>
      <c r="C715" s="134"/>
      <c r="D715" s="135"/>
      <c r="E715" s="464">
        <v>-1355000.0</v>
      </c>
      <c r="F715" s="99">
        <v>-1355000.0</v>
      </c>
      <c r="G715" s="99">
        <f t="shared" si="100"/>
        <v>0</v>
      </c>
      <c r="H715" s="588"/>
      <c r="I715" s="588"/>
      <c r="J715" s="540"/>
      <c r="K715" s="541"/>
      <c r="L715" s="140"/>
    </row>
    <row r="716" hidden="1" outlineLevel="1">
      <c r="A716" s="132"/>
      <c r="B716" s="271" t="s">
        <v>1390</v>
      </c>
      <c r="C716" s="134"/>
      <c r="D716" s="135"/>
      <c r="E716" s="464">
        <v>-1355000.0</v>
      </c>
      <c r="F716" s="99">
        <v>-1355000.0</v>
      </c>
      <c r="G716" s="99">
        <f t="shared" si="100"/>
        <v>0</v>
      </c>
      <c r="H716" s="588"/>
      <c r="I716" s="588"/>
      <c r="J716" s="540"/>
      <c r="K716" s="541"/>
      <c r="L716" s="140"/>
    </row>
    <row r="717" hidden="1" outlineLevel="1">
      <c r="A717" s="132"/>
      <c r="B717" s="271" t="s">
        <v>1391</v>
      </c>
      <c r="C717" s="134"/>
      <c r="D717" s="135"/>
      <c r="E717" s="464">
        <v>-1355000.0</v>
      </c>
      <c r="F717" s="99">
        <v>-1355000.0</v>
      </c>
      <c r="G717" s="99">
        <f t="shared" si="100"/>
        <v>0</v>
      </c>
      <c r="H717" s="588"/>
      <c r="I717" s="588"/>
      <c r="J717" s="540"/>
      <c r="K717" s="541"/>
      <c r="L717" s="140"/>
    </row>
    <row r="718" hidden="1" outlineLevel="1">
      <c r="A718" s="132"/>
      <c r="B718" s="271"/>
      <c r="C718" s="134"/>
      <c r="D718" s="135"/>
      <c r="E718" s="538"/>
      <c r="F718" s="539"/>
      <c r="G718" s="539"/>
      <c r="H718" s="436"/>
      <c r="I718" s="436"/>
      <c r="J718" s="540"/>
      <c r="K718" s="541"/>
      <c r="L718" s="140"/>
    </row>
    <row r="719" collapsed="1">
      <c r="A719" s="559" t="s">
        <v>46</v>
      </c>
      <c r="B719" s="560" t="s">
        <v>1393</v>
      </c>
      <c r="C719" s="561"/>
      <c r="D719" s="562"/>
      <c r="E719" s="562">
        <f t="shared" ref="E719:F719" si="101">E720</f>
        <v>-3800000</v>
      </c>
      <c r="F719" s="565">
        <f t="shared" si="101"/>
        <v>-3800000</v>
      </c>
      <c r="G719" s="565">
        <f t="shared" ref="G719:G720" si="102">F719-E719</f>
        <v>0</v>
      </c>
      <c r="H719" s="568"/>
      <c r="I719" s="568"/>
      <c r="J719" s="561"/>
      <c r="K719" s="569"/>
      <c r="L719" s="570"/>
    </row>
    <row r="720" hidden="1" outlineLevel="1">
      <c r="A720" s="132">
        <v>1.0</v>
      </c>
      <c r="B720" s="271" t="s">
        <v>1395</v>
      </c>
      <c r="C720" s="134"/>
      <c r="D720" s="135">
        <v>-3800000.0</v>
      </c>
      <c r="E720" s="538">
        <v>-3800000.0</v>
      </c>
      <c r="F720" s="539">
        <v>-3800000.0</v>
      </c>
      <c r="G720" s="539">
        <f t="shared" si="102"/>
        <v>0</v>
      </c>
      <c r="H720" s="436"/>
      <c r="I720" s="436"/>
      <c r="J720" s="540"/>
      <c r="K720" s="325" t="s">
        <v>1397</v>
      </c>
      <c r="L720" s="140"/>
    </row>
    <row r="721" collapsed="1">
      <c r="A721" s="559" t="s">
        <v>1399</v>
      </c>
      <c r="B721" s="560" t="s">
        <v>1401</v>
      </c>
      <c r="C721" s="561"/>
      <c r="D721" s="562"/>
      <c r="E721" s="562">
        <f>SUM(E722:E737)</f>
        <v>-13760000</v>
      </c>
      <c r="F721" s="565">
        <v>-1.6127652E7</v>
      </c>
      <c r="G721" s="565">
        <f>F721-(E721+E738)</f>
        <v>0.03000000119</v>
      </c>
      <c r="H721" s="568"/>
      <c r="I721" s="568"/>
      <c r="J721" s="561"/>
      <c r="K721" s="569"/>
      <c r="L721" s="570"/>
    </row>
    <row r="722" hidden="1" outlineLevel="1">
      <c r="A722" s="599">
        <v>1.0</v>
      </c>
      <c r="B722" s="271" t="s">
        <v>1405</v>
      </c>
      <c r="C722" s="600"/>
      <c r="D722" s="601">
        <f>-500000-587510-432072-75000-60000-110000-25500</f>
        <v>-1790082</v>
      </c>
      <c r="E722" s="543">
        <f>-550000*3</f>
        <v>-1650000</v>
      </c>
      <c r="F722" s="544"/>
      <c r="G722" s="544"/>
      <c r="H722" s="436"/>
      <c r="I722" s="436"/>
      <c r="J722" s="438"/>
      <c r="K722" s="547" t="s">
        <v>1407</v>
      </c>
      <c r="L722" s="275"/>
    </row>
    <row r="723" hidden="1" outlineLevel="1">
      <c r="A723" s="599">
        <f t="shared" ref="A723:A736" si="103">A722+1</f>
        <v>2</v>
      </c>
      <c r="B723" s="542" t="s">
        <v>1410</v>
      </c>
      <c r="C723" s="88"/>
      <c r="D723" s="90">
        <v>-5000000.0</v>
      </c>
      <c r="E723" s="543">
        <v>-5000000.0</v>
      </c>
      <c r="F723" s="544"/>
      <c r="G723" s="544"/>
      <c r="H723" s="436"/>
      <c r="I723" s="436"/>
      <c r="J723" s="438"/>
      <c r="K723" s="440"/>
      <c r="L723" s="275"/>
    </row>
    <row r="724" hidden="1" outlineLevel="1">
      <c r="A724" s="599">
        <f t="shared" si="103"/>
        <v>3</v>
      </c>
      <c r="B724" s="542" t="s">
        <v>1411</v>
      </c>
      <c r="C724" s="88"/>
      <c r="D724" s="90">
        <v>-2200000.0</v>
      </c>
      <c r="E724" s="543">
        <v>-2200000.0</v>
      </c>
      <c r="F724" s="544"/>
      <c r="G724" s="544"/>
      <c r="H724" s="436"/>
      <c r="I724" s="436"/>
      <c r="J724" s="438"/>
      <c r="K724" s="440"/>
      <c r="L724" s="93"/>
    </row>
    <row r="725" hidden="1" outlineLevel="1">
      <c r="A725" s="599">
        <f t="shared" si="103"/>
        <v>4</v>
      </c>
      <c r="B725" s="542" t="s">
        <v>1413</v>
      </c>
      <c r="C725" s="88"/>
      <c r="D725" s="90">
        <v>0.0</v>
      </c>
      <c r="E725" s="543">
        <v>0.0</v>
      </c>
      <c r="F725" s="544"/>
      <c r="G725" s="544"/>
      <c r="H725" s="436"/>
      <c r="I725" s="436"/>
      <c r="J725" s="438"/>
      <c r="K725" s="440"/>
      <c r="L725" s="93"/>
    </row>
    <row r="726" hidden="1" outlineLevel="1">
      <c r="A726" s="599">
        <f t="shared" si="103"/>
        <v>5</v>
      </c>
      <c r="B726" s="542" t="s">
        <v>1414</v>
      </c>
      <c r="C726" s="88"/>
      <c r="D726" s="90">
        <v>-530000.0</v>
      </c>
      <c r="E726" s="543">
        <v>-530000.0</v>
      </c>
      <c r="F726" s="544"/>
      <c r="G726" s="544"/>
      <c r="H726" s="436"/>
      <c r="I726" s="436"/>
      <c r="J726" s="438"/>
      <c r="K726" s="547" t="s">
        <v>1415</v>
      </c>
      <c r="L726" s="93"/>
    </row>
    <row r="727" hidden="1" outlineLevel="1">
      <c r="A727" s="599">
        <f t="shared" si="103"/>
        <v>6</v>
      </c>
      <c r="B727" s="542" t="s">
        <v>1418</v>
      </c>
      <c r="C727" s="88"/>
      <c r="D727" s="90">
        <v>-80000.0</v>
      </c>
      <c r="E727" s="543">
        <v>-80000.0</v>
      </c>
      <c r="F727" s="544"/>
      <c r="G727" s="544"/>
      <c r="H727" s="436"/>
      <c r="I727" s="436"/>
      <c r="J727" s="438"/>
      <c r="K727" s="440"/>
      <c r="L727" s="93"/>
    </row>
    <row r="728" hidden="1" outlineLevel="1">
      <c r="A728" s="599">
        <f t="shared" si="103"/>
        <v>7</v>
      </c>
      <c r="B728" s="542" t="s">
        <v>1419</v>
      </c>
      <c r="C728" s="88"/>
      <c r="D728" s="90">
        <v>-70000.0</v>
      </c>
      <c r="E728" s="543">
        <v>-100000.0</v>
      </c>
      <c r="F728" s="544"/>
      <c r="G728" s="544"/>
      <c r="H728" s="436"/>
      <c r="I728" s="436"/>
      <c r="J728" s="438"/>
      <c r="K728" s="440"/>
      <c r="L728" s="93"/>
    </row>
    <row r="729" hidden="1" outlineLevel="1">
      <c r="A729" s="599">
        <f t="shared" si="103"/>
        <v>8</v>
      </c>
      <c r="B729" s="542" t="s">
        <v>1422</v>
      </c>
      <c r="C729" s="88"/>
      <c r="D729" s="90">
        <v>0.0</v>
      </c>
      <c r="E729" s="543">
        <v>0.0</v>
      </c>
      <c r="F729" s="544"/>
      <c r="G729" s="544"/>
      <c r="H729" s="436"/>
      <c r="I729" s="436"/>
      <c r="J729" s="438"/>
      <c r="K729" s="440"/>
      <c r="L729" s="93"/>
    </row>
    <row r="730" hidden="1" outlineLevel="1">
      <c r="A730" s="599">
        <f t="shared" si="103"/>
        <v>9</v>
      </c>
      <c r="B730" s="542" t="s">
        <v>1424</v>
      </c>
      <c r="C730" s="88"/>
      <c r="D730" s="90">
        <v>0.0</v>
      </c>
      <c r="E730" s="543">
        <v>-250000.0</v>
      </c>
      <c r="F730" s="544"/>
      <c r="G730" s="544"/>
      <c r="H730" s="436"/>
      <c r="I730" s="436"/>
      <c r="J730" s="438"/>
      <c r="K730" s="547" t="s">
        <v>1425</v>
      </c>
      <c r="L730" s="93"/>
    </row>
    <row r="731" hidden="1" outlineLevel="1">
      <c r="A731" s="599">
        <f t="shared" si="103"/>
        <v>10</v>
      </c>
      <c r="B731" s="542" t="s">
        <v>1427</v>
      </c>
      <c r="C731" s="88"/>
      <c r="D731" s="90">
        <v>0.0</v>
      </c>
      <c r="E731" s="543">
        <v>0.0</v>
      </c>
      <c r="F731" s="544"/>
      <c r="G731" s="544"/>
      <c r="H731" s="436"/>
      <c r="I731" s="436"/>
      <c r="J731" s="438"/>
      <c r="K731" s="440"/>
      <c r="L731" s="93"/>
    </row>
    <row r="732" hidden="1" outlineLevel="1">
      <c r="A732" s="599">
        <f t="shared" si="103"/>
        <v>11</v>
      </c>
      <c r="B732" s="542" t="s">
        <v>1433</v>
      </c>
      <c r="C732" s="88"/>
      <c r="D732" s="90">
        <v>0.0</v>
      </c>
      <c r="E732" s="543">
        <v>0.0</v>
      </c>
      <c r="F732" s="544"/>
      <c r="G732" s="544"/>
      <c r="H732" s="436"/>
      <c r="I732" s="436"/>
      <c r="J732" s="438"/>
      <c r="K732" s="440"/>
      <c r="L732" s="93"/>
    </row>
    <row r="733" hidden="1" outlineLevel="1">
      <c r="A733" s="599">
        <f t="shared" si="103"/>
        <v>12</v>
      </c>
      <c r="B733" s="542" t="s">
        <v>1434</v>
      </c>
      <c r="C733" s="88"/>
      <c r="D733" s="90">
        <v>0.0</v>
      </c>
      <c r="E733" s="543">
        <v>0.0</v>
      </c>
      <c r="F733" s="544"/>
      <c r="G733" s="544"/>
      <c r="H733" s="436"/>
      <c r="I733" s="436"/>
      <c r="J733" s="438"/>
      <c r="K733" s="440"/>
      <c r="L733" s="93"/>
    </row>
    <row r="734" hidden="1" outlineLevel="1">
      <c r="A734" s="599">
        <f t="shared" si="103"/>
        <v>13</v>
      </c>
      <c r="B734" s="542" t="s">
        <v>1436</v>
      </c>
      <c r="C734" s="88"/>
      <c r="D734" s="90">
        <v>-600000.0</v>
      </c>
      <c r="E734" s="543">
        <v>-600000.0</v>
      </c>
      <c r="F734" s="544"/>
      <c r="G734" s="544"/>
      <c r="H734" s="436"/>
      <c r="I734" s="436"/>
      <c r="J734" s="438"/>
      <c r="K734" s="440"/>
      <c r="L734" s="93"/>
    </row>
    <row r="735" hidden="1" outlineLevel="1">
      <c r="A735" s="599">
        <f t="shared" si="103"/>
        <v>14</v>
      </c>
      <c r="B735" s="542" t="s">
        <v>1437</v>
      </c>
      <c r="C735" s="88"/>
      <c r="D735" s="90">
        <v>-150000.0</v>
      </c>
      <c r="E735" s="543">
        <v>-150000.0</v>
      </c>
      <c r="F735" s="544"/>
      <c r="G735" s="544"/>
      <c r="H735" s="436"/>
      <c r="I735" s="436"/>
      <c r="J735" s="438"/>
      <c r="K735" s="440"/>
      <c r="L735" s="93"/>
    </row>
    <row r="736" hidden="1" outlineLevel="1">
      <c r="A736" s="599">
        <f t="shared" si="103"/>
        <v>15</v>
      </c>
      <c r="B736" s="542" t="s">
        <v>1438</v>
      </c>
      <c r="C736" s="88"/>
      <c r="D736" s="90">
        <f>-2400000-200000</f>
        <v>-2600000</v>
      </c>
      <c r="E736" s="543">
        <v>-1200000.0</v>
      </c>
      <c r="F736" s="544"/>
      <c r="G736" s="544"/>
      <c r="H736" s="436"/>
      <c r="I736" s="436"/>
      <c r="J736" s="438"/>
      <c r="K736" s="440"/>
      <c r="L736" s="93"/>
    </row>
    <row r="737" hidden="1" outlineLevel="1">
      <c r="A737" s="599">
        <f>A741+1</f>
        <v>19</v>
      </c>
      <c r="B737" s="542" t="s">
        <v>1439</v>
      </c>
      <c r="C737" s="88"/>
      <c r="D737" s="90">
        <v>-2000000.0</v>
      </c>
      <c r="E737" s="543">
        <v>-2000000.0</v>
      </c>
      <c r="F737" s="544"/>
      <c r="G737" s="544"/>
      <c r="H737" s="436"/>
      <c r="I737" s="436"/>
      <c r="J737" s="438"/>
      <c r="K737" s="547" t="s">
        <v>1440</v>
      </c>
      <c r="L737" s="93"/>
    </row>
    <row r="738" collapsed="1">
      <c r="A738" s="559" t="s">
        <v>1441</v>
      </c>
      <c r="B738" s="560" t="s">
        <v>1442</v>
      </c>
      <c r="C738" s="561"/>
      <c r="D738" s="562"/>
      <c r="E738" s="562">
        <f>SUM(E739:E743)</f>
        <v>-2367652.03</v>
      </c>
      <c r="F738" s="565"/>
      <c r="G738" s="565"/>
      <c r="H738" s="568"/>
      <c r="I738" s="568"/>
      <c r="J738" s="561"/>
      <c r="K738" s="569"/>
      <c r="L738" s="570"/>
    </row>
    <row r="739" hidden="1" outlineLevel="1">
      <c r="A739" s="599">
        <f>A736+1</f>
        <v>16</v>
      </c>
      <c r="B739" s="542" t="s">
        <v>1444</v>
      </c>
      <c r="C739" s="88"/>
      <c r="D739" s="90">
        <v>0.0</v>
      </c>
      <c r="E739" s="543">
        <v>-200000.0</v>
      </c>
      <c r="F739" s="544"/>
      <c r="G739" s="544"/>
      <c r="H739" s="436"/>
      <c r="I739" s="436"/>
      <c r="J739" s="438"/>
      <c r="K739" s="440"/>
      <c r="L739" s="93"/>
    </row>
    <row r="740" hidden="1" outlineLevel="1">
      <c r="A740" s="599">
        <f t="shared" ref="A740:A741" si="104">A739+1</f>
        <v>17</v>
      </c>
      <c r="B740" s="542" t="s">
        <v>1445</v>
      </c>
      <c r="C740" s="88"/>
      <c r="D740" s="90">
        <v>0.0</v>
      </c>
      <c r="E740" s="543">
        <v>-350000.0</v>
      </c>
      <c r="F740" s="544"/>
      <c r="G740" s="544"/>
      <c r="H740" s="436"/>
      <c r="I740" s="436"/>
      <c r="J740" s="438"/>
      <c r="K740" s="440"/>
      <c r="L740" s="93"/>
    </row>
    <row r="741" hidden="1" outlineLevel="1">
      <c r="A741" s="599">
        <f t="shared" si="104"/>
        <v>18</v>
      </c>
      <c r="B741" s="542" t="s">
        <v>1446</v>
      </c>
      <c r="C741" s="88"/>
      <c r="D741" s="90">
        <v>0.0</v>
      </c>
      <c r="E741" s="543">
        <v>-1150000.0</v>
      </c>
      <c r="F741" s="544"/>
      <c r="G741" s="544"/>
      <c r="H741" s="436"/>
      <c r="I741" s="436"/>
      <c r="J741" s="438"/>
      <c r="K741" s="440"/>
      <c r="L741" s="93"/>
    </row>
    <row r="742" hidden="1" outlineLevel="1">
      <c r="A742" s="599">
        <f>A737+1</f>
        <v>20</v>
      </c>
      <c r="B742" s="542" t="s">
        <v>1447</v>
      </c>
      <c r="C742" s="88"/>
      <c r="D742" s="90">
        <v>0.0</v>
      </c>
      <c r="E742" s="543">
        <v>-347652.03</v>
      </c>
      <c r="F742" s="544"/>
      <c r="G742" s="544"/>
      <c r="H742" s="571"/>
      <c r="I742" s="571" t="s">
        <v>1448</v>
      </c>
      <c r="J742" s="438"/>
      <c r="K742" s="547" t="s">
        <v>1450</v>
      </c>
      <c r="L742" s="93"/>
    </row>
    <row r="743" hidden="1" outlineLevel="1">
      <c r="A743" s="599">
        <f>A742+1</f>
        <v>21</v>
      </c>
      <c r="B743" s="542" t="s">
        <v>1452</v>
      </c>
      <c r="C743" s="88"/>
      <c r="D743" s="90">
        <f>450000+E743</f>
        <v>130000</v>
      </c>
      <c r="E743" s="543">
        <v>-320000.0</v>
      </c>
      <c r="F743" s="544"/>
      <c r="G743" s="544"/>
      <c r="H743" s="436"/>
      <c r="I743" s="436"/>
      <c r="J743" s="438"/>
      <c r="K743" s="547" t="s">
        <v>1453</v>
      </c>
      <c r="L743" s="93"/>
    </row>
    <row r="744" hidden="1" outlineLevel="1">
      <c r="A744" s="599"/>
      <c r="B744" s="431"/>
      <c r="C744" s="88"/>
      <c r="D744" s="90"/>
      <c r="E744" s="616"/>
      <c r="F744" s="617"/>
      <c r="G744" s="617"/>
      <c r="H744" s="436"/>
      <c r="I744" s="436"/>
      <c r="J744" s="438"/>
      <c r="K744" s="440"/>
      <c r="L744" s="93"/>
    </row>
    <row r="745" collapsed="1">
      <c r="A745" s="559" t="s">
        <v>1454</v>
      </c>
      <c r="B745" s="560" t="s">
        <v>1455</v>
      </c>
      <c r="C745" s="561">
        <f>SUM(C746:C753)</f>
        <v>3226000</v>
      </c>
      <c r="D745" s="562"/>
      <c r="E745" s="562">
        <f>SUM(E746:E750)</f>
        <v>0</v>
      </c>
      <c r="F745" s="565"/>
      <c r="G745" s="565"/>
      <c r="H745" s="568"/>
      <c r="I745" s="568"/>
      <c r="J745" s="561"/>
      <c r="K745" s="569"/>
      <c r="L745" s="570"/>
    </row>
    <row r="746" hidden="1" outlineLevel="1">
      <c r="A746" s="618">
        <v>5.0</v>
      </c>
      <c r="B746" s="620" t="s">
        <v>404</v>
      </c>
      <c r="C746" s="621">
        <v>625000.0</v>
      </c>
      <c r="D746" s="90"/>
      <c r="E746" s="90"/>
      <c r="F746" s="93"/>
      <c r="G746" s="93"/>
      <c r="H746" s="588"/>
      <c r="I746" s="588"/>
      <c r="J746" s="622"/>
      <c r="K746" s="623"/>
      <c r="L746" s="275"/>
    </row>
    <row r="747" hidden="1" outlineLevel="1">
      <c r="A747" s="618">
        <v>6.0</v>
      </c>
      <c r="B747" s="620" t="s">
        <v>406</v>
      </c>
      <c r="C747" s="621">
        <v>90000.0</v>
      </c>
      <c r="D747" s="90"/>
      <c r="E747" s="90"/>
      <c r="F747" s="93"/>
      <c r="G747" s="93"/>
      <c r="H747" s="588"/>
      <c r="I747" s="588"/>
      <c r="J747" s="622"/>
      <c r="K747" s="623"/>
      <c r="L747" s="275"/>
    </row>
    <row r="748" hidden="1" outlineLevel="1">
      <c r="A748" s="618">
        <v>7.0</v>
      </c>
      <c r="B748" s="620" t="s">
        <v>408</v>
      </c>
      <c r="C748" s="621">
        <v>148000.0</v>
      </c>
      <c r="D748" s="90"/>
      <c r="E748" s="90"/>
      <c r="F748" s="93"/>
      <c r="G748" s="93"/>
      <c r="H748" s="588"/>
      <c r="I748" s="588"/>
      <c r="J748" s="622"/>
      <c r="K748" s="623"/>
      <c r="L748" s="275"/>
    </row>
    <row r="749" hidden="1" outlineLevel="1">
      <c r="A749" s="618">
        <v>8.0</v>
      </c>
      <c r="B749" s="620" t="s">
        <v>411</v>
      </c>
      <c r="C749" s="621">
        <v>300000.0</v>
      </c>
      <c r="D749" s="90"/>
      <c r="E749" s="90"/>
      <c r="F749" s="93"/>
      <c r="G749" s="93"/>
      <c r="H749" s="588"/>
      <c r="I749" s="588"/>
      <c r="J749" s="622"/>
      <c r="K749" s="623"/>
      <c r="L749" s="275"/>
    </row>
    <row r="750" hidden="1" outlineLevel="1">
      <c r="A750" s="618">
        <v>9.0</v>
      </c>
      <c r="B750" s="620" t="s">
        <v>412</v>
      </c>
      <c r="C750" s="621">
        <v>205000.0</v>
      </c>
      <c r="D750" s="90"/>
      <c r="E750" s="90"/>
      <c r="F750" s="93"/>
      <c r="G750" s="93"/>
      <c r="H750" s="588"/>
      <c r="I750" s="588"/>
      <c r="J750" s="622"/>
      <c r="K750" s="623"/>
      <c r="L750" s="275"/>
    </row>
    <row r="751" hidden="1" outlineLevel="1">
      <c r="A751" s="618">
        <v>10.0</v>
      </c>
      <c r="B751" s="620" t="s">
        <v>414</v>
      </c>
      <c r="C751" s="621">
        <v>165000.0</v>
      </c>
      <c r="D751" s="90"/>
      <c r="E751" s="90"/>
      <c r="F751" s="93"/>
      <c r="G751" s="93"/>
      <c r="H751" s="588"/>
      <c r="I751" s="588"/>
      <c r="J751" s="622"/>
      <c r="K751" s="623"/>
      <c r="L751" s="275"/>
    </row>
    <row r="752" hidden="1" outlineLevel="1">
      <c r="A752" s="618">
        <v>11.0</v>
      </c>
      <c r="B752" s="620" t="s">
        <v>416</v>
      </c>
      <c r="C752" s="621">
        <v>220000.0</v>
      </c>
      <c r="D752" s="90"/>
      <c r="E752" s="90"/>
      <c r="F752" s="93"/>
      <c r="G752" s="93"/>
      <c r="H752" s="588"/>
      <c r="I752" s="588"/>
      <c r="J752" s="622"/>
      <c r="K752" s="623"/>
      <c r="L752" s="275"/>
    </row>
    <row r="753" hidden="1" outlineLevel="1">
      <c r="A753" s="618">
        <v>12.0</v>
      </c>
      <c r="B753" s="620" t="s">
        <v>419</v>
      </c>
      <c r="C753" s="621">
        <v>1473000.0</v>
      </c>
      <c r="D753" s="90"/>
      <c r="E753" s="90"/>
      <c r="F753" s="93"/>
      <c r="G753" s="93"/>
      <c r="H753" s="588"/>
      <c r="I753" s="588"/>
      <c r="J753" s="622"/>
      <c r="K753" s="623"/>
      <c r="L753" s="275"/>
    </row>
    <row r="754" hidden="1" outlineLevel="1">
      <c r="A754" s="625"/>
      <c r="B754" s="626"/>
      <c r="C754" s="88"/>
      <c r="D754" s="90"/>
      <c r="E754" s="90"/>
      <c r="F754" s="93"/>
      <c r="G754" s="93"/>
      <c r="H754" s="588"/>
      <c r="I754" s="588"/>
      <c r="J754" s="622"/>
      <c r="K754" s="623"/>
      <c r="L754" s="275"/>
    </row>
    <row r="755">
      <c r="A755" s="627"/>
      <c r="B755" s="628"/>
      <c r="C755" s="629"/>
      <c r="D755" s="629"/>
      <c r="E755" s="630"/>
      <c r="F755" s="630"/>
      <c r="G755" s="630"/>
      <c r="H755" s="328"/>
      <c r="I755" s="328"/>
      <c r="J755" s="631"/>
      <c r="K755" s="631"/>
      <c r="L755" s="631"/>
    </row>
    <row r="756">
      <c r="A756" s="627"/>
      <c r="B756" s="628"/>
      <c r="C756" s="629"/>
      <c r="D756" s="629"/>
      <c r="E756" s="630"/>
      <c r="F756" s="630"/>
      <c r="G756" s="630"/>
      <c r="H756" s="328"/>
      <c r="I756" s="328"/>
      <c r="J756" s="631"/>
      <c r="K756" s="631"/>
      <c r="L756" s="631"/>
    </row>
    <row r="757">
      <c r="A757" s="627"/>
      <c r="B757" s="628"/>
      <c r="C757" s="629"/>
      <c r="D757" s="629"/>
      <c r="E757" s="630"/>
      <c r="F757" s="630"/>
      <c r="G757" s="630"/>
      <c r="H757" s="328"/>
      <c r="I757" s="328"/>
      <c r="J757" s="631"/>
      <c r="K757" s="631"/>
      <c r="L757" s="631"/>
    </row>
    <row r="758">
      <c r="A758" s="627"/>
      <c r="B758" s="628"/>
      <c r="C758" s="629"/>
      <c r="D758" s="629"/>
      <c r="E758" s="630"/>
      <c r="F758" s="630"/>
      <c r="G758" s="630"/>
      <c r="H758" s="328"/>
      <c r="I758" s="328"/>
      <c r="J758" s="631"/>
      <c r="K758" s="631"/>
      <c r="L758" s="631"/>
    </row>
  </sheetData>
  <conditionalFormatting sqref="D1:D758">
    <cfRule type="cellIs" dxfId="4" priority="1" operator="lessThan">
      <formula>0</formula>
    </cfRule>
  </conditionalFormatting>
  <printOptions gridLines="1" horizontalCentered="1"/>
  <pageMargins bottom="0.75" footer="0.0" header="0.0" left="0.7" right="0.7" top="0.75"/>
  <pageSetup fitToHeight="0" paperSize="9" cellComments="atEnd" orientation="landscape" pageOrder="overThenDown"/>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outlineLevelRow="1"/>
  <cols>
    <col customWidth="1" min="1" max="1" width="13.88"/>
    <col customWidth="1" min="2" max="2" width="40.13"/>
    <col customWidth="1" min="3" max="3" width="11.38"/>
    <col customWidth="1" min="4" max="7" width="20.13"/>
    <col customWidth="1" min="8" max="8" width="65.13"/>
  </cols>
  <sheetData>
    <row r="1">
      <c r="A1" s="1" t="s">
        <v>0</v>
      </c>
    </row>
    <row r="2">
      <c r="A2" s="2" t="s">
        <v>1</v>
      </c>
    </row>
    <row r="4">
      <c r="A4" s="3" t="s">
        <v>2</v>
      </c>
      <c r="B4" s="3" t="s">
        <v>3</v>
      </c>
      <c r="C4" s="4" t="s">
        <v>4</v>
      </c>
      <c r="D4" s="3" t="s">
        <v>5</v>
      </c>
      <c r="E4" s="3" t="s">
        <v>6</v>
      </c>
      <c r="F4" s="3" t="s">
        <v>7</v>
      </c>
      <c r="G4" s="3" t="s">
        <v>9</v>
      </c>
      <c r="H4" s="3" t="s">
        <v>10</v>
      </c>
    </row>
    <row r="5">
      <c r="A5" s="7" t="s">
        <v>11</v>
      </c>
      <c r="B5" s="8" t="s">
        <v>12</v>
      </c>
      <c r="C5" s="9">
        <v>47.0</v>
      </c>
      <c r="D5" s="11">
        <f>GERAL!E47</f>
        <v>3290000</v>
      </c>
      <c r="E5" s="11">
        <f>GERAL!F47</f>
        <v>3510000</v>
      </c>
      <c r="F5" s="11">
        <f t="shared" ref="F5:F19" si="1">E5-D5</f>
        <v>220000</v>
      </c>
      <c r="G5" s="14">
        <v>-1985000.0</v>
      </c>
      <c r="H5" s="8" t="s">
        <v>13</v>
      </c>
    </row>
    <row r="6">
      <c r="A6" s="7" t="s">
        <v>14</v>
      </c>
      <c r="B6" s="8" t="s">
        <v>15</v>
      </c>
      <c r="C6" s="9">
        <v>73.0</v>
      </c>
      <c r="D6" s="11">
        <f>GERAL!E73</f>
        <v>7663866</v>
      </c>
      <c r="E6" s="11">
        <f>GERAL!F73</f>
        <v>10918666</v>
      </c>
      <c r="F6" s="11">
        <f t="shared" si="1"/>
        <v>3254800</v>
      </c>
      <c r="G6" s="14">
        <v>319776.66</v>
      </c>
      <c r="H6" s="8" t="s">
        <v>16</v>
      </c>
    </row>
    <row r="7">
      <c r="A7" s="7" t="s">
        <v>17</v>
      </c>
      <c r="B7" s="8" t="s">
        <v>18</v>
      </c>
      <c r="C7" s="9">
        <v>92.0</v>
      </c>
      <c r="D7" s="11">
        <f>GERAL!E92</f>
        <v>111179000</v>
      </c>
      <c r="E7" s="11">
        <f>GERAL!F92</f>
        <v>113178000</v>
      </c>
      <c r="F7" s="11">
        <f t="shared" si="1"/>
        <v>1999000</v>
      </c>
      <c r="G7" s="11"/>
      <c r="H7" s="8" t="s">
        <v>21</v>
      </c>
    </row>
    <row r="8">
      <c r="A8" s="7" t="s">
        <v>22</v>
      </c>
      <c r="B8" s="8" t="s">
        <v>23</v>
      </c>
      <c r="C8" s="9">
        <v>667.0</v>
      </c>
      <c r="D8" s="11">
        <f>GERAL!E667</f>
        <v>0</v>
      </c>
      <c r="E8" s="11">
        <f>GERAL!F667</f>
        <v>8601000</v>
      </c>
      <c r="F8" s="11">
        <f t="shared" si="1"/>
        <v>8601000</v>
      </c>
      <c r="G8" s="14">
        <v>1433500.0</v>
      </c>
      <c r="H8" s="8" t="s">
        <v>25</v>
      </c>
    </row>
    <row r="9">
      <c r="A9" s="7" t="s">
        <v>22</v>
      </c>
      <c r="B9" s="8" t="s">
        <v>26</v>
      </c>
      <c r="C9" s="9">
        <v>668.0</v>
      </c>
      <c r="D9" s="11">
        <f>GERAL!E668</f>
        <v>-4211035</v>
      </c>
      <c r="E9" s="11">
        <f>GERAL!F668</f>
        <v>808565</v>
      </c>
      <c r="F9" s="11">
        <f t="shared" si="1"/>
        <v>5019600</v>
      </c>
      <c r="G9" s="14">
        <v>134160.84</v>
      </c>
      <c r="H9" s="8" t="s">
        <v>27</v>
      </c>
    </row>
    <row r="10">
      <c r="A10" s="7" t="s">
        <v>22</v>
      </c>
      <c r="B10" s="8" t="s">
        <v>29</v>
      </c>
      <c r="C10" s="9">
        <v>669.0</v>
      </c>
      <c r="D10" s="11">
        <f>GERAL!E669</f>
        <v>-2664900</v>
      </c>
      <c r="E10" s="11">
        <f>GERAL!F669</f>
        <v>719100</v>
      </c>
      <c r="F10" s="11">
        <f t="shared" si="1"/>
        <v>3384000</v>
      </c>
      <c r="G10" s="14">
        <v>119850.0</v>
      </c>
      <c r="H10" s="8" t="s">
        <v>30</v>
      </c>
    </row>
    <row r="11">
      <c r="A11" s="7" t="s">
        <v>22</v>
      </c>
      <c r="B11" s="8" t="s">
        <v>31</v>
      </c>
      <c r="C11" s="9">
        <v>670.0</v>
      </c>
      <c r="D11" s="11">
        <f>GERAL!E670</f>
        <v>-2588646</v>
      </c>
      <c r="E11" s="11">
        <f>GERAL!F670</f>
        <v>795354</v>
      </c>
      <c r="F11" s="11">
        <f t="shared" si="1"/>
        <v>3384000</v>
      </c>
      <c r="G11" s="14">
        <v>132559.0</v>
      </c>
      <c r="H11" s="8" t="s">
        <v>32</v>
      </c>
    </row>
    <row r="12">
      <c r="A12" s="7" t="s">
        <v>22</v>
      </c>
      <c r="B12" s="8" t="s">
        <v>33</v>
      </c>
      <c r="C12" s="9">
        <v>671.0</v>
      </c>
      <c r="D12" s="11">
        <f>GERAL!E671</f>
        <v>-1300000</v>
      </c>
      <c r="E12" s="11">
        <f>GERAL!F671</f>
        <v>7865000</v>
      </c>
      <c r="F12" s="11">
        <f t="shared" si="1"/>
        <v>9165000</v>
      </c>
      <c r="G12" s="14">
        <v>1310833.33</v>
      </c>
      <c r="H12" s="8" t="s">
        <v>34</v>
      </c>
    </row>
    <row r="13">
      <c r="A13" s="7" t="s">
        <v>22</v>
      </c>
      <c r="B13" s="8" t="s">
        <v>35</v>
      </c>
      <c r="C13" s="9">
        <v>672.0</v>
      </c>
      <c r="D13" s="11">
        <f>GERAL!E672</f>
        <v>-782000</v>
      </c>
      <c r="E13" s="11">
        <f>GERAL!F672</f>
        <v>2329000</v>
      </c>
      <c r="F13" s="11">
        <f t="shared" si="1"/>
        <v>3111000</v>
      </c>
      <c r="G13" s="14">
        <v>388167.0</v>
      </c>
      <c r="H13" s="8" t="s">
        <v>36</v>
      </c>
    </row>
    <row r="14">
      <c r="A14" s="7" t="s">
        <v>22</v>
      </c>
      <c r="B14" s="8" t="s">
        <v>37</v>
      </c>
      <c r="C14" s="9">
        <v>673.0</v>
      </c>
      <c r="D14" s="11">
        <f>GERAL!E673</f>
        <v>-1500000</v>
      </c>
      <c r="E14" s="11">
        <f>GERAL!F673</f>
        <v>-21000</v>
      </c>
      <c r="F14" s="11">
        <f t="shared" si="1"/>
        <v>1479000</v>
      </c>
      <c r="G14" s="14">
        <v>-3500.0</v>
      </c>
      <c r="H14" s="8" t="s">
        <v>38</v>
      </c>
    </row>
    <row r="15">
      <c r="A15" s="7" t="s">
        <v>22</v>
      </c>
      <c r="B15" s="8" t="s">
        <v>39</v>
      </c>
      <c r="C15" s="9">
        <v>674.0</v>
      </c>
      <c r="D15" s="11">
        <f>GERAL!E674</f>
        <v>-1650000</v>
      </c>
      <c r="E15" s="11">
        <f>GERAL!F674</f>
        <v>-1650000</v>
      </c>
      <c r="F15" s="11">
        <f t="shared" si="1"/>
        <v>0</v>
      </c>
      <c r="G15" s="14">
        <v>-275000.0</v>
      </c>
      <c r="H15" s="8" t="s">
        <v>40</v>
      </c>
    </row>
    <row r="16">
      <c r="A16" s="7" t="s">
        <v>22</v>
      </c>
      <c r="B16" s="8" t="s">
        <v>41</v>
      </c>
      <c r="C16" s="9">
        <v>675.0</v>
      </c>
      <c r="D16" s="11">
        <f>GERAL!E675</f>
        <v>-1058000</v>
      </c>
      <c r="E16" s="11">
        <f>GERAL!F675</f>
        <v>-1058000</v>
      </c>
      <c r="F16" s="11">
        <f t="shared" si="1"/>
        <v>0</v>
      </c>
      <c r="G16" s="14">
        <v>-176333.33</v>
      </c>
      <c r="H16" s="8" t="s">
        <v>42</v>
      </c>
    </row>
    <row r="17">
      <c r="A17" s="7" t="s">
        <v>43</v>
      </c>
      <c r="B17" s="8" t="s">
        <v>44</v>
      </c>
      <c r="C17" s="9">
        <v>677.0</v>
      </c>
      <c r="D17" s="11">
        <f>GERAL!E677</f>
        <v>-16240000</v>
      </c>
      <c r="E17" s="11">
        <f>GERAL!F677</f>
        <v>-16240000</v>
      </c>
      <c r="F17" s="11">
        <f t="shared" si="1"/>
        <v>0</v>
      </c>
      <c r="G17" s="11"/>
      <c r="H17" s="8" t="s">
        <v>45</v>
      </c>
    </row>
    <row r="18">
      <c r="A18" s="7" t="s">
        <v>46</v>
      </c>
      <c r="B18" s="8" t="s">
        <v>47</v>
      </c>
      <c r="C18" s="9">
        <v>719.0</v>
      </c>
      <c r="D18" s="11">
        <f>GERAL!E719</f>
        <v>-3800000</v>
      </c>
      <c r="E18" s="11">
        <f>GERAL!F719</f>
        <v>-3800000</v>
      </c>
      <c r="F18" s="11">
        <f t="shared" si="1"/>
        <v>0</v>
      </c>
      <c r="G18" s="11"/>
      <c r="H18" s="8" t="s">
        <v>48</v>
      </c>
    </row>
    <row r="19">
      <c r="A19" s="7" t="s">
        <v>49</v>
      </c>
      <c r="B19" s="8" t="s">
        <v>50</v>
      </c>
      <c r="C19" s="9">
        <v>721.0</v>
      </c>
      <c r="D19" s="11">
        <f>GERAL!E721+GERAL!E738</f>
        <v>-16127652.03</v>
      </c>
      <c r="E19" s="11">
        <f>GERAL!F721</f>
        <v>-16127652</v>
      </c>
      <c r="F19" s="11">
        <f t="shared" si="1"/>
        <v>0.03000000119</v>
      </c>
      <c r="G19" s="14">
        <v>-2687942.0</v>
      </c>
      <c r="H19" s="8" t="s">
        <v>53</v>
      </c>
    </row>
    <row r="20">
      <c r="A20" s="51"/>
      <c r="B20" s="53" t="s">
        <v>54</v>
      </c>
      <c r="C20" s="54"/>
      <c r="D20" s="57">
        <f t="shared" ref="D20:F20" si="2">SUM(D5:D19)</f>
        <v>70210632.97</v>
      </c>
      <c r="E20" s="57">
        <f t="shared" si="2"/>
        <v>109828033</v>
      </c>
      <c r="F20" s="57">
        <f t="shared" si="2"/>
        <v>39617400.03</v>
      </c>
      <c r="G20" s="57"/>
      <c r="H20" s="61"/>
    </row>
    <row r="21">
      <c r="A21" s="62"/>
      <c r="B21" s="64"/>
      <c r="C21" s="65"/>
      <c r="D21" s="62"/>
      <c r="E21" s="62"/>
      <c r="F21" s="62"/>
      <c r="G21" s="62"/>
      <c r="H21" s="64"/>
    </row>
    <row r="22">
      <c r="A22" s="67" t="s">
        <v>55</v>
      </c>
      <c r="B22" s="64"/>
      <c r="C22" s="65"/>
      <c r="D22" s="62"/>
      <c r="E22" s="62"/>
      <c r="F22" s="62"/>
      <c r="G22" s="62"/>
      <c r="H22" s="64"/>
    </row>
    <row r="23">
      <c r="A23" s="68" t="s">
        <v>51</v>
      </c>
      <c r="B23" s="69" t="s">
        <v>52</v>
      </c>
      <c r="C23" s="70">
        <v>5.0</v>
      </c>
      <c r="D23" s="72">
        <f>GERAL!E5</f>
        <v>1217000</v>
      </c>
      <c r="E23" s="62"/>
      <c r="F23" s="62"/>
      <c r="G23" s="62"/>
      <c r="H23" s="64"/>
    </row>
    <row r="24">
      <c r="A24" s="68" t="s">
        <v>56</v>
      </c>
      <c r="B24" s="69" t="s">
        <v>57</v>
      </c>
      <c r="C24" s="70">
        <v>29.0</v>
      </c>
      <c r="D24" s="72">
        <f>GERAL!E29</f>
        <v>2517000</v>
      </c>
      <c r="E24" s="62"/>
      <c r="F24" s="62"/>
      <c r="G24" s="62"/>
      <c r="H24" s="64"/>
    </row>
    <row r="25">
      <c r="A25" s="68" t="s">
        <v>58</v>
      </c>
      <c r="B25" s="69" t="s">
        <v>59</v>
      </c>
      <c r="C25" s="70">
        <v>62.0</v>
      </c>
      <c r="D25" s="72">
        <f>GERAL!E62</f>
        <v>0</v>
      </c>
      <c r="E25" s="62"/>
      <c r="F25" s="62"/>
      <c r="G25" s="62"/>
      <c r="H25" s="64"/>
    </row>
    <row r="26">
      <c r="A26" s="68" t="s">
        <v>60</v>
      </c>
      <c r="B26" s="69" t="s">
        <v>62</v>
      </c>
      <c r="C26" s="70">
        <v>66.0</v>
      </c>
      <c r="D26" s="72">
        <f>GERAL!E66</f>
        <v>26929394.6</v>
      </c>
      <c r="E26" s="62"/>
      <c r="F26" s="62"/>
      <c r="G26" s="62"/>
      <c r="H26" s="64"/>
    </row>
    <row r="27">
      <c r="A27" s="80"/>
      <c r="B27" s="81" t="s">
        <v>65</v>
      </c>
      <c r="C27" s="83"/>
      <c r="D27" s="85">
        <f>SUM(D23:D26)</f>
        <v>30663394.6</v>
      </c>
      <c r="E27" s="80"/>
      <c r="F27" s="80"/>
      <c r="G27" s="80"/>
      <c r="H27" s="87"/>
    </row>
    <row r="28">
      <c r="A28" s="62"/>
      <c r="B28" s="64"/>
      <c r="C28" s="65"/>
      <c r="D28" s="62"/>
      <c r="E28" s="62"/>
      <c r="F28" s="62"/>
      <c r="G28" s="62"/>
      <c r="H28" s="64"/>
    </row>
    <row r="29">
      <c r="A29" s="67" t="s">
        <v>73</v>
      </c>
      <c r="B29" s="64"/>
      <c r="C29" s="65"/>
      <c r="D29" s="62"/>
      <c r="E29" s="62"/>
      <c r="F29" s="62"/>
      <c r="G29" s="62"/>
      <c r="H29" s="69" t="s">
        <v>74</v>
      </c>
    </row>
    <row r="30">
      <c r="A30" s="95" t="s">
        <v>3</v>
      </c>
      <c r="B30" s="95" t="s">
        <v>76</v>
      </c>
      <c r="C30" s="97" t="s">
        <v>4</v>
      </c>
      <c r="D30" s="95" t="s">
        <v>6</v>
      </c>
      <c r="E30" s="95" t="s">
        <v>77</v>
      </c>
      <c r="F30" s="95" t="s">
        <v>78</v>
      </c>
      <c r="G30" s="95" t="s">
        <v>79</v>
      </c>
      <c r="H30" s="95" t="s">
        <v>10</v>
      </c>
    </row>
    <row r="31">
      <c r="A31" s="7" t="s">
        <v>80</v>
      </c>
      <c r="B31" s="8" t="s">
        <v>81</v>
      </c>
      <c r="C31" s="9">
        <v>94.0</v>
      </c>
      <c r="D31" s="11">
        <f>GERAL!F94</f>
        <v>4031000</v>
      </c>
      <c r="E31" s="11">
        <f t="shared" ref="E31:E61" si="3">D31/6</f>
        <v>671833.3333</v>
      </c>
      <c r="F31" s="14">
        <v>743000.0</v>
      </c>
      <c r="G31" s="11">
        <f t="shared" ref="G31:G61" si="4">E31-F31</f>
        <v>-71166.66667</v>
      </c>
      <c r="H31" s="108"/>
    </row>
    <row r="32">
      <c r="A32" s="7" t="s">
        <v>90</v>
      </c>
      <c r="B32" s="8" t="s">
        <v>92</v>
      </c>
      <c r="C32" s="9">
        <v>111.0</v>
      </c>
      <c r="D32" s="11">
        <f>GERAL!F111</f>
        <v>136000</v>
      </c>
      <c r="E32" s="11">
        <f t="shared" si="3"/>
        <v>22666.66667</v>
      </c>
      <c r="F32" s="14">
        <v>0.0</v>
      </c>
      <c r="G32" s="11">
        <f t="shared" si="4"/>
        <v>22666.66667</v>
      </c>
      <c r="H32" s="108"/>
    </row>
    <row r="33">
      <c r="A33" s="7" t="s">
        <v>100</v>
      </c>
      <c r="B33" s="8" t="s">
        <v>101</v>
      </c>
      <c r="C33" s="9">
        <v>115.0</v>
      </c>
      <c r="D33" s="11">
        <f>GERAL!F115</f>
        <v>629000</v>
      </c>
      <c r="E33" s="11">
        <f t="shared" si="3"/>
        <v>104833.3333</v>
      </c>
      <c r="F33" s="14">
        <v>0.0</v>
      </c>
      <c r="G33" s="11">
        <f t="shared" si="4"/>
        <v>104833.3333</v>
      </c>
      <c r="H33" s="108"/>
    </row>
    <row r="34">
      <c r="A34" s="7" t="s">
        <v>106</v>
      </c>
      <c r="B34" s="8" t="s">
        <v>107</v>
      </c>
      <c r="C34" s="9">
        <v>120.0</v>
      </c>
      <c r="D34" s="11">
        <f>GERAL!F120</f>
        <v>520000</v>
      </c>
      <c r="E34" s="11">
        <f t="shared" si="3"/>
        <v>86666.66667</v>
      </c>
      <c r="F34" s="14">
        <v>0.0</v>
      </c>
      <c r="G34" s="11">
        <f t="shared" si="4"/>
        <v>86666.66667</v>
      </c>
      <c r="H34" s="8" t="s">
        <v>113</v>
      </c>
    </row>
    <row r="35">
      <c r="A35" s="7" t="s">
        <v>114</v>
      </c>
      <c r="B35" s="8" t="s">
        <v>116</v>
      </c>
      <c r="C35" s="9">
        <v>127.0</v>
      </c>
      <c r="D35" s="11">
        <f>GERAL!F127</f>
        <v>1171000</v>
      </c>
      <c r="E35" s="11">
        <f t="shared" si="3"/>
        <v>195166.6667</v>
      </c>
      <c r="F35" s="14">
        <v>0.0</v>
      </c>
      <c r="G35" s="11">
        <f t="shared" si="4"/>
        <v>195166.6667</v>
      </c>
      <c r="H35" s="108"/>
    </row>
    <row r="36">
      <c r="A36" s="7" t="s">
        <v>120</v>
      </c>
      <c r="B36" s="8" t="s">
        <v>121</v>
      </c>
      <c r="C36" s="9">
        <v>136.0</v>
      </c>
      <c r="D36" s="11">
        <f>GERAL!F136</f>
        <v>2647000</v>
      </c>
      <c r="E36" s="11">
        <f t="shared" si="3"/>
        <v>441166.6667</v>
      </c>
      <c r="F36" s="14">
        <v>678000.0</v>
      </c>
      <c r="G36" s="11">
        <f t="shared" si="4"/>
        <v>-236833.3333</v>
      </c>
      <c r="H36" s="8" t="s">
        <v>124</v>
      </c>
    </row>
    <row r="37">
      <c r="A37" s="7" t="s">
        <v>126</v>
      </c>
      <c r="B37" s="8" t="s">
        <v>128</v>
      </c>
      <c r="C37" s="9">
        <v>154.0</v>
      </c>
      <c r="D37" s="11">
        <f>GERAL!F154</f>
        <v>2585000</v>
      </c>
      <c r="E37" s="11">
        <f t="shared" si="3"/>
        <v>430833.3333</v>
      </c>
      <c r="F37" s="14">
        <v>478000.0</v>
      </c>
      <c r="G37" s="11">
        <f t="shared" si="4"/>
        <v>-47166.66667</v>
      </c>
      <c r="H37" s="108"/>
    </row>
    <row r="38">
      <c r="A38" s="7" t="s">
        <v>134</v>
      </c>
      <c r="B38" s="8" t="s">
        <v>135</v>
      </c>
      <c r="C38" s="9">
        <v>170.0</v>
      </c>
      <c r="D38" s="11">
        <f>GERAL!F170</f>
        <v>8374000</v>
      </c>
      <c r="E38" s="11">
        <f t="shared" si="3"/>
        <v>1395666.667</v>
      </c>
      <c r="F38" s="14">
        <v>1789000.0</v>
      </c>
      <c r="G38" s="11">
        <f t="shared" si="4"/>
        <v>-393333.3333</v>
      </c>
      <c r="H38" s="118" t="s">
        <v>141</v>
      </c>
    </row>
    <row r="39">
      <c r="A39" s="7" t="s">
        <v>143</v>
      </c>
      <c r="B39" s="8" t="s">
        <v>144</v>
      </c>
      <c r="C39" s="9">
        <v>207.0</v>
      </c>
      <c r="D39" s="11">
        <f>GERAL!F207</f>
        <v>20181000</v>
      </c>
      <c r="E39" s="11">
        <f t="shared" si="3"/>
        <v>3363500</v>
      </c>
      <c r="F39" s="14">
        <v>3881000.0</v>
      </c>
      <c r="G39" s="11">
        <f t="shared" si="4"/>
        <v>-517500</v>
      </c>
      <c r="H39" s="8" t="s">
        <v>149</v>
      </c>
    </row>
    <row r="40">
      <c r="A40" s="7" t="s">
        <v>150</v>
      </c>
      <c r="B40" s="8" t="s">
        <v>151</v>
      </c>
      <c r="C40" s="9">
        <v>316.0</v>
      </c>
      <c r="D40" s="11">
        <f>GERAL!F316</f>
        <v>10985000</v>
      </c>
      <c r="E40" s="11">
        <f t="shared" si="3"/>
        <v>1830833.333</v>
      </c>
      <c r="F40" s="14">
        <v>2295000.0</v>
      </c>
      <c r="G40" s="11">
        <f t="shared" si="4"/>
        <v>-464166.6667</v>
      </c>
      <c r="H40" s="108"/>
    </row>
    <row r="41">
      <c r="A41" s="7" t="s">
        <v>155</v>
      </c>
      <c r="B41" s="8" t="s">
        <v>156</v>
      </c>
      <c r="C41" s="9">
        <v>350.0</v>
      </c>
      <c r="D41" s="11">
        <f>GERAL!F350</f>
        <v>241000</v>
      </c>
      <c r="E41" s="11">
        <f t="shared" si="3"/>
        <v>40166.66667</v>
      </c>
      <c r="F41" s="14">
        <v>0.0</v>
      </c>
      <c r="G41" s="11">
        <f t="shared" si="4"/>
        <v>40166.66667</v>
      </c>
      <c r="H41" s="108"/>
    </row>
    <row r="42">
      <c r="A42" s="7" t="s">
        <v>160</v>
      </c>
      <c r="B42" s="8" t="s">
        <v>161</v>
      </c>
      <c r="C42" s="9">
        <v>354.0</v>
      </c>
      <c r="D42" s="11">
        <f>GERAL!F354</f>
        <v>1419000</v>
      </c>
      <c r="E42" s="11">
        <f t="shared" si="3"/>
        <v>236500</v>
      </c>
      <c r="F42" s="14">
        <v>272000.0</v>
      </c>
      <c r="G42" s="11">
        <f t="shared" si="4"/>
        <v>-35500</v>
      </c>
      <c r="H42" s="108"/>
    </row>
    <row r="43">
      <c r="A43" s="7" t="s">
        <v>164</v>
      </c>
      <c r="B43" s="8" t="s">
        <v>165</v>
      </c>
      <c r="C43" s="9">
        <v>362.0</v>
      </c>
      <c r="D43" s="11">
        <f>GERAL!F362</f>
        <v>2180000</v>
      </c>
      <c r="E43" s="11">
        <f t="shared" si="3"/>
        <v>363333.3333</v>
      </c>
      <c r="F43" s="14">
        <v>778000.0</v>
      </c>
      <c r="G43" s="11">
        <f t="shared" si="4"/>
        <v>-414666.6667</v>
      </c>
      <c r="H43" s="108"/>
    </row>
    <row r="44">
      <c r="A44" s="7" t="s">
        <v>168</v>
      </c>
      <c r="B44" s="8" t="s">
        <v>169</v>
      </c>
      <c r="C44" s="9">
        <v>379.0</v>
      </c>
      <c r="D44" s="11">
        <f>GERAL!F379</f>
        <v>617000</v>
      </c>
      <c r="E44" s="11">
        <f t="shared" si="3"/>
        <v>102833.3333</v>
      </c>
      <c r="F44" s="14">
        <v>241000.0</v>
      </c>
      <c r="G44" s="11">
        <f t="shared" si="4"/>
        <v>-138166.6667</v>
      </c>
      <c r="H44" s="108"/>
    </row>
    <row r="45">
      <c r="A45" s="7" t="s">
        <v>175</v>
      </c>
      <c r="B45" s="8" t="s">
        <v>176</v>
      </c>
      <c r="C45" s="9">
        <v>385.0</v>
      </c>
      <c r="D45" s="11">
        <f>GERAL!F385</f>
        <v>822000</v>
      </c>
      <c r="E45" s="11">
        <f t="shared" si="3"/>
        <v>137000</v>
      </c>
      <c r="F45" s="14">
        <v>0.0</v>
      </c>
      <c r="G45" s="11">
        <f t="shared" si="4"/>
        <v>137000</v>
      </c>
      <c r="H45" s="108"/>
    </row>
    <row r="46">
      <c r="A46" s="7" t="s">
        <v>181</v>
      </c>
      <c r="B46" s="8" t="s">
        <v>182</v>
      </c>
      <c r="C46" s="9">
        <v>392.0</v>
      </c>
      <c r="D46" s="11">
        <f>GERAL!F392</f>
        <v>142000</v>
      </c>
      <c r="E46" s="11">
        <f t="shared" si="3"/>
        <v>23666.66667</v>
      </c>
      <c r="F46" s="14">
        <v>0.0</v>
      </c>
      <c r="G46" s="11">
        <f t="shared" si="4"/>
        <v>23666.66667</v>
      </c>
      <c r="H46" s="108"/>
    </row>
    <row r="47">
      <c r="A47" s="7" t="s">
        <v>185</v>
      </c>
      <c r="B47" s="8" t="s">
        <v>186</v>
      </c>
      <c r="C47" s="9">
        <v>396.0</v>
      </c>
      <c r="D47" s="11">
        <f>GERAL!F396</f>
        <v>650000</v>
      </c>
      <c r="E47" s="11">
        <f t="shared" si="3"/>
        <v>108333.3333</v>
      </c>
      <c r="F47" s="14">
        <v>0.0</v>
      </c>
      <c r="G47" s="11">
        <f t="shared" si="4"/>
        <v>108333.3333</v>
      </c>
      <c r="H47" s="108"/>
    </row>
    <row r="48">
      <c r="A48" s="7" t="s">
        <v>191</v>
      </c>
      <c r="B48" s="8" t="s">
        <v>192</v>
      </c>
      <c r="C48" s="9">
        <v>403.0</v>
      </c>
      <c r="D48" s="11">
        <f>GERAL!F403</f>
        <v>5500000</v>
      </c>
      <c r="E48" s="11">
        <f t="shared" si="3"/>
        <v>916666.6667</v>
      </c>
      <c r="F48" s="14">
        <v>1100000.0</v>
      </c>
      <c r="G48" s="11">
        <f t="shared" si="4"/>
        <v>-183333.3333</v>
      </c>
      <c r="H48" s="8" t="s">
        <v>195</v>
      </c>
    </row>
    <row r="49">
      <c r="A49" s="7" t="s">
        <v>196</v>
      </c>
      <c r="B49" s="8" t="s">
        <v>197</v>
      </c>
      <c r="C49" s="9">
        <v>419.0</v>
      </c>
      <c r="D49" s="11">
        <f>GERAL!F419</f>
        <v>4560000</v>
      </c>
      <c r="E49" s="11">
        <f t="shared" si="3"/>
        <v>760000</v>
      </c>
      <c r="F49" s="14">
        <v>0.0</v>
      </c>
      <c r="G49" s="11">
        <f t="shared" si="4"/>
        <v>760000</v>
      </c>
      <c r="H49" s="108"/>
    </row>
    <row r="50">
      <c r="A50" s="7" t="s">
        <v>199</v>
      </c>
      <c r="B50" s="8" t="s">
        <v>200</v>
      </c>
      <c r="C50" s="9">
        <v>425.0</v>
      </c>
      <c r="D50" s="11">
        <f>GERAL!F425</f>
        <v>2080000</v>
      </c>
      <c r="E50" s="11">
        <f t="shared" si="3"/>
        <v>346666.6667</v>
      </c>
      <c r="F50" s="14">
        <v>517000.0</v>
      </c>
      <c r="G50" s="11">
        <f t="shared" si="4"/>
        <v>-170333.3333</v>
      </c>
      <c r="H50" s="8" t="s">
        <v>203</v>
      </c>
    </row>
    <row r="51">
      <c r="A51" s="7" t="s">
        <v>204</v>
      </c>
      <c r="B51" s="8" t="s">
        <v>205</v>
      </c>
      <c r="C51" s="9">
        <v>439.0</v>
      </c>
      <c r="D51" s="11">
        <f>GERAL!F439</f>
        <v>1790000</v>
      </c>
      <c r="E51" s="11">
        <f t="shared" si="3"/>
        <v>298333.3333</v>
      </c>
      <c r="F51" s="14">
        <v>745000.0</v>
      </c>
      <c r="G51" s="11">
        <f t="shared" si="4"/>
        <v>-446666.6667</v>
      </c>
      <c r="H51" s="8" t="s">
        <v>207</v>
      </c>
    </row>
    <row r="52">
      <c r="A52" s="7" t="s">
        <v>208</v>
      </c>
      <c r="B52" s="8" t="s">
        <v>210</v>
      </c>
      <c r="C52" s="9">
        <v>451.0</v>
      </c>
      <c r="D52" s="11">
        <f>GERAL!F451</f>
        <v>148000</v>
      </c>
      <c r="E52" s="11">
        <f t="shared" si="3"/>
        <v>24666.66667</v>
      </c>
      <c r="F52" s="14">
        <v>0.0</v>
      </c>
      <c r="G52" s="11">
        <f t="shared" si="4"/>
        <v>24666.66667</v>
      </c>
      <c r="H52" s="8" t="s">
        <v>212</v>
      </c>
    </row>
    <row r="53">
      <c r="A53" s="7" t="s">
        <v>213</v>
      </c>
      <c r="B53" s="8" t="s">
        <v>214</v>
      </c>
      <c r="C53" s="9">
        <v>457.0</v>
      </c>
      <c r="D53" s="11">
        <f>GERAL!F457</f>
        <v>157000</v>
      </c>
      <c r="E53" s="11">
        <f t="shared" si="3"/>
        <v>26166.66667</v>
      </c>
      <c r="F53" s="14">
        <v>0.0</v>
      </c>
      <c r="G53" s="11">
        <f t="shared" si="4"/>
        <v>26166.66667</v>
      </c>
      <c r="H53" s="8" t="s">
        <v>217</v>
      </c>
    </row>
    <row r="54">
      <c r="A54" s="7" t="s">
        <v>218</v>
      </c>
      <c r="B54" s="8" t="s">
        <v>219</v>
      </c>
      <c r="C54" s="9">
        <v>461.0</v>
      </c>
      <c r="D54" s="11">
        <f>GERAL!F461</f>
        <v>5420000</v>
      </c>
      <c r="E54" s="11">
        <f t="shared" si="3"/>
        <v>903333.3333</v>
      </c>
      <c r="F54" s="14">
        <v>1355000.0</v>
      </c>
      <c r="G54" s="11">
        <f t="shared" si="4"/>
        <v>-451666.6667</v>
      </c>
      <c r="H54" s="8" t="s">
        <v>221</v>
      </c>
    </row>
    <row r="55">
      <c r="A55" s="7" t="s">
        <v>222</v>
      </c>
      <c r="B55" s="8" t="s">
        <v>224</v>
      </c>
      <c r="C55" s="9">
        <v>469.0</v>
      </c>
      <c r="D55" s="11">
        <f>GERAL!F469</f>
        <v>5823000</v>
      </c>
      <c r="E55" s="11">
        <f t="shared" si="3"/>
        <v>970500</v>
      </c>
      <c r="F55" s="14">
        <v>2150000.0</v>
      </c>
      <c r="G55" s="11">
        <f t="shared" si="4"/>
        <v>-1179500</v>
      </c>
      <c r="H55" s="108"/>
    </row>
    <row r="56">
      <c r="A56" s="7" t="s">
        <v>226</v>
      </c>
      <c r="B56" s="8" t="s">
        <v>227</v>
      </c>
      <c r="C56" s="9">
        <v>499.0</v>
      </c>
      <c r="D56" s="11">
        <f>GERAL!F499</f>
        <v>2086000</v>
      </c>
      <c r="E56" s="11">
        <f t="shared" si="3"/>
        <v>347666.6667</v>
      </c>
      <c r="F56" s="14">
        <v>627000.0</v>
      </c>
      <c r="G56" s="11">
        <f t="shared" si="4"/>
        <v>-279333.3333</v>
      </c>
      <c r="H56" s="108"/>
    </row>
    <row r="57">
      <c r="A57" s="7" t="s">
        <v>230</v>
      </c>
      <c r="B57" s="8" t="s">
        <v>231</v>
      </c>
      <c r="C57" s="9">
        <v>512.0</v>
      </c>
      <c r="D57" s="11">
        <f>GERAL!F512</f>
        <v>5336000</v>
      </c>
      <c r="E57" s="11">
        <f t="shared" si="3"/>
        <v>889333.3333</v>
      </c>
      <c r="F57" s="14">
        <v>876000.0</v>
      </c>
      <c r="G57" s="11">
        <f t="shared" si="4"/>
        <v>13333.33333</v>
      </c>
      <c r="H57" s="8" t="s">
        <v>293</v>
      </c>
    </row>
    <row r="58">
      <c r="A58" s="7" t="s">
        <v>294</v>
      </c>
      <c r="B58" s="8" t="s">
        <v>296</v>
      </c>
      <c r="C58" s="9">
        <v>575.0</v>
      </c>
      <c r="D58" s="11">
        <f>GERAL!F575</f>
        <v>533000</v>
      </c>
      <c r="E58" s="11">
        <f t="shared" si="3"/>
        <v>88833.33333</v>
      </c>
      <c r="F58" s="14">
        <v>0.0</v>
      </c>
      <c r="G58" s="11">
        <f t="shared" si="4"/>
        <v>88833.33333</v>
      </c>
      <c r="H58" s="108"/>
    </row>
    <row r="59">
      <c r="A59" s="7" t="s">
        <v>299</v>
      </c>
      <c r="B59" s="8" t="s">
        <v>301</v>
      </c>
      <c r="C59" s="9">
        <v>582.0</v>
      </c>
      <c r="D59" s="11">
        <f>GERAL!F582</f>
        <v>3699000</v>
      </c>
      <c r="E59" s="11">
        <f t="shared" si="3"/>
        <v>616500</v>
      </c>
      <c r="F59" s="14">
        <v>1424000.0</v>
      </c>
      <c r="G59" s="11">
        <f t="shared" si="4"/>
        <v>-807500</v>
      </c>
      <c r="H59" s="108"/>
    </row>
    <row r="60">
      <c r="A60" s="7" t="s">
        <v>305</v>
      </c>
      <c r="B60" s="8" t="s">
        <v>306</v>
      </c>
      <c r="C60" s="9">
        <v>599.0</v>
      </c>
      <c r="D60" s="11">
        <f>GERAL!F599</f>
        <v>18216000</v>
      </c>
      <c r="E60" s="11">
        <f t="shared" si="3"/>
        <v>3036000</v>
      </c>
      <c r="F60" s="14">
        <v>4571000.0</v>
      </c>
      <c r="G60" s="11">
        <f t="shared" si="4"/>
        <v>-1535000</v>
      </c>
      <c r="H60" s="108"/>
    </row>
    <row r="61">
      <c r="A61" s="7" t="s">
        <v>309</v>
      </c>
      <c r="B61" s="8" t="s">
        <v>310</v>
      </c>
      <c r="C61" s="9">
        <v>633.0</v>
      </c>
      <c r="D61" s="11">
        <f>GERAL!F633</f>
        <v>500000</v>
      </c>
      <c r="E61" s="11">
        <f t="shared" si="3"/>
        <v>83333.33333</v>
      </c>
      <c r="F61" s="14">
        <v>0.0</v>
      </c>
      <c r="G61" s="11">
        <f t="shared" si="4"/>
        <v>83333.33333</v>
      </c>
      <c r="H61" s="8" t="s">
        <v>312</v>
      </c>
    </row>
    <row r="62">
      <c r="A62" s="51"/>
      <c r="B62" s="53" t="s">
        <v>314</v>
      </c>
      <c r="C62" s="54"/>
      <c r="D62" s="57">
        <f t="shared" ref="D62:G62" si="5">SUM(D31:D61)</f>
        <v>113178000</v>
      </c>
      <c r="E62" s="57">
        <f t="shared" si="5"/>
        <v>18863000</v>
      </c>
      <c r="F62" s="57">
        <f t="shared" si="5"/>
        <v>24520000</v>
      </c>
      <c r="G62" s="57">
        <f t="shared" si="5"/>
        <v>-5657000</v>
      </c>
      <c r="H62" s="61"/>
    </row>
    <row r="64">
      <c r="A64" s="180" t="s">
        <v>318</v>
      </c>
    </row>
    <row r="65">
      <c r="A65" s="2" t="s">
        <v>323</v>
      </c>
    </row>
    <row r="66">
      <c r="A66" s="2" t="s">
        <v>326</v>
      </c>
    </row>
    <row r="67">
      <c r="A67" s="2" t="s">
        <v>327</v>
      </c>
    </row>
    <row r="68">
      <c r="A68" s="2" t="s">
        <v>329</v>
      </c>
    </row>
    <row r="69">
      <c r="A69" s="2" t="s">
        <v>332</v>
      </c>
    </row>
    <row r="70">
      <c r="A70" s="2" t="s">
        <v>334</v>
      </c>
    </row>
    <row r="71">
      <c r="A71" s="2" t="s">
        <v>336</v>
      </c>
    </row>
    <row r="72">
      <c r="A72" s="2" t="s">
        <v>337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4.63"/>
    <col customWidth="1" min="2" max="2" width="84.25"/>
    <col customWidth="1" min="3" max="3" width="25.5"/>
    <col customWidth="1" min="4" max="4" width="23.75"/>
    <col customWidth="1" min="5" max="5" width="26.88"/>
    <col customWidth="1" min="6" max="6" width="22.25"/>
  </cols>
  <sheetData>
    <row r="1">
      <c r="A1" s="74"/>
      <c r="C1" s="75"/>
      <c r="D1" s="75"/>
      <c r="E1" s="75"/>
    </row>
    <row r="2">
      <c r="B2" s="2" t="s">
        <v>61</v>
      </c>
      <c r="C2" s="75"/>
      <c r="D2" s="75"/>
      <c r="E2" s="75"/>
    </row>
    <row r="3">
      <c r="B3" s="2" t="s">
        <v>63</v>
      </c>
      <c r="C3" s="75"/>
      <c r="D3" s="75"/>
      <c r="E3" s="75"/>
    </row>
    <row r="4">
      <c r="B4" s="2" t="s">
        <v>64</v>
      </c>
      <c r="C4" s="75"/>
      <c r="D4" s="75"/>
      <c r="E4" s="75"/>
    </row>
    <row r="5">
      <c r="B5" s="2" t="s">
        <v>66</v>
      </c>
      <c r="C5" s="75"/>
      <c r="D5" s="75"/>
      <c r="E5" s="75"/>
    </row>
    <row r="6">
      <c r="B6" s="2" t="s">
        <v>67</v>
      </c>
      <c r="C6" s="75"/>
      <c r="D6" s="75"/>
      <c r="E6" s="75"/>
    </row>
    <row r="7">
      <c r="B7" s="2" t="s">
        <v>68</v>
      </c>
      <c r="C7" s="75"/>
      <c r="D7" s="75"/>
      <c r="E7" s="75"/>
    </row>
    <row r="8">
      <c r="B8" s="2" t="s">
        <v>70</v>
      </c>
      <c r="C8" s="75"/>
      <c r="D8" s="75"/>
      <c r="E8" s="75"/>
    </row>
    <row r="9">
      <c r="B9" s="2" t="s">
        <v>71</v>
      </c>
      <c r="C9" s="75"/>
      <c r="D9" s="75"/>
      <c r="E9" s="75"/>
    </row>
    <row r="10">
      <c r="A10" s="2"/>
      <c r="B10" s="2" t="s">
        <v>72</v>
      </c>
      <c r="C10" s="75"/>
      <c r="D10" s="75"/>
      <c r="E10" s="75"/>
    </row>
    <row r="11">
      <c r="A11" s="2"/>
      <c r="C11" s="75"/>
      <c r="D11" s="75"/>
      <c r="E11" s="75"/>
    </row>
    <row r="12">
      <c r="A12" s="2"/>
      <c r="C12" s="75"/>
      <c r="D12" s="75"/>
      <c r="E12" s="75"/>
    </row>
    <row r="13">
      <c r="A13" s="2"/>
      <c r="C13" s="75"/>
      <c r="D13" s="75"/>
      <c r="E13" s="75"/>
    </row>
    <row r="14">
      <c r="A14" s="2"/>
      <c r="C14" s="75"/>
      <c r="D14" s="75"/>
      <c r="E14" s="75"/>
    </row>
    <row r="15">
      <c r="A15" s="2"/>
      <c r="C15" s="75"/>
      <c r="D15" s="75"/>
      <c r="E15" s="75"/>
    </row>
    <row r="16">
      <c r="A16" s="100">
        <f>MAX($A$7:A15)+1</f>
        <v>1</v>
      </c>
      <c r="B16" s="101" t="s">
        <v>84</v>
      </c>
      <c r="C16" s="102"/>
      <c r="D16" s="102"/>
      <c r="E16" s="104"/>
      <c r="F16" s="106"/>
    </row>
    <row r="17">
      <c r="A17" s="2"/>
      <c r="C17" s="75"/>
      <c r="D17" s="75"/>
      <c r="E17" s="75"/>
    </row>
    <row r="18">
      <c r="A18" s="2"/>
      <c r="B18" s="2" t="s">
        <v>88</v>
      </c>
      <c r="C18" s="75"/>
      <c r="D18" s="75"/>
      <c r="E18" s="75"/>
    </row>
    <row r="19">
      <c r="A19" s="2"/>
      <c r="B19" s="109" t="s">
        <v>91</v>
      </c>
      <c r="C19" s="75"/>
      <c r="D19" s="75"/>
      <c r="E19" s="75"/>
    </row>
    <row r="20">
      <c r="A20" s="2"/>
      <c r="B20" s="109" t="s">
        <v>96</v>
      </c>
      <c r="C20" s="75"/>
      <c r="D20" s="75"/>
      <c r="E20" s="75"/>
    </row>
    <row r="21">
      <c r="A21" s="2"/>
      <c r="B21" s="109" t="s">
        <v>97</v>
      </c>
      <c r="C21" s="75"/>
      <c r="D21" s="75"/>
      <c r="E21" s="75"/>
    </row>
    <row r="22">
      <c r="A22" s="2"/>
      <c r="B22" s="109" t="s">
        <v>99</v>
      </c>
      <c r="C22" s="75"/>
      <c r="D22" s="75"/>
      <c r="E22" s="75"/>
    </row>
    <row r="23">
      <c r="A23" s="2"/>
      <c r="B23" s="109" t="s">
        <v>102</v>
      </c>
      <c r="C23" s="75"/>
      <c r="D23" s="75"/>
      <c r="E23" s="75"/>
    </row>
    <row r="24">
      <c r="C24" s="75"/>
      <c r="D24" s="75"/>
      <c r="E24" s="75"/>
    </row>
    <row r="25">
      <c r="A25" s="2"/>
      <c r="B25" s="2" t="s">
        <v>105</v>
      </c>
      <c r="C25" s="75"/>
      <c r="D25" s="75"/>
      <c r="E25" s="75"/>
    </row>
    <row r="26">
      <c r="A26" s="2"/>
      <c r="B26" s="109" t="s">
        <v>108</v>
      </c>
      <c r="C26" s="75"/>
      <c r="D26" s="75"/>
      <c r="E26" s="75"/>
    </row>
    <row r="27">
      <c r="A27" s="2"/>
      <c r="B27" s="109" t="s">
        <v>109</v>
      </c>
      <c r="C27" s="75"/>
      <c r="D27" s="75"/>
      <c r="E27" s="75"/>
    </row>
    <row r="28">
      <c r="A28" s="2"/>
      <c r="B28" s="109" t="s">
        <v>112</v>
      </c>
      <c r="C28" s="75"/>
      <c r="D28" s="75"/>
      <c r="E28" s="75"/>
    </row>
    <row r="29">
      <c r="A29" s="2"/>
      <c r="B29" s="112"/>
      <c r="C29" s="75"/>
      <c r="D29" s="75"/>
      <c r="E29" s="75"/>
    </row>
    <row r="30">
      <c r="A30" s="2"/>
      <c r="B30" s="112"/>
      <c r="C30" s="75"/>
      <c r="D30" s="75"/>
      <c r="E30" s="75"/>
    </row>
    <row r="31">
      <c r="A31" s="2"/>
      <c r="B31" s="112"/>
      <c r="C31" s="75"/>
      <c r="D31" s="75"/>
      <c r="E31" s="75"/>
    </row>
    <row r="32">
      <c r="A32" s="2"/>
      <c r="B32" s="112"/>
      <c r="C32" s="75"/>
      <c r="D32" s="75"/>
      <c r="E32" s="75"/>
    </row>
    <row r="33">
      <c r="A33" s="2"/>
      <c r="C33" s="75"/>
      <c r="D33" s="75"/>
      <c r="E33" s="75"/>
    </row>
    <row r="34">
      <c r="A34" s="100">
        <f>MAX($A$7:A33)+1</f>
        <v>2</v>
      </c>
      <c r="B34" s="101" t="s">
        <v>127</v>
      </c>
      <c r="C34" s="102">
        <v>2018.0</v>
      </c>
      <c r="D34" s="102">
        <v>2025.0</v>
      </c>
      <c r="E34" s="104" t="s">
        <v>130</v>
      </c>
      <c r="F34" s="106" t="s">
        <v>131</v>
      </c>
    </row>
    <row r="35">
      <c r="A35" s="113"/>
      <c r="B35" s="113"/>
      <c r="C35" s="75"/>
      <c r="D35" s="75"/>
      <c r="E35" s="114"/>
      <c r="F35" s="116"/>
    </row>
    <row r="36">
      <c r="A36" s="113"/>
      <c r="B36" s="113" t="s">
        <v>137</v>
      </c>
      <c r="C36" s="117">
        <f>GERAL!C93</f>
        <v>751</v>
      </c>
      <c r="D36" s="119">
        <f>GERAL!E93</f>
        <v>418</v>
      </c>
      <c r="E36" s="120">
        <f>C36-D36</f>
        <v>333</v>
      </c>
      <c r="F36" s="121">
        <f t="shared" ref="F36:F37" si="1">D36/C36</f>
        <v>0.5565912117</v>
      </c>
    </row>
    <row r="37">
      <c r="A37" s="113"/>
      <c r="B37" s="122" t="s">
        <v>157</v>
      </c>
      <c r="C37" s="123">
        <f>GERAL!D92</f>
        <v>226921937.2</v>
      </c>
      <c r="D37" s="123">
        <f>GERAL!E92</f>
        <v>111179000</v>
      </c>
      <c r="E37" s="126">
        <f>D37-C37</f>
        <v>-115742937.2</v>
      </c>
      <c r="F37" s="127">
        <f t="shared" si="1"/>
        <v>0.4899438167</v>
      </c>
    </row>
    <row r="38">
      <c r="A38" s="74"/>
      <c r="B38" s="128"/>
      <c r="C38" s="129"/>
      <c r="D38" s="75"/>
      <c r="E38" s="75"/>
    </row>
    <row r="39">
      <c r="A39" s="113"/>
      <c r="B39" s="122" t="s">
        <v>171</v>
      </c>
      <c r="C39" s="130" t="s">
        <v>172</v>
      </c>
      <c r="D39" s="75"/>
      <c r="E39" s="75"/>
    </row>
    <row r="40">
      <c r="A40" s="74"/>
      <c r="C40" s="131" t="s">
        <v>174</v>
      </c>
      <c r="D40" s="75"/>
      <c r="E40" s="75"/>
    </row>
    <row r="41">
      <c r="A41" s="74"/>
      <c r="C41" s="131"/>
      <c r="D41" s="75"/>
      <c r="E41" s="75"/>
    </row>
    <row r="42">
      <c r="A42" s="74"/>
      <c r="C42" s="131" t="s">
        <v>179</v>
      </c>
      <c r="D42" s="75"/>
      <c r="E42" s="75"/>
    </row>
    <row r="43">
      <c r="A43" s="74"/>
      <c r="C43" s="75"/>
      <c r="D43" s="75"/>
      <c r="E43" s="75"/>
    </row>
    <row r="44">
      <c r="A44" s="100">
        <f>MAX($A$7:A43)+1</f>
        <v>3</v>
      </c>
      <c r="B44" s="101" t="s">
        <v>262</v>
      </c>
      <c r="C44" s="102">
        <v>2018.0</v>
      </c>
      <c r="D44" s="102">
        <v>2025.0</v>
      </c>
      <c r="E44" s="104"/>
      <c r="F44" s="106"/>
    </row>
    <row r="45">
      <c r="A45" s="113"/>
      <c r="B45" s="113"/>
      <c r="C45" s="75"/>
      <c r="D45" s="75"/>
      <c r="E45" s="75"/>
    </row>
    <row r="46">
      <c r="A46" s="113"/>
      <c r="B46" s="113" t="s">
        <v>265</v>
      </c>
      <c r="C46" s="160">
        <v>24.0</v>
      </c>
      <c r="D46" s="160" t="s">
        <v>268</v>
      </c>
      <c r="E46" s="75"/>
    </row>
    <row r="47">
      <c r="A47" s="113"/>
      <c r="B47" s="122" t="s">
        <v>269</v>
      </c>
      <c r="C47" s="160"/>
      <c r="D47" s="160" t="s">
        <v>268</v>
      </c>
      <c r="E47" s="75"/>
    </row>
    <row r="48">
      <c r="A48" s="113"/>
      <c r="B48" s="122" t="s">
        <v>270</v>
      </c>
      <c r="C48" s="160">
        <v>15.0</v>
      </c>
      <c r="D48" s="160" t="s">
        <v>268</v>
      </c>
      <c r="E48" s="75"/>
    </row>
    <row r="49">
      <c r="A49" s="113"/>
      <c r="B49" s="122"/>
      <c r="C49" s="75"/>
      <c r="D49" s="75"/>
      <c r="E49" s="75"/>
    </row>
    <row r="50">
      <c r="A50" s="113"/>
      <c r="B50" s="122" t="s">
        <v>171</v>
      </c>
      <c r="C50" s="131" t="s">
        <v>274</v>
      </c>
      <c r="D50" s="75"/>
      <c r="E50" s="75"/>
    </row>
    <row r="51">
      <c r="A51" s="161"/>
      <c r="B51" s="162"/>
      <c r="C51" s="131" t="s">
        <v>275</v>
      </c>
      <c r="D51" s="75"/>
      <c r="E51" s="75"/>
    </row>
    <row r="52">
      <c r="A52" s="161"/>
      <c r="B52" s="162"/>
      <c r="C52" s="75"/>
      <c r="D52" s="75"/>
      <c r="E52" s="75"/>
    </row>
    <row r="53">
      <c r="A53" s="100">
        <f>MAX($A$7:A52)+1</f>
        <v>4</v>
      </c>
      <c r="B53" s="101" t="s">
        <v>277</v>
      </c>
      <c r="C53" s="102"/>
      <c r="D53" s="102"/>
      <c r="E53" s="104"/>
      <c r="F53" s="106"/>
    </row>
    <row r="54">
      <c r="A54" s="161"/>
      <c r="B54" s="162"/>
      <c r="C54" s="75"/>
      <c r="D54" s="75"/>
      <c r="E54" s="75"/>
    </row>
    <row r="55">
      <c r="A55" s="113"/>
      <c r="B55" s="113" t="s">
        <v>278</v>
      </c>
      <c r="C55" s="166" t="s">
        <v>279</v>
      </c>
      <c r="D55" s="167">
        <v>3440082.0</v>
      </c>
      <c r="E55" s="170">
        <f>D55*50</f>
        <v>172004100</v>
      </c>
    </row>
    <row r="56">
      <c r="A56" s="74"/>
      <c r="E56" s="75"/>
    </row>
    <row r="57">
      <c r="A57" s="113"/>
      <c r="B57" s="113"/>
      <c r="C57" s="109"/>
      <c r="D57" s="171" t="s">
        <v>282</v>
      </c>
      <c r="E57" s="171" t="s">
        <v>283</v>
      </c>
      <c r="F57" s="171"/>
    </row>
    <row r="58">
      <c r="A58" s="74"/>
      <c r="C58" s="109" t="s">
        <v>284</v>
      </c>
      <c r="D58" s="170">
        <v>1.008740276E8</v>
      </c>
      <c r="E58" s="170">
        <f t="shared" ref="E58:E60" si="2">D58*0.02</f>
        <v>2017480.552</v>
      </c>
      <c r="F58" s="170"/>
    </row>
    <row r="59">
      <c r="A59" s="161"/>
      <c r="B59" s="162"/>
      <c r="C59" s="109" t="s">
        <v>287</v>
      </c>
      <c r="D59" s="170">
        <v>9661414.0</v>
      </c>
      <c r="E59" s="170">
        <f t="shared" si="2"/>
        <v>193228.28</v>
      </c>
      <c r="F59" s="170"/>
    </row>
    <row r="60">
      <c r="A60" s="161"/>
      <c r="B60" s="162"/>
      <c r="C60" s="109" t="s">
        <v>289</v>
      </c>
      <c r="D60" s="170">
        <v>1.6374986000000002E7</v>
      </c>
      <c r="E60" s="170">
        <f t="shared" si="2"/>
        <v>327499.72</v>
      </c>
      <c r="F60" s="170"/>
    </row>
    <row r="61">
      <c r="A61" s="161"/>
      <c r="B61" s="162"/>
      <c r="C61" s="112"/>
      <c r="D61" s="175">
        <f t="shared" ref="D61:E61" si="3">SUM(D58:D60)</f>
        <v>126910427.6</v>
      </c>
      <c r="E61" s="175">
        <f t="shared" si="3"/>
        <v>2538208.552</v>
      </c>
      <c r="F61" s="170"/>
    </row>
    <row r="62">
      <c r="A62" s="161"/>
      <c r="B62" s="162"/>
      <c r="C62" s="75"/>
      <c r="D62" s="75"/>
      <c r="E62" s="75"/>
    </row>
    <row r="63">
      <c r="A63" s="113"/>
      <c r="B63" s="122" t="s">
        <v>171</v>
      </c>
      <c r="C63" s="131" t="s">
        <v>292</v>
      </c>
      <c r="D63" s="75"/>
      <c r="E63" s="75"/>
    </row>
    <row r="64">
      <c r="A64" s="161"/>
      <c r="B64" s="162"/>
      <c r="C64" s="75"/>
      <c r="D64" s="75"/>
      <c r="E64" s="75"/>
    </row>
    <row r="65">
      <c r="A65" s="161"/>
      <c r="B65" s="162"/>
      <c r="C65" s="75"/>
      <c r="D65" s="75"/>
      <c r="E65" s="75"/>
    </row>
    <row r="66">
      <c r="A66" s="161"/>
      <c r="B66" s="162"/>
      <c r="C66" s="75"/>
      <c r="D66" s="75"/>
      <c r="E66" s="75"/>
    </row>
    <row r="67">
      <c r="A67" s="113"/>
      <c r="B67" s="113" t="s">
        <v>297</v>
      </c>
      <c r="C67" s="75"/>
      <c r="D67" s="75"/>
      <c r="E67" s="75"/>
    </row>
    <row r="68">
      <c r="A68" s="161"/>
      <c r="B68" s="162"/>
      <c r="C68" s="75"/>
      <c r="D68" s="75"/>
      <c r="E68" s="75"/>
    </row>
    <row r="69">
      <c r="A69" s="161"/>
      <c r="B69" s="162"/>
      <c r="C69" s="75"/>
      <c r="D69" s="75"/>
      <c r="E69" s="75"/>
    </row>
    <row r="70">
      <c r="A70" s="100">
        <f>MAX($A$7:A69)+1</f>
        <v>5</v>
      </c>
      <c r="B70" s="101" t="s">
        <v>298</v>
      </c>
      <c r="C70" s="102">
        <v>2018.0</v>
      </c>
      <c r="D70" s="102">
        <v>2025.0</v>
      </c>
      <c r="E70" s="177" t="s">
        <v>130</v>
      </c>
      <c r="F70" s="106"/>
    </row>
    <row r="71">
      <c r="A71" s="113"/>
      <c r="B71" s="113"/>
      <c r="C71" s="75"/>
      <c r="D71" s="75"/>
      <c r="E71" s="75"/>
    </row>
    <row r="72">
      <c r="A72" s="113"/>
      <c r="B72" s="113" t="s">
        <v>302</v>
      </c>
      <c r="C72" s="160" t="str">
        <f t="shared" ref="C72:D72" si="4">#REF!</f>
        <v>#REF!</v>
      </c>
      <c r="D72" s="160" t="str">
        <f t="shared" si="4"/>
        <v>#REF!</v>
      </c>
      <c r="E72" s="178" t="str">
        <f t="shared" ref="E72:E73" si="6">D72-C72</f>
        <v>#REF!</v>
      </c>
    </row>
    <row r="73">
      <c r="A73" s="113"/>
      <c r="B73" s="113" t="s">
        <v>307</v>
      </c>
      <c r="C73" s="160" t="str">
        <f t="shared" ref="C73:D73" si="5">#REF!</f>
        <v>#REF!</v>
      </c>
      <c r="D73" s="160" t="str">
        <f t="shared" si="5"/>
        <v>#REF!</v>
      </c>
      <c r="E73" s="178" t="str">
        <f t="shared" si="6"/>
        <v>#REF!</v>
      </c>
    </row>
    <row r="74">
      <c r="A74" s="161"/>
      <c r="B74" s="162"/>
      <c r="C74" s="75"/>
      <c r="D74" s="75"/>
      <c r="E74" s="75"/>
    </row>
    <row r="75">
      <c r="A75" s="161"/>
      <c r="B75" s="162"/>
      <c r="C75" s="75"/>
      <c r="D75" s="75"/>
      <c r="E75" s="75"/>
    </row>
    <row r="76">
      <c r="A76" s="161"/>
      <c r="B76" s="162"/>
      <c r="C76" s="75"/>
      <c r="D76" s="75"/>
      <c r="E76" s="75"/>
    </row>
    <row r="77">
      <c r="A77" s="161"/>
      <c r="B77" s="162"/>
      <c r="C77" s="75"/>
      <c r="D77" s="75"/>
      <c r="E77" s="75"/>
    </row>
    <row r="78">
      <c r="A78" s="100">
        <f>MAX($A$7:A77)+1</f>
        <v>6</v>
      </c>
      <c r="B78" s="101" t="s">
        <v>315</v>
      </c>
      <c r="C78" s="102"/>
      <c r="D78" s="102"/>
      <c r="E78" s="177"/>
      <c r="F78" s="106"/>
      <c r="G78" s="106"/>
    </row>
    <row r="79">
      <c r="A79" s="113">
        <v>1.0</v>
      </c>
      <c r="B79" s="113"/>
      <c r="C79" s="75"/>
      <c r="D79" s="75"/>
      <c r="E79" s="75"/>
    </row>
    <row r="80">
      <c r="A80" s="113"/>
      <c r="B80" s="113" t="s">
        <v>317</v>
      </c>
      <c r="C80" s="171">
        <v>2018.0</v>
      </c>
      <c r="D80" s="179">
        <v>2025.0</v>
      </c>
      <c r="E80" s="160" t="s">
        <v>319</v>
      </c>
    </row>
    <row r="81">
      <c r="A81" s="109"/>
      <c r="B81" s="181" t="s">
        <v>321</v>
      </c>
      <c r="C81" s="182" t="s">
        <v>324</v>
      </c>
      <c r="D81" s="182" t="s">
        <v>325</v>
      </c>
      <c r="E81" s="75"/>
    </row>
    <row r="82">
      <c r="A82" s="109"/>
      <c r="B82" s="181" t="s">
        <v>328</v>
      </c>
      <c r="C82" s="183" t="s">
        <v>331</v>
      </c>
      <c r="D82" s="183" t="s">
        <v>335</v>
      </c>
      <c r="E82" s="75"/>
    </row>
    <row r="83">
      <c r="A83" s="109"/>
      <c r="B83" s="181" t="s">
        <v>338</v>
      </c>
      <c r="C83" s="182" t="s">
        <v>324</v>
      </c>
      <c r="D83" s="182" t="s">
        <v>325</v>
      </c>
      <c r="E83" s="75"/>
    </row>
    <row r="84">
      <c r="A84" s="109"/>
      <c r="B84" s="181" t="s">
        <v>340</v>
      </c>
      <c r="C84" s="183" t="s">
        <v>331</v>
      </c>
      <c r="D84" s="183" t="s">
        <v>335</v>
      </c>
      <c r="E84" s="75"/>
    </row>
    <row r="85">
      <c r="A85" s="109"/>
      <c r="B85" s="181" t="s">
        <v>342</v>
      </c>
      <c r="C85" s="182" t="s">
        <v>324</v>
      </c>
      <c r="D85" s="182" t="s">
        <v>325</v>
      </c>
      <c r="E85" s="75"/>
    </row>
    <row r="86">
      <c r="A86" s="161"/>
      <c r="B86" s="162"/>
      <c r="C86" s="75"/>
      <c r="D86" s="131"/>
      <c r="E86" s="75"/>
    </row>
    <row r="87">
      <c r="A87" s="161"/>
      <c r="B87" s="113" t="s">
        <v>344</v>
      </c>
      <c r="C87" s="160"/>
      <c r="D87" s="131"/>
      <c r="E87" s="75"/>
    </row>
    <row r="88">
      <c r="A88" s="161"/>
      <c r="B88" s="184" t="s">
        <v>346</v>
      </c>
      <c r="C88" s="185" t="s">
        <v>347</v>
      </c>
      <c r="D88" s="185" t="s">
        <v>348</v>
      </c>
      <c r="E88" s="185" t="s">
        <v>349</v>
      </c>
      <c r="F88" s="131" t="s">
        <v>350</v>
      </c>
    </row>
    <row r="89">
      <c r="A89" s="161"/>
      <c r="B89" s="186">
        <v>155.0</v>
      </c>
      <c r="C89" s="187">
        <v>2790.0</v>
      </c>
      <c r="D89" s="188">
        <f t="shared" ref="D89:D90" si="7">C89/B89</f>
        <v>18</v>
      </c>
      <c r="E89" s="190">
        <f t="shared" ref="E89:E90" si="8">C89*120</f>
        <v>334800</v>
      </c>
      <c r="F89" s="204">
        <f>D89/60</f>
        <v>0.3</v>
      </c>
    </row>
    <row r="90">
      <c r="A90" s="161"/>
      <c r="B90" s="186">
        <v>30.0</v>
      </c>
      <c r="C90" s="187">
        <v>900.0</v>
      </c>
      <c r="D90" s="188">
        <f t="shared" si="7"/>
        <v>30</v>
      </c>
      <c r="E90" s="190">
        <f t="shared" si="8"/>
        <v>108000</v>
      </c>
      <c r="F90" s="204">
        <f>D90/100</f>
        <v>0.3</v>
      </c>
    </row>
    <row r="91">
      <c r="A91" s="161"/>
      <c r="B91" s="206"/>
      <c r="C91" s="75"/>
      <c r="D91" s="160"/>
      <c r="F91" s="207" t="s">
        <v>388</v>
      </c>
    </row>
    <row r="92">
      <c r="A92" s="161"/>
      <c r="B92" s="184" t="s">
        <v>390</v>
      </c>
      <c r="C92" s="185" t="s">
        <v>347</v>
      </c>
      <c r="D92" s="185" t="s">
        <v>348</v>
      </c>
      <c r="E92" s="208" t="s">
        <v>391</v>
      </c>
    </row>
    <row r="93">
      <c r="A93" s="161"/>
      <c r="B93" s="186">
        <v>157.0</v>
      </c>
      <c r="C93" s="209">
        <v>3000.0</v>
      </c>
      <c r="D93" s="210">
        <f>3000/100</f>
        <v>30</v>
      </c>
      <c r="E93" s="212">
        <f>11*30*157</f>
        <v>51810</v>
      </c>
    </row>
    <row r="94">
      <c r="A94" s="161"/>
      <c r="B94" s="213"/>
      <c r="C94" s="214" t="s">
        <v>400</v>
      </c>
      <c r="D94" s="215"/>
      <c r="E94" s="217"/>
    </row>
    <row r="95">
      <c r="A95" s="161"/>
      <c r="B95" s="213"/>
      <c r="C95" s="218"/>
      <c r="D95" s="215"/>
      <c r="E95" s="217"/>
    </row>
    <row r="96">
      <c r="A96" s="161"/>
      <c r="B96" s="184" t="s">
        <v>402</v>
      </c>
      <c r="C96" s="185" t="s">
        <v>347</v>
      </c>
      <c r="D96" s="185" t="s">
        <v>348</v>
      </c>
      <c r="E96" s="208" t="s">
        <v>391</v>
      </c>
    </row>
    <row r="97">
      <c r="A97" s="161"/>
      <c r="B97" s="220">
        <v>68.9</v>
      </c>
      <c r="C97" s="221">
        <v>0.0</v>
      </c>
      <c r="D97" s="221">
        <v>0.0</v>
      </c>
      <c r="E97" s="212">
        <f>11*30*157</f>
        <v>51810</v>
      </c>
    </row>
    <row r="98">
      <c r="A98" s="161"/>
      <c r="B98" s="206"/>
      <c r="C98" s="75"/>
      <c r="D98" s="160"/>
      <c r="E98" s="75"/>
    </row>
    <row r="99">
      <c r="A99" s="113">
        <v>2.0</v>
      </c>
      <c r="B99" s="227"/>
      <c r="C99" s="229"/>
      <c r="D99" s="229"/>
      <c r="E99" s="229"/>
      <c r="F99" s="231"/>
    </row>
    <row r="100">
      <c r="A100" s="161"/>
      <c r="B100" s="113" t="s">
        <v>405</v>
      </c>
      <c r="C100" s="75"/>
      <c r="D100" s="75"/>
      <c r="E100" s="75"/>
    </row>
    <row r="101">
      <c r="A101" s="161"/>
      <c r="B101" s="113" t="s">
        <v>407</v>
      </c>
      <c r="C101" s="75"/>
      <c r="D101" s="75"/>
      <c r="E101" s="75"/>
    </row>
    <row r="102">
      <c r="A102" s="161"/>
      <c r="B102" s="113" t="s">
        <v>409</v>
      </c>
      <c r="C102" s="75"/>
      <c r="D102" s="75"/>
      <c r="E102" s="75"/>
    </row>
    <row r="103">
      <c r="A103" s="161"/>
      <c r="B103" s="162"/>
      <c r="C103" s="75"/>
      <c r="D103" s="75"/>
      <c r="E103" s="75"/>
    </row>
    <row r="104">
      <c r="A104" s="161"/>
      <c r="B104" s="162"/>
      <c r="C104" s="75"/>
      <c r="D104" s="75"/>
      <c r="E104" s="75"/>
    </row>
    <row r="105">
      <c r="A105" s="161"/>
      <c r="B105" s="162"/>
      <c r="C105" s="75"/>
      <c r="D105" s="75"/>
      <c r="E105" s="75"/>
    </row>
    <row r="106">
      <c r="A106" s="100">
        <f>MAX($A$7:A105)+1</f>
        <v>7</v>
      </c>
      <c r="B106" s="101" t="s">
        <v>415</v>
      </c>
      <c r="C106" s="102"/>
      <c r="D106" s="102"/>
      <c r="E106" s="177"/>
      <c r="F106" s="106"/>
    </row>
    <row r="107">
      <c r="A107" s="161"/>
      <c r="B107" s="162"/>
      <c r="C107" s="75"/>
      <c r="D107" s="75"/>
      <c r="E107" s="75"/>
    </row>
    <row r="108">
      <c r="A108" s="238"/>
      <c r="B108" s="239" t="s">
        <v>417</v>
      </c>
      <c r="C108" s="240"/>
      <c r="D108" s="140"/>
      <c r="E108" s="241"/>
      <c r="F108" s="241"/>
      <c r="G108" s="140"/>
      <c r="H108" s="140"/>
      <c r="I108" s="243"/>
      <c r="J108" s="244"/>
      <c r="K108" s="245"/>
      <c r="L108" s="246"/>
      <c r="M108" s="140"/>
      <c r="N108" s="248"/>
      <c r="O108" s="248"/>
      <c r="P108" s="248"/>
      <c r="Q108" s="248"/>
      <c r="R108" s="248"/>
      <c r="S108" s="248"/>
      <c r="T108" s="248"/>
      <c r="U108" s="248"/>
      <c r="V108" s="248"/>
      <c r="W108" s="248"/>
    </row>
    <row r="109">
      <c r="A109" s="238"/>
      <c r="B109" s="239" t="s">
        <v>421</v>
      </c>
      <c r="C109" s="240"/>
      <c r="D109" s="140"/>
      <c r="E109" s="241"/>
      <c r="F109" s="241"/>
      <c r="G109" s="140"/>
      <c r="H109" s="140"/>
      <c r="I109" s="243"/>
      <c r="J109" s="244"/>
      <c r="K109" s="245"/>
      <c r="L109" s="246"/>
      <c r="M109" s="140"/>
      <c r="N109" s="248"/>
      <c r="O109" s="248"/>
      <c r="P109" s="248"/>
      <c r="Q109" s="248"/>
      <c r="R109" s="248"/>
      <c r="S109" s="248"/>
      <c r="T109" s="248"/>
      <c r="U109" s="248"/>
      <c r="V109" s="248"/>
      <c r="W109" s="248"/>
    </row>
    <row r="110">
      <c r="A110" s="238"/>
      <c r="B110" s="241"/>
      <c r="C110" s="240"/>
      <c r="D110" s="140"/>
      <c r="E110" s="241"/>
      <c r="F110" s="241"/>
      <c r="G110" s="140"/>
      <c r="H110" s="140"/>
      <c r="I110" s="243"/>
      <c r="J110" s="244"/>
      <c r="K110" s="245"/>
      <c r="L110" s="246"/>
      <c r="M110" s="140"/>
      <c r="N110" s="248"/>
      <c r="O110" s="248"/>
      <c r="P110" s="248"/>
      <c r="Q110" s="248"/>
      <c r="R110" s="248"/>
      <c r="S110" s="248"/>
      <c r="T110" s="248"/>
      <c r="U110" s="248"/>
      <c r="V110" s="248"/>
      <c r="W110" s="248"/>
    </row>
    <row r="111">
      <c r="A111" s="255" t="s">
        <v>199</v>
      </c>
      <c r="B111" s="257" t="s">
        <v>200</v>
      </c>
      <c r="C111" s="259">
        <v>3.0</v>
      </c>
      <c r="D111" s="261">
        <v>952004.0</v>
      </c>
      <c r="E111" s="262">
        <v>-952004.0</v>
      </c>
      <c r="F111" s="262"/>
      <c r="G111" s="140"/>
      <c r="H111" s="140"/>
      <c r="I111" s="243"/>
      <c r="J111" s="244"/>
      <c r="K111" s="245"/>
      <c r="L111" s="246"/>
      <c r="M111" s="140"/>
      <c r="N111" s="248"/>
      <c r="O111" s="248"/>
      <c r="P111" s="248"/>
      <c r="Q111" s="248"/>
      <c r="R111" s="248"/>
      <c r="S111" s="248"/>
      <c r="T111" s="248"/>
      <c r="U111" s="248"/>
      <c r="V111" s="248"/>
      <c r="W111" s="248"/>
    </row>
    <row r="112">
      <c r="A112" s="264" t="s">
        <v>423</v>
      </c>
      <c r="B112" s="265" t="s">
        <v>424</v>
      </c>
      <c r="C112" s="266">
        <v>244000.0</v>
      </c>
      <c r="D112" s="267"/>
      <c r="E112" s="244" t="s">
        <v>426</v>
      </c>
      <c r="F112" s="244" t="s">
        <v>427</v>
      </c>
      <c r="G112" s="99"/>
      <c r="H112" s="140"/>
      <c r="I112" s="93"/>
      <c r="J112" s="269"/>
      <c r="K112" s="93"/>
      <c r="L112" s="270"/>
      <c r="M112" s="99"/>
    </row>
    <row r="113">
      <c r="A113" s="264" t="s">
        <v>429</v>
      </c>
      <c r="B113" s="265" t="s">
        <v>430</v>
      </c>
      <c r="C113" s="266">
        <v>233000.0</v>
      </c>
      <c r="D113" s="267"/>
      <c r="E113" s="244" t="s">
        <v>426</v>
      </c>
      <c r="F113" s="244" t="s">
        <v>427</v>
      </c>
      <c r="G113" s="99"/>
      <c r="H113" s="140"/>
      <c r="I113" s="93"/>
      <c r="J113" s="269"/>
      <c r="K113" s="93"/>
      <c r="L113" s="270"/>
      <c r="M113" s="99"/>
    </row>
    <row r="114">
      <c r="A114" s="264" t="s">
        <v>431</v>
      </c>
      <c r="B114" s="265" t="s">
        <v>432</v>
      </c>
      <c r="C114" s="266">
        <v>253000.0</v>
      </c>
      <c r="D114" s="267"/>
      <c r="E114" s="244" t="s">
        <v>426</v>
      </c>
      <c r="F114" s="244" t="s">
        <v>427</v>
      </c>
      <c r="G114" s="99"/>
      <c r="H114" s="140"/>
      <c r="I114" s="93"/>
      <c r="J114" s="269"/>
      <c r="K114" s="93"/>
      <c r="L114" s="270"/>
      <c r="M114" s="99"/>
    </row>
    <row r="115">
      <c r="A115" s="255" t="s">
        <v>204</v>
      </c>
      <c r="B115" s="257" t="s">
        <v>205</v>
      </c>
      <c r="C115" s="259">
        <v>1.0</v>
      </c>
      <c r="D115" s="261">
        <v>131000.0</v>
      </c>
      <c r="E115" s="262">
        <v>-131000.0</v>
      </c>
      <c r="F115" s="262"/>
      <c r="G115" s="140"/>
      <c r="H115" s="140"/>
      <c r="I115" s="243"/>
      <c r="J115" s="244"/>
      <c r="K115" s="245"/>
      <c r="L115" s="246"/>
      <c r="M115" s="140"/>
      <c r="N115" s="248"/>
      <c r="O115" s="248"/>
      <c r="P115" s="248"/>
      <c r="Q115" s="248"/>
      <c r="R115" s="248"/>
      <c r="S115" s="248"/>
      <c r="T115" s="248"/>
      <c r="U115" s="248"/>
      <c r="V115" s="248"/>
      <c r="W115" s="248"/>
    </row>
    <row r="116">
      <c r="A116" s="273" t="s">
        <v>434</v>
      </c>
      <c r="B116" s="274" t="s">
        <v>435</v>
      </c>
      <c r="C116" s="266">
        <v>131000.0</v>
      </c>
      <c r="D116" s="267"/>
      <c r="E116" s="140" t="s">
        <v>426</v>
      </c>
      <c r="F116" s="244" t="s">
        <v>427</v>
      </c>
      <c r="G116" s="140"/>
      <c r="H116" s="140"/>
      <c r="I116" s="99"/>
      <c r="J116" s="267"/>
      <c r="K116" s="275"/>
      <c r="L116" s="270"/>
      <c r="M116" s="140"/>
    </row>
    <row r="117">
      <c r="A117" s="255" t="s">
        <v>208</v>
      </c>
      <c r="B117" s="257" t="s">
        <v>210</v>
      </c>
      <c r="C117" s="259">
        <v>2.0</v>
      </c>
      <c r="D117" s="261">
        <v>335000.0</v>
      </c>
      <c r="E117" s="262">
        <v>-335000.0</v>
      </c>
      <c r="F117" s="262"/>
      <c r="G117" s="140"/>
      <c r="H117" s="140"/>
      <c r="I117" s="243"/>
      <c r="J117" s="244"/>
      <c r="K117" s="245"/>
      <c r="L117" s="246"/>
      <c r="M117" s="140"/>
      <c r="N117" s="248"/>
      <c r="O117" s="248"/>
      <c r="P117" s="248"/>
      <c r="Q117" s="248"/>
      <c r="R117" s="248"/>
      <c r="S117" s="248"/>
      <c r="T117" s="248"/>
      <c r="U117" s="248"/>
      <c r="V117" s="248"/>
      <c r="W117" s="248"/>
    </row>
    <row r="118">
      <c r="A118" s="264" t="s">
        <v>436</v>
      </c>
      <c r="B118" s="265" t="s">
        <v>437</v>
      </c>
      <c r="C118" s="266">
        <v>170000.0</v>
      </c>
      <c r="D118" s="267"/>
      <c r="E118" s="244" t="s">
        <v>426</v>
      </c>
      <c r="F118" s="244" t="s">
        <v>438</v>
      </c>
      <c r="G118" s="99"/>
      <c r="H118" s="140"/>
      <c r="I118" s="93"/>
      <c r="J118" s="269"/>
      <c r="K118" s="93"/>
      <c r="L118" s="270"/>
      <c r="M118" s="99"/>
    </row>
    <row r="119">
      <c r="A119" s="264" t="s">
        <v>439</v>
      </c>
      <c r="B119" s="265" t="s">
        <v>440</v>
      </c>
      <c r="C119" s="266">
        <v>165000.0</v>
      </c>
      <c r="D119" s="267"/>
      <c r="E119" s="244" t="s">
        <v>426</v>
      </c>
      <c r="F119" s="244" t="s">
        <v>438</v>
      </c>
      <c r="G119" s="99"/>
      <c r="H119" s="140"/>
      <c r="I119" s="93"/>
      <c r="J119" s="269"/>
      <c r="K119" s="93"/>
      <c r="L119" s="270"/>
      <c r="M119" s="99"/>
    </row>
    <row r="120">
      <c r="A120" s="255" t="s">
        <v>218</v>
      </c>
      <c r="B120" s="257" t="s">
        <v>219</v>
      </c>
      <c r="C120" s="259">
        <v>1.0</v>
      </c>
      <c r="D120" s="261">
        <v>1125000.0</v>
      </c>
      <c r="E120" s="262">
        <v>-1125000.0</v>
      </c>
      <c r="F120" s="262"/>
      <c r="G120" s="140"/>
      <c r="H120" s="140"/>
      <c r="I120" s="243"/>
      <c r="J120" s="244"/>
      <c r="K120" s="245"/>
      <c r="L120" s="246"/>
      <c r="M120" s="140"/>
      <c r="N120" s="248"/>
      <c r="O120" s="248"/>
      <c r="P120" s="248"/>
      <c r="Q120" s="248"/>
      <c r="R120" s="248"/>
      <c r="S120" s="248"/>
      <c r="T120" s="248"/>
      <c r="U120" s="248"/>
      <c r="V120" s="248"/>
      <c r="W120" s="248"/>
    </row>
    <row r="121">
      <c r="A121" s="264" t="s">
        <v>441</v>
      </c>
      <c r="B121" s="265" t="s">
        <v>442</v>
      </c>
      <c r="C121" s="266">
        <v>1125000.0</v>
      </c>
      <c r="D121" s="267"/>
      <c r="E121" s="244" t="s">
        <v>426</v>
      </c>
      <c r="F121" s="244" t="s">
        <v>443</v>
      </c>
      <c r="G121" s="99"/>
      <c r="H121" s="140"/>
      <c r="I121" s="93"/>
      <c r="J121" s="269"/>
      <c r="K121" s="93"/>
      <c r="L121" s="270"/>
      <c r="M121" s="99"/>
    </row>
    <row r="122">
      <c r="A122" s="161"/>
      <c r="B122" s="162"/>
      <c r="C122" s="75"/>
      <c r="D122" s="75"/>
      <c r="E122" s="75"/>
    </row>
    <row r="123">
      <c r="A123" s="161"/>
      <c r="B123" s="162"/>
      <c r="C123" s="75"/>
      <c r="D123" s="75"/>
      <c r="E123" s="75"/>
    </row>
    <row r="124">
      <c r="A124" s="161"/>
      <c r="B124" s="162"/>
      <c r="C124" s="75"/>
      <c r="D124" s="75"/>
      <c r="E124" s="75"/>
    </row>
    <row r="125">
      <c r="A125" s="100">
        <f>MAX($A$7:A124)+1</f>
        <v>8</v>
      </c>
      <c r="B125" s="101" t="s">
        <v>444</v>
      </c>
      <c r="C125" s="102"/>
      <c r="D125" s="102"/>
      <c r="E125" s="177"/>
      <c r="F125" s="106"/>
    </row>
    <row r="126">
      <c r="A126" s="161"/>
      <c r="B126" s="162"/>
      <c r="C126" s="75"/>
      <c r="D126" s="75"/>
      <c r="E126" s="75"/>
    </row>
    <row r="127">
      <c r="A127" s="161"/>
      <c r="B127" s="109" t="s">
        <v>445</v>
      </c>
      <c r="C127" s="189"/>
      <c r="D127" s="189"/>
      <c r="E127" s="189"/>
    </row>
    <row r="128">
      <c r="A128" s="161"/>
      <c r="B128" s="109" t="s">
        <v>446</v>
      </c>
      <c r="C128" s="189"/>
      <c r="D128" s="189"/>
      <c r="E128" s="189"/>
    </row>
    <row r="129">
      <c r="A129" s="277"/>
      <c r="B129" s="75"/>
      <c r="C129" s="278"/>
      <c r="D129" s="278"/>
      <c r="E129" s="278"/>
      <c r="F129" s="75"/>
      <c r="G129" s="75"/>
      <c r="H129" s="75"/>
      <c r="I129" s="75"/>
      <c r="J129" s="75"/>
      <c r="K129" s="75"/>
      <c r="L129" s="75"/>
      <c r="M129" s="75"/>
      <c r="N129" s="75"/>
      <c r="O129" s="75"/>
      <c r="P129" s="75"/>
      <c r="Q129" s="75"/>
      <c r="R129" s="75"/>
      <c r="S129" s="75"/>
      <c r="T129" s="75"/>
      <c r="U129" s="75"/>
      <c r="V129" s="75"/>
      <c r="W129" s="75"/>
    </row>
    <row r="130">
      <c r="A130" s="277"/>
      <c r="B130" s="109" t="s">
        <v>379</v>
      </c>
      <c r="C130" s="279">
        <v>832951.258</v>
      </c>
      <c r="D130" s="278"/>
      <c r="E130" s="278"/>
      <c r="F130" s="171"/>
      <c r="G130" s="75"/>
      <c r="H130" s="75"/>
      <c r="I130" s="75"/>
      <c r="J130" s="75"/>
      <c r="K130" s="75"/>
      <c r="L130" s="75"/>
      <c r="M130" s="75"/>
      <c r="N130" s="75"/>
      <c r="O130" s="75"/>
      <c r="P130" s="75"/>
      <c r="Q130" s="75"/>
      <c r="R130" s="75"/>
      <c r="S130" s="75"/>
      <c r="T130" s="75"/>
      <c r="U130" s="75"/>
      <c r="V130" s="75"/>
      <c r="W130" s="75"/>
    </row>
    <row r="131">
      <c r="A131" s="277"/>
      <c r="B131" s="109" t="s">
        <v>447</v>
      </c>
      <c r="C131" s="281">
        <v>7.996332077E7</v>
      </c>
      <c r="D131" s="278"/>
      <c r="E131" s="278"/>
      <c r="F131" s="171"/>
      <c r="G131" s="75"/>
      <c r="H131" s="75"/>
      <c r="I131" s="75"/>
      <c r="J131" s="75"/>
      <c r="K131" s="75"/>
      <c r="L131" s="75"/>
      <c r="M131" s="75"/>
      <c r="N131" s="75"/>
      <c r="O131" s="75"/>
      <c r="P131" s="75"/>
      <c r="Q131" s="75"/>
      <c r="R131" s="75"/>
      <c r="S131" s="75"/>
      <c r="T131" s="75"/>
      <c r="U131" s="75"/>
      <c r="V131" s="75"/>
      <c r="W131" s="75"/>
    </row>
    <row r="132">
      <c r="A132" s="277"/>
      <c r="B132" s="112"/>
      <c r="C132" s="278"/>
      <c r="D132" s="278"/>
      <c r="E132" s="278"/>
      <c r="F132" s="171"/>
      <c r="G132" s="75"/>
      <c r="H132" s="75"/>
      <c r="I132" s="75"/>
      <c r="J132" s="75"/>
      <c r="K132" s="75"/>
      <c r="L132" s="75"/>
      <c r="M132" s="75"/>
      <c r="N132" s="75"/>
      <c r="O132" s="75"/>
      <c r="P132" s="75"/>
      <c r="Q132" s="75"/>
      <c r="R132" s="75"/>
      <c r="S132" s="75"/>
      <c r="T132" s="75"/>
      <c r="U132" s="75"/>
      <c r="V132" s="75"/>
      <c r="W132" s="75"/>
    </row>
    <row r="133">
      <c r="A133" s="277"/>
      <c r="B133" s="112"/>
      <c r="C133" s="278"/>
      <c r="D133" s="278"/>
      <c r="E133" s="278"/>
      <c r="F133" s="171"/>
      <c r="G133" s="75"/>
      <c r="H133" s="75"/>
      <c r="I133" s="75"/>
      <c r="J133" s="75"/>
      <c r="K133" s="75"/>
      <c r="L133" s="75"/>
      <c r="M133" s="75"/>
      <c r="N133" s="75"/>
      <c r="O133" s="75"/>
      <c r="P133" s="75"/>
      <c r="Q133" s="75"/>
      <c r="R133" s="75"/>
      <c r="S133" s="75"/>
      <c r="T133" s="75"/>
      <c r="U133" s="75"/>
      <c r="V133" s="75"/>
      <c r="W133" s="75"/>
    </row>
    <row r="134">
      <c r="A134" s="277"/>
      <c r="B134" s="75"/>
      <c r="C134" s="286" t="s">
        <v>352</v>
      </c>
      <c r="D134" s="287" t="s">
        <v>353</v>
      </c>
      <c r="E134" s="287" t="s">
        <v>302</v>
      </c>
      <c r="F134" s="208" t="s">
        <v>449</v>
      </c>
      <c r="G134" s="75"/>
      <c r="H134" s="75"/>
      <c r="I134" s="75"/>
      <c r="J134" s="75"/>
      <c r="K134" s="75"/>
      <c r="L134" s="75"/>
      <c r="M134" s="75"/>
      <c r="N134" s="75"/>
      <c r="O134" s="75"/>
      <c r="P134" s="75"/>
      <c r="Q134" s="75"/>
      <c r="R134" s="75"/>
      <c r="S134" s="75"/>
      <c r="T134" s="75"/>
      <c r="U134" s="75"/>
      <c r="V134" s="75"/>
      <c r="W134" s="75"/>
    </row>
    <row r="135">
      <c r="A135" s="277"/>
      <c r="B135" s="191">
        <v>45108.0</v>
      </c>
      <c r="C135" s="288">
        <v>1165697.89</v>
      </c>
      <c r="D135" s="289">
        <v>170937.95</v>
      </c>
      <c r="E135" s="289">
        <v>14885.25</v>
      </c>
      <c r="F135" s="292">
        <f t="shared" ref="F135:F149" si="9">SUM(C135:E135)</f>
        <v>1351521.09</v>
      </c>
      <c r="G135" s="75"/>
      <c r="H135" s="75"/>
      <c r="I135" s="75"/>
      <c r="J135" s="75"/>
      <c r="K135" s="75"/>
      <c r="L135" s="75"/>
      <c r="M135" s="75"/>
      <c r="N135" s="75"/>
      <c r="O135" s="75"/>
      <c r="P135" s="75"/>
      <c r="Q135" s="75"/>
      <c r="R135" s="75"/>
      <c r="S135" s="75"/>
      <c r="T135" s="75"/>
      <c r="U135" s="75"/>
      <c r="V135" s="75"/>
      <c r="W135" s="75"/>
    </row>
    <row r="136">
      <c r="A136" s="277"/>
      <c r="B136" s="109" t="s">
        <v>362</v>
      </c>
      <c r="C136" s="295">
        <v>668125.99</v>
      </c>
      <c r="D136" s="297">
        <v>183210.32</v>
      </c>
      <c r="E136" s="297">
        <v>4275.02</v>
      </c>
      <c r="F136" s="298">
        <f t="shared" si="9"/>
        <v>855611.33</v>
      </c>
      <c r="G136" s="75"/>
      <c r="H136" s="75"/>
      <c r="I136" s="75"/>
      <c r="J136" s="75"/>
      <c r="K136" s="75"/>
      <c r="L136" s="75"/>
      <c r="M136" s="75"/>
      <c r="N136" s="75"/>
      <c r="O136" s="75"/>
      <c r="P136" s="75"/>
      <c r="Q136" s="75"/>
      <c r="R136" s="75"/>
      <c r="S136" s="75"/>
      <c r="T136" s="75"/>
      <c r="U136" s="75"/>
      <c r="V136" s="75"/>
      <c r="W136" s="75"/>
    </row>
    <row r="137">
      <c r="A137" s="277"/>
      <c r="B137" s="109" t="s">
        <v>363</v>
      </c>
      <c r="C137" s="295">
        <v>707103.09</v>
      </c>
      <c r="D137" s="297">
        <v>193804.09</v>
      </c>
      <c r="E137" s="297">
        <v>4933.15</v>
      </c>
      <c r="F137" s="298">
        <f t="shared" si="9"/>
        <v>905840.33</v>
      </c>
      <c r="G137" s="75"/>
      <c r="H137" s="75"/>
      <c r="I137" s="75"/>
      <c r="J137" s="75"/>
      <c r="K137" s="75"/>
      <c r="L137" s="75"/>
      <c r="M137" s="75"/>
      <c r="N137" s="75"/>
      <c r="O137" s="75"/>
      <c r="P137" s="75"/>
      <c r="Q137" s="75"/>
      <c r="R137" s="75"/>
      <c r="S137" s="75"/>
      <c r="T137" s="75"/>
      <c r="U137" s="75"/>
      <c r="V137" s="75"/>
      <c r="W137" s="75"/>
    </row>
    <row r="138">
      <c r="A138" s="277"/>
      <c r="B138" s="109" t="s">
        <v>364</v>
      </c>
      <c r="C138" s="295">
        <v>385521.64</v>
      </c>
      <c r="D138" s="297">
        <v>157363.96</v>
      </c>
      <c r="E138" s="297">
        <v>3790.28</v>
      </c>
      <c r="F138" s="298">
        <f t="shared" si="9"/>
        <v>546675.88</v>
      </c>
      <c r="G138" s="75"/>
      <c r="H138" s="75"/>
      <c r="I138" s="75"/>
      <c r="J138" s="75"/>
      <c r="K138" s="75"/>
      <c r="L138" s="75"/>
      <c r="M138" s="75"/>
      <c r="N138" s="75"/>
      <c r="O138" s="75"/>
      <c r="P138" s="75"/>
      <c r="Q138" s="75"/>
      <c r="R138" s="75"/>
      <c r="S138" s="75"/>
      <c r="T138" s="75"/>
      <c r="U138" s="75"/>
      <c r="V138" s="75"/>
      <c r="W138" s="75"/>
    </row>
    <row r="139">
      <c r="A139" s="277"/>
      <c r="B139" s="191">
        <v>45231.0</v>
      </c>
      <c r="C139" s="295">
        <v>666440.05</v>
      </c>
      <c r="D139" s="297">
        <v>154753.09</v>
      </c>
      <c r="E139" s="297">
        <v>4056.08</v>
      </c>
      <c r="F139" s="298">
        <f t="shared" si="9"/>
        <v>825249.22</v>
      </c>
      <c r="G139" s="75"/>
      <c r="H139" s="75"/>
      <c r="I139" s="75"/>
      <c r="J139" s="75"/>
      <c r="K139" s="75"/>
      <c r="L139" s="75"/>
      <c r="M139" s="75"/>
      <c r="N139" s="75"/>
      <c r="O139" s="75"/>
      <c r="P139" s="75"/>
      <c r="Q139" s="75"/>
      <c r="R139" s="75"/>
      <c r="S139" s="75"/>
      <c r="T139" s="75"/>
      <c r="U139" s="75"/>
      <c r="V139" s="75"/>
      <c r="W139" s="75"/>
    </row>
    <row r="140">
      <c r="A140" s="277"/>
      <c r="B140" s="109" t="s">
        <v>366</v>
      </c>
      <c r="C140" s="295">
        <v>1022872.59</v>
      </c>
      <c r="D140" s="297">
        <v>216221.5</v>
      </c>
      <c r="E140" s="297">
        <v>3840.28</v>
      </c>
      <c r="F140" s="298">
        <f t="shared" si="9"/>
        <v>1242934.37</v>
      </c>
      <c r="G140" s="75"/>
      <c r="H140" s="75"/>
      <c r="I140" s="75"/>
      <c r="J140" s="75"/>
      <c r="K140" s="75"/>
      <c r="L140" s="75"/>
      <c r="M140" s="75"/>
      <c r="N140" s="75"/>
      <c r="O140" s="75"/>
      <c r="P140" s="75"/>
      <c r="Q140" s="75"/>
      <c r="R140" s="75"/>
      <c r="S140" s="75"/>
      <c r="T140" s="75"/>
      <c r="U140" s="75"/>
      <c r="V140" s="75"/>
      <c r="W140" s="75"/>
    </row>
    <row r="141">
      <c r="A141" s="277"/>
      <c r="B141" s="191">
        <v>45292.0</v>
      </c>
      <c r="C141" s="295">
        <v>343100.52</v>
      </c>
      <c r="D141" s="297">
        <v>154069.3</v>
      </c>
      <c r="E141" s="297">
        <v>3812.25</v>
      </c>
      <c r="F141" s="298">
        <f t="shared" si="9"/>
        <v>500982.07</v>
      </c>
      <c r="G141" s="75"/>
      <c r="H141" s="75"/>
      <c r="I141" s="75"/>
      <c r="J141" s="75"/>
      <c r="K141" s="75"/>
      <c r="L141" s="75"/>
      <c r="M141" s="75"/>
      <c r="N141" s="75"/>
      <c r="O141" s="75"/>
      <c r="P141" s="75"/>
      <c r="Q141" s="75"/>
      <c r="R141" s="75"/>
      <c r="S141" s="75"/>
      <c r="T141" s="75"/>
      <c r="U141" s="75"/>
      <c r="V141" s="75"/>
      <c r="W141" s="75"/>
    </row>
    <row r="142">
      <c r="A142" s="277"/>
      <c r="B142" s="109" t="s">
        <v>367</v>
      </c>
      <c r="C142" s="295">
        <v>295923.8</v>
      </c>
      <c r="D142" s="297">
        <v>158589.35</v>
      </c>
      <c r="E142" s="297">
        <v>5319.73</v>
      </c>
      <c r="F142" s="298">
        <f t="shared" si="9"/>
        <v>459832.88</v>
      </c>
      <c r="G142" s="75"/>
      <c r="H142" s="75"/>
      <c r="I142" s="75"/>
      <c r="J142" s="75"/>
      <c r="K142" s="75"/>
      <c r="L142" s="75"/>
      <c r="M142" s="75"/>
      <c r="N142" s="75"/>
      <c r="O142" s="75"/>
      <c r="P142" s="75"/>
      <c r="Q142" s="75"/>
      <c r="R142" s="75"/>
      <c r="S142" s="75"/>
      <c r="T142" s="75"/>
      <c r="U142" s="75"/>
      <c r="V142" s="75"/>
      <c r="W142" s="75"/>
    </row>
    <row r="143">
      <c r="A143" s="277"/>
      <c r="B143" s="191">
        <v>45352.0</v>
      </c>
      <c r="C143" s="295">
        <v>674950.76</v>
      </c>
      <c r="D143" s="297">
        <v>148559.03</v>
      </c>
      <c r="E143" s="297">
        <v>5867.78</v>
      </c>
      <c r="F143" s="298">
        <f t="shared" si="9"/>
        <v>829377.57</v>
      </c>
      <c r="G143" s="75"/>
      <c r="H143" s="75"/>
      <c r="I143" s="75"/>
      <c r="J143" s="75"/>
      <c r="K143" s="75"/>
      <c r="L143" s="75"/>
      <c r="M143" s="75"/>
      <c r="N143" s="75"/>
      <c r="O143" s="75"/>
      <c r="P143" s="75"/>
      <c r="Q143" s="75"/>
      <c r="R143" s="75"/>
      <c r="S143" s="75"/>
      <c r="T143" s="75"/>
      <c r="U143" s="75"/>
      <c r="V143" s="75"/>
      <c r="W143" s="75"/>
    </row>
    <row r="144">
      <c r="A144" s="277"/>
      <c r="B144" s="109" t="s">
        <v>368</v>
      </c>
      <c r="C144" s="295">
        <v>881710.16</v>
      </c>
      <c r="D144" s="297">
        <v>168891.18</v>
      </c>
      <c r="E144" s="297">
        <v>7283.77</v>
      </c>
      <c r="F144" s="298">
        <f t="shared" si="9"/>
        <v>1057885.11</v>
      </c>
      <c r="G144" s="75"/>
      <c r="H144" s="75"/>
      <c r="I144" s="75"/>
      <c r="J144" s="75"/>
      <c r="K144" s="75"/>
      <c r="L144" s="75"/>
      <c r="M144" s="75"/>
      <c r="N144" s="75"/>
      <c r="O144" s="75"/>
      <c r="P144" s="75"/>
      <c r="Q144" s="75"/>
      <c r="R144" s="75"/>
      <c r="S144" s="75"/>
      <c r="T144" s="75"/>
      <c r="U144" s="75"/>
      <c r="V144" s="75"/>
      <c r="W144" s="75"/>
    </row>
    <row r="145">
      <c r="A145" s="277"/>
      <c r="B145" s="109" t="s">
        <v>370</v>
      </c>
      <c r="C145" s="295">
        <v>824089.36</v>
      </c>
      <c r="D145" s="297">
        <v>148233.29</v>
      </c>
      <c r="E145" s="297">
        <v>7726.51</v>
      </c>
      <c r="F145" s="298">
        <f t="shared" si="9"/>
        <v>980049.16</v>
      </c>
      <c r="G145" s="75"/>
      <c r="H145" s="75"/>
      <c r="I145" s="75"/>
      <c r="J145" s="75"/>
      <c r="K145" s="75"/>
      <c r="L145" s="75"/>
      <c r="M145" s="75"/>
      <c r="N145" s="75"/>
      <c r="O145" s="75"/>
      <c r="P145" s="75"/>
      <c r="Q145" s="75"/>
      <c r="R145" s="75"/>
      <c r="S145" s="75"/>
      <c r="T145" s="75"/>
      <c r="U145" s="75"/>
      <c r="V145" s="75"/>
      <c r="W145" s="75"/>
    </row>
    <row r="146">
      <c r="A146" s="277"/>
      <c r="B146" s="191">
        <v>45444.0</v>
      </c>
      <c r="C146" s="295">
        <v>472050.79</v>
      </c>
      <c r="D146" s="297">
        <v>142941.11</v>
      </c>
      <c r="E146" s="297">
        <v>5867.77</v>
      </c>
      <c r="F146" s="298">
        <f t="shared" si="9"/>
        <v>620859.67</v>
      </c>
      <c r="G146" s="75"/>
      <c r="H146" s="75"/>
      <c r="I146" s="75"/>
      <c r="J146" s="75"/>
      <c r="K146" s="75"/>
      <c r="L146" s="75"/>
      <c r="M146" s="75"/>
      <c r="N146" s="75"/>
      <c r="O146" s="75"/>
      <c r="P146" s="75"/>
      <c r="Q146" s="75"/>
      <c r="R146" s="75"/>
      <c r="S146" s="75"/>
      <c r="T146" s="75"/>
      <c r="U146" s="75"/>
      <c r="V146" s="75"/>
      <c r="W146" s="75"/>
    </row>
    <row r="147">
      <c r="A147" s="277"/>
      <c r="B147" s="191">
        <v>45474.0</v>
      </c>
      <c r="C147" s="295">
        <v>425155.67</v>
      </c>
      <c r="D147" s="297">
        <v>175646.25</v>
      </c>
      <c r="E147" s="297">
        <v>5090.89</v>
      </c>
      <c r="F147" s="298">
        <f t="shared" si="9"/>
        <v>605892.81</v>
      </c>
      <c r="G147" s="75"/>
      <c r="H147" s="75"/>
      <c r="I147" s="75"/>
      <c r="J147" s="75"/>
      <c r="K147" s="75"/>
      <c r="L147" s="75"/>
      <c r="M147" s="75"/>
      <c r="N147" s="75"/>
      <c r="O147" s="75"/>
      <c r="P147" s="75"/>
      <c r="Q147" s="75"/>
      <c r="R147" s="75"/>
      <c r="S147" s="75"/>
      <c r="T147" s="75"/>
      <c r="U147" s="75"/>
      <c r="V147" s="75"/>
      <c r="W147" s="75"/>
    </row>
    <row r="148">
      <c r="A148" s="277"/>
      <c r="B148" s="109" t="s">
        <v>371</v>
      </c>
      <c r="C148" s="295">
        <v>539462.61</v>
      </c>
      <c r="D148" s="297">
        <v>194956.31</v>
      </c>
      <c r="E148" s="297">
        <v>4933.16</v>
      </c>
      <c r="F148" s="298">
        <f t="shared" si="9"/>
        <v>739352.08</v>
      </c>
      <c r="G148" s="75"/>
      <c r="H148" s="75"/>
      <c r="I148" s="75"/>
      <c r="J148" s="75"/>
      <c r="K148" s="75"/>
      <c r="L148" s="75"/>
      <c r="M148" s="75"/>
      <c r="N148" s="75"/>
      <c r="O148" s="75"/>
      <c r="P148" s="75"/>
      <c r="Q148" s="75"/>
      <c r="R148" s="75"/>
      <c r="S148" s="75"/>
      <c r="T148" s="75"/>
      <c r="U148" s="75"/>
      <c r="V148" s="75"/>
      <c r="W148" s="75"/>
    </row>
    <row r="149">
      <c r="A149" s="277"/>
      <c r="B149" s="109" t="s">
        <v>374</v>
      </c>
      <c r="C149" s="310">
        <v>805019.42</v>
      </c>
      <c r="D149" s="311">
        <v>162235.91</v>
      </c>
      <c r="E149" s="311">
        <v>4949.97</v>
      </c>
      <c r="F149" s="312">
        <f t="shared" si="9"/>
        <v>972205.3</v>
      </c>
      <c r="G149" s="75"/>
      <c r="H149" s="75"/>
      <c r="I149" s="75"/>
      <c r="J149" s="75"/>
      <c r="K149" s="75"/>
      <c r="L149" s="75"/>
      <c r="M149" s="75"/>
      <c r="N149" s="75"/>
      <c r="O149" s="75"/>
      <c r="P149" s="75"/>
      <c r="Q149" s="75"/>
      <c r="R149" s="75"/>
      <c r="S149" s="75"/>
      <c r="T149" s="75"/>
      <c r="U149" s="75"/>
      <c r="V149" s="75"/>
      <c r="W149" s="75"/>
    </row>
    <row r="150">
      <c r="A150" s="277"/>
      <c r="B150" s="75"/>
      <c r="C150" s="313"/>
      <c r="D150" s="313"/>
      <c r="E150" s="313"/>
      <c r="F150" s="314" t="s">
        <v>451</v>
      </c>
      <c r="G150" s="75"/>
      <c r="H150" s="75"/>
      <c r="I150" s="75"/>
      <c r="J150" s="75"/>
      <c r="K150" s="75"/>
      <c r="L150" s="75"/>
      <c r="M150" s="75"/>
      <c r="N150" s="75"/>
      <c r="O150" s="75"/>
      <c r="P150" s="75"/>
      <c r="Q150" s="75"/>
      <c r="R150" s="75"/>
      <c r="S150" s="75"/>
      <c r="T150" s="75"/>
      <c r="U150" s="75"/>
      <c r="V150" s="75"/>
      <c r="W150" s="75"/>
    </row>
    <row r="151">
      <c r="A151" s="277"/>
      <c r="B151" s="75"/>
      <c r="C151" s="313"/>
      <c r="D151" s="313"/>
      <c r="E151" s="313"/>
      <c r="F151" s="315">
        <f>SUM(F135:F149)/COUNT(F135:F149)</f>
        <v>832951.258</v>
      </c>
      <c r="G151" s="75"/>
      <c r="H151" s="75"/>
      <c r="I151" s="75"/>
      <c r="J151" s="75"/>
      <c r="K151" s="75"/>
      <c r="L151" s="75"/>
      <c r="M151" s="75"/>
      <c r="N151" s="75"/>
      <c r="O151" s="75"/>
      <c r="P151" s="75"/>
      <c r="Q151" s="75"/>
      <c r="R151" s="75"/>
      <c r="S151" s="75"/>
      <c r="T151" s="75"/>
      <c r="U151" s="75"/>
      <c r="V151" s="75"/>
      <c r="W151" s="75"/>
    </row>
    <row r="152">
      <c r="A152" s="277"/>
      <c r="B152" s="75"/>
      <c r="C152" s="313">
        <f>B152*F151</f>
        <v>0</v>
      </c>
      <c r="D152" s="313"/>
      <c r="E152" s="313"/>
      <c r="F152" s="75"/>
      <c r="G152" s="75"/>
      <c r="H152" s="75"/>
      <c r="I152" s="75"/>
      <c r="J152" s="75"/>
      <c r="K152" s="75"/>
      <c r="L152" s="75"/>
      <c r="M152" s="75"/>
      <c r="N152" s="75"/>
      <c r="O152" s="75"/>
      <c r="P152" s="75"/>
      <c r="Q152" s="75"/>
      <c r="R152" s="75"/>
      <c r="S152" s="75"/>
      <c r="T152" s="75"/>
      <c r="U152" s="75"/>
      <c r="V152" s="75"/>
      <c r="W152" s="75"/>
    </row>
    <row r="153">
      <c r="A153" s="161"/>
      <c r="B153" s="162"/>
      <c r="C153" s="75"/>
      <c r="D153" s="75"/>
      <c r="E153" s="75"/>
    </row>
    <row r="154">
      <c r="A154" s="161"/>
      <c r="B154" s="162"/>
      <c r="C154" s="75"/>
      <c r="D154" s="75"/>
      <c r="E154" s="75"/>
    </row>
    <row r="155">
      <c r="A155" s="100">
        <f>MAX($A$7:A154)+1</f>
        <v>9</v>
      </c>
      <c r="B155" s="101" t="s">
        <v>452</v>
      </c>
      <c r="C155" s="102"/>
      <c r="D155" s="102"/>
      <c r="E155" s="177"/>
      <c r="F155" s="106"/>
    </row>
    <row r="156">
      <c r="A156" s="161"/>
      <c r="B156" s="162"/>
      <c r="C156" s="75"/>
      <c r="D156" s="75"/>
      <c r="E156" s="75"/>
    </row>
    <row r="157">
      <c r="A157" s="161"/>
      <c r="B157" s="162"/>
      <c r="C157" s="75"/>
      <c r="D157" s="75"/>
      <c r="E157" s="75"/>
    </row>
    <row r="158">
      <c r="A158" s="161"/>
      <c r="B158" s="113" t="s">
        <v>453</v>
      </c>
      <c r="C158" s="131" t="s">
        <v>454</v>
      </c>
      <c r="D158" s="75"/>
      <c r="E158" s="75"/>
    </row>
    <row r="159">
      <c r="A159" s="161"/>
      <c r="B159" s="162"/>
      <c r="C159" s="131" t="s">
        <v>455</v>
      </c>
      <c r="D159" s="75"/>
      <c r="E159" s="75"/>
    </row>
    <row r="160">
      <c r="A160" s="161"/>
      <c r="B160" s="162"/>
      <c r="C160" s="75"/>
      <c r="D160" s="75"/>
      <c r="E160" s="75"/>
    </row>
    <row r="161">
      <c r="A161" s="161"/>
      <c r="B161" s="162"/>
      <c r="C161" s="131" t="s">
        <v>456</v>
      </c>
      <c r="D161" s="75"/>
      <c r="E161" s="75"/>
    </row>
    <row r="162">
      <c r="A162" s="161"/>
      <c r="B162" s="162"/>
      <c r="C162" s="75"/>
      <c r="D162" s="75"/>
      <c r="E162" s="75"/>
    </row>
    <row r="163">
      <c r="A163" s="161"/>
      <c r="B163" s="162"/>
      <c r="C163" s="75"/>
      <c r="D163" s="75"/>
      <c r="E163" s="75"/>
    </row>
    <row r="164">
      <c r="A164" s="161"/>
      <c r="B164" s="162"/>
      <c r="C164" s="75"/>
      <c r="D164" s="75"/>
      <c r="E164" s="75"/>
    </row>
    <row r="165">
      <c r="A165" s="100">
        <f>MAX($A$7:A164)+1</f>
        <v>10</v>
      </c>
      <c r="B165" s="101" t="s">
        <v>457</v>
      </c>
      <c r="C165" s="102"/>
      <c r="D165" s="102"/>
      <c r="E165" s="177"/>
      <c r="F165" s="106"/>
    </row>
    <row r="166">
      <c r="A166" s="161"/>
      <c r="B166" s="162"/>
      <c r="C166" s="75"/>
      <c r="D166" s="75"/>
      <c r="E166" s="75"/>
    </row>
    <row r="167">
      <c r="A167" s="161"/>
      <c r="B167" s="321" t="s">
        <v>458</v>
      </c>
      <c r="C167" s="75"/>
      <c r="D167" s="75"/>
      <c r="E167" s="75"/>
    </row>
    <row r="168">
      <c r="A168" s="323"/>
      <c r="B168" s="131" t="s">
        <v>460</v>
      </c>
      <c r="C168" s="324"/>
      <c r="D168" s="324"/>
      <c r="E168" s="324"/>
      <c r="F168" s="324"/>
      <c r="G168" s="324"/>
      <c r="H168" s="324"/>
      <c r="I168" s="324"/>
      <c r="J168" s="324"/>
      <c r="K168" s="324"/>
      <c r="L168" s="324"/>
      <c r="M168" s="324"/>
      <c r="N168" s="324"/>
      <c r="O168" s="324"/>
      <c r="P168" s="324"/>
      <c r="Q168" s="324"/>
      <c r="R168" s="324"/>
      <c r="S168" s="324"/>
      <c r="T168" s="324"/>
      <c r="U168" s="324"/>
      <c r="V168" s="324"/>
      <c r="W168" s="324"/>
    </row>
    <row r="169">
      <c r="A169" s="323"/>
      <c r="B169" s="131" t="s">
        <v>461</v>
      </c>
      <c r="C169" s="324"/>
      <c r="D169" s="324"/>
      <c r="E169" s="324"/>
      <c r="F169" s="324"/>
      <c r="G169" s="324"/>
      <c r="H169" s="324"/>
      <c r="I169" s="324"/>
      <c r="J169" s="324"/>
      <c r="K169" s="324"/>
      <c r="L169" s="324"/>
      <c r="M169" s="324"/>
      <c r="N169" s="324"/>
      <c r="O169" s="324"/>
      <c r="P169" s="324"/>
      <c r="Q169" s="324"/>
      <c r="R169" s="324"/>
      <c r="S169" s="324"/>
      <c r="T169" s="324"/>
      <c r="U169" s="324"/>
      <c r="V169" s="324"/>
      <c r="W169" s="324"/>
    </row>
    <row r="170">
      <c r="A170" s="323"/>
      <c r="B170" s="131" t="s">
        <v>462</v>
      </c>
      <c r="C170" s="324"/>
      <c r="D170" s="324"/>
      <c r="E170" s="324"/>
      <c r="F170" s="324"/>
      <c r="G170" s="324"/>
      <c r="H170" s="324"/>
      <c r="I170" s="324"/>
      <c r="J170" s="324"/>
      <c r="K170" s="324"/>
      <c r="L170" s="324"/>
      <c r="M170" s="324"/>
      <c r="N170" s="324"/>
      <c r="O170" s="324"/>
      <c r="P170" s="324"/>
      <c r="Q170" s="324"/>
      <c r="R170" s="324"/>
      <c r="S170" s="324"/>
      <c r="T170" s="324"/>
      <c r="U170" s="324"/>
      <c r="V170" s="324"/>
      <c r="W170" s="324"/>
    </row>
    <row r="171">
      <c r="A171" s="323"/>
      <c r="B171" s="131" t="s">
        <v>463</v>
      </c>
      <c r="C171" s="324"/>
      <c r="D171" s="324"/>
      <c r="E171" s="324"/>
      <c r="F171" s="324"/>
      <c r="G171" s="324"/>
      <c r="H171" s="324"/>
      <c r="I171" s="324"/>
      <c r="J171" s="324"/>
      <c r="K171" s="324"/>
      <c r="L171" s="324"/>
      <c r="M171" s="324"/>
      <c r="N171" s="324"/>
      <c r="O171" s="324"/>
      <c r="P171" s="324"/>
      <c r="Q171" s="324"/>
      <c r="R171" s="324"/>
      <c r="S171" s="324"/>
      <c r="T171" s="324"/>
      <c r="U171" s="324"/>
      <c r="V171" s="324"/>
      <c r="W171" s="324"/>
    </row>
    <row r="172">
      <c r="A172" s="323"/>
      <c r="B172" s="131" t="s">
        <v>467</v>
      </c>
      <c r="C172" s="324"/>
      <c r="D172" s="324"/>
      <c r="E172" s="324"/>
      <c r="F172" s="324"/>
      <c r="G172" s="324"/>
      <c r="H172" s="324"/>
      <c r="I172" s="324"/>
      <c r="J172" s="324"/>
      <c r="K172" s="324"/>
      <c r="L172" s="324"/>
      <c r="M172" s="324"/>
      <c r="N172" s="324"/>
      <c r="O172" s="324"/>
      <c r="P172" s="324"/>
      <c r="Q172" s="324"/>
      <c r="R172" s="324"/>
      <c r="S172" s="324"/>
      <c r="T172" s="324"/>
      <c r="U172" s="324"/>
      <c r="V172" s="324"/>
      <c r="W172" s="324"/>
    </row>
    <row r="173">
      <c r="A173" s="323"/>
      <c r="C173" s="324"/>
      <c r="D173" s="324"/>
      <c r="E173" s="324"/>
      <c r="F173" s="324"/>
      <c r="G173" s="324"/>
      <c r="H173" s="324"/>
      <c r="I173" s="324"/>
      <c r="J173" s="324"/>
      <c r="K173" s="324"/>
      <c r="L173" s="324"/>
      <c r="M173" s="324"/>
      <c r="N173" s="324"/>
      <c r="O173" s="324"/>
      <c r="P173" s="324"/>
      <c r="Q173" s="324"/>
      <c r="R173" s="324"/>
      <c r="S173" s="324"/>
      <c r="T173" s="324"/>
      <c r="U173" s="324"/>
      <c r="V173" s="324"/>
      <c r="W173" s="324"/>
    </row>
    <row r="174">
      <c r="A174" s="323"/>
      <c r="B174" s="324"/>
      <c r="C174" s="324"/>
      <c r="D174" s="324"/>
      <c r="E174" s="324"/>
      <c r="F174" s="324"/>
      <c r="G174" s="324"/>
      <c r="H174" s="324"/>
      <c r="I174" s="324"/>
      <c r="J174" s="324"/>
      <c r="K174" s="324"/>
      <c r="L174" s="324"/>
      <c r="M174" s="324"/>
      <c r="N174" s="324"/>
      <c r="O174" s="324"/>
      <c r="P174" s="324"/>
      <c r="Q174" s="324"/>
      <c r="R174" s="324"/>
      <c r="S174" s="324"/>
      <c r="T174" s="324"/>
      <c r="U174" s="324"/>
      <c r="V174" s="324"/>
      <c r="W174" s="324"/>
    </row>
    <row r="175">
      <c r="A175" s="323"/>
      <c r="B175" s="321" t="s">
        <v>471</v>
      </c>
      <c r="C175" s="324"/>
      <c r="D175" s="324"/>
      <c r="E175" s="324"/>
      <c r="F175" s="324"/>
      <c r="G175" s="324"/>
      <c r="H175" s="324"/>
      <c r="I175" s="324"/>
      <c r="J175" s="324"/>
      <c r="K175" s="324"/>
      <c r="L175" s="324"/>
      <c r="M175" s="324"/>
      <c r="N175" s="324"/>
      <c r="O175" s="324"/>
      <c r="P175" s="324"/>
      <c r="Q175" s="324"/>
      <c r="R175" s="324"/>
      <c r="S175" s="324"/>
      <c r="T175" s="324"/>
      <c r="U175" s="324"/>
      <c r="V175" s="324"/>
      <c r="W175" s="324"/>
    </row>
    <row r="176">
      <c r="A176" s="323"/>
      <c r="B176" s="131" t="s">
        <v>473</v>
      </c>
      <c r="C176" s="324"/>
      <c r="D176" s="324"/>
      <c r="E176" s="324"/>
      <c r="F176" s="324"/>
      <c r="G176" s="324"/>
      <c r="H176" s="324"/>
      <c r="I176" s="324"/>
      <c r="J176" s="324"/>
      <c r="K176" s="324"/>
      <c r="L176" s="324"/>
      <c r="M176" s="324"/>
      <c r="N176" s="324"/>
      <c r="O176" s="324"/>
      <c r="P176" s="324"/>
      <c r="Q176" s="324"/>
      <c r="R176" s="324"/>
      <c r="S176" s="324"/>
      <c r="T176" s="324"/>
      <c r="U176" s="324"/>
      <c r="V176" s="324"/>
      <c r="W176" s="324"/>
    </row>
    <row r="177">
      <c r="A177" s="323"/>
      <c r="B177" s="131" t="s">
        <v>476</v>
      </c>
      <c r="C177" s="324"/>
      <c r="D177" s="324"/>
      <c r="E177" s="324"/>
      <c r="F177" s="324"/>
      <c r="G177" s="324"/>
      <c r="H177" s="324"/>
      <c r="I177" s="324"/>
      <c r="J177" s="324"/>
      <c r="K177" s="324"/>
      <c r="L177" s="324"/>
      <c r="M177" s="324"/>
      <c r="N177" s="324"/>
      <c r="O177" s="324"/>
      <c r="P177" s="324"/>
      <c r="Q177" s="324"/>
      <c r="R177" s="324"/>
      <c r="S177" s="324"/>
      <c r="T177" s="324"/>
      <c r="U177" s="324"/>
      <c r="V177" s="324"/>
      <c r="W177" s="324"/>
    </row>
    <row r="178">
      <c r="A178" s="323"/>
      <c r="B178" s="131" t="s">
        <v>478</v>
      </c>
      <c r="C178" s="324"/>
      <c r="D178" s="324"/>
      <c r="E178" s="324"/>
      <c r="F178" s="324"/>
      <c r="G178" s="324"/>
      <c r="H178" s="324"/>
      <c r="I178" s="324"/>
      <c r="J178" s="324"/>
      <c r="K178" s="324"/>
      <c r="L178" s="324"/>
      <c r="M178" s="324"/>
      <c r="N178" s="324"/>
      <c r="O178" s="324"/>
      <c r="P178" s="324"/>
      <c r="Q178" s="324"/>
      <c r="R178" s="324"/>
      <c r="S178" s="324"/>
      <c r="T178" s="324"/>
      <c r="U178" s="324"/>
      <c r="V178" s="324"/>
      <c r="W178" s="324"/>
    </row>
    <row r="179">
      <c r="A179" s="323"/>
      <c r="B179" s="324"/>
      <c r="C179" s="324"/>
      <c r="D179" s="324"/>
      <c r="E179" s="324"/>
      <c r="F179" s="324"/>
      <c r="G179" s="324"/>
      <c r="H179" s="324"/>
      <c r="I179" s="324"/>
      <c r="J179" s="324"/>
      <c r="K179" s="324"/>
      <c r="L179" s="324"/>
      <c r="M179" s="324"/>
      <c r="N179" s="324"/>
      <c r="O179" s="324"/>
      <c r="P179" s="324"/>
      <c r="Q179" s="324"/>
      <c r="R179" s="324"/>
      <c r="S179" s="324"/>
      <c r="T179" s="324"/>
      <c r="U179" s="324"/>
      <c r="V179" s="324"/>
      <c r="W179" s="324"/>
    </row>
    <row r="180">
      <c r="A180" s="161"/>
      <c r="B180" s="162"/>
      <c r="C180" s="75"/>
      <c r="D180" s="75"/>
      <c r="E180" s="75"/>
    </row>
    <row r="181">
      <c r="A181" s="161"/>
      <c r="B181" s="321" t="s">
        <v>483</v>
      </c>
      <c r="C181" s="75"/>
      <c r="D181" s="75"/>
      <c r="E181" s="75"/>
    </row>
    <row r="182">
      <c r="A182" s="323"/>
      <c r="B182" s="131" t="s">
        <v>484</v>
      </c>
      <c r="C182" s="324"/>
      <c r="D182" s="324"/>
      <c r="E182" s="324"/>
      <c r="F182" s="324"/>
      <c r="G182" s="324"/>
      <c r="H182" s="324"/>
      <c r="I182" s="324"/>
      <c r="J182" s="324"/>
      <c r="K182" s="324"/>
      <c r="L182" s="324"/>
      <c r="M182" s="324"/>
      <c r="N182" s="324"/>
      <c r="O182" s="324"/>
      <c r="P182" s="324"/>
      <c r="Q182" s="324"/>
      <c r="R182" s="324"/>
      <c r="S182" s="324"/>
      <c r="T182" s="324"/>
      <c r="U182" s="324"/>
      <c r="V182" s="324"/>
      <c r="W182" s="324"/>
    </row>
    <row r="183">
      <c r="A183" s="323"/>
      <c r="B183" s="131" t="s">
        <v>486</v>
      </c>
      <c r="C183" s="324"/>
      <c r="D183" s="324"/>
      <c r="E183" s="324"/>
      <c r="F183" s="324"/>
      <c r="G183" s="324"/>
      <c r="H183" s="324"/>
      <c r="I183" s="324"/>
      <c r="J183" s="324"/>
      <c r="K183" s="324"/>
      <c r="L183" s="324"/>
      <c r="M183" s="324"/>
      <c r="N183" s="324"/>
      <c r="O183" s="324"/>
      <c r="P183" s="324"/>
      <c r="Q183" s="324"/>
      <c r="R183" s="324"/>
      <c r="S183" s="324"/>
      <c r="T183" s="324"/>
      <c r="U183" s="324"/>
      <c r="V183" s="324"/>
      <c r="W183" s="324"/>
    </row>
    <row r="184">
      <c r="A184" s="323"/>
      <c r="B184" s="131" t="s">
        <v>487</v>
      </c>
      <c r="C184" s="324"/>
      <c r="D184" s="324"/>
      <c r="E184" s="324"/>
      <c r="F184" s="324"/>
      <c r="G184" s="324"/>
      <c r="H184" s="324"/>
      <c r="I184" s="324"/>
      <c r="J184" s="324"/>
      <c r="K184" s="324"/>
      <c r="L184" s="324"/>
      <c r="M184" s="324"/>
      <c r="N184" s="324"/>
      <c r="O184" s="324"/>
      <c r="P184" s="324"/>
      <c r="Q184" s="324"/>
      <c r="R184" s="324"/>
      <c r="S184" s="324"/>
      <c r="T184" s="324"/>
      <c r="U184" s="324"/>
      <c r="V184" s="324"/>
      <c r="W184" s="324"/>
    </row>
    <row r="185">
      <c r="A185" s="323"/>
      <c r="B185" s="324"/>
      <c r="C185" s="324"/>
      <c r="D185" s="324"/>
      <c r="E185" s="324"/>
      <c r="F185" s="324"/>
      <c r="G185" s="324"/>
      <c r="H185" s="324"/>
      <c r="I185" s="324"/>
      <c r="J185" s="324"/>
      <c r="K185" s="324"/>
      <c r="L185" s="324"/>
      <c r="M185" s="324"/>
      <c r="N185" s="324"/>
      <c r="O185" s="324"/>
      <c r="P185" s="324"/>
      <c r="Q185" s="324"/>
      <c r="R185" s="324"/>
      <c r="S185" s="324"/>
      <c r="T185" s="324"/>
      <c r="U185" s="324"/>
      <c r="V185" s="324"/>
      <c r="W185" s="324"/>
    </row>
    <row r="186">
      <c r="A186" s="323"/>
      <c r="B186" s="321" t="s">
        <v>490</v>
      </c>
      <c r="C186" s="324"/>
      <c r="D186" s="324"/>
      <c r="E186" s="324"/>
      <c r="F186" s="324"/>
      <c r="G186" s="324"/>
      <c r="H186" s="324"/>
      <c r="I186" s="324"/>
      <c r="J186" s="324"/>
      <c r="K186" s="324"/>
      <c r="L186" s="324"/>
      <c r="M186" s="324"/>
      <c r="N186" s="324"/>
      <c r="O186" s="324"/>
      <c r="P186" s="324"/>
      <c r="Q186" s="324"/>
      <c r="R186" s="324"/>
      <c r="S186" s="324"/>
      <c r="T186" s="324"/>
      <c r="U186" s="324"/>
      <c r="V186" s="324"/>
      <c r="W186" s="324"/>
    </row>
    <row r="187">
      <c r="A187" s="323"/>
      <c r="B187" s="321" t="s">
        <v>491</v>
      </c>
      <c r="C187" s="324"/>
      <c r="D187" s="324"/>
      <c r="E187" s="324"/>
      <c r="F187" s="324"/>
      <c r="G187" s="324"/>
      <c r="H187" s="324"/>
      <c r="I187" s="324"/>
      <c r="J187" s="324"/>
      <c r="K187" s="324"/>
      <c r="L187" s="324"/>
      <c r="M187" s="324"/>
      <c r="N187" s="324"/>
      <c r="O187" s="324"/>
      <c r="P187" s="324"/>
      <c r="Q187" s="324"/>
      <c r="R187" s="324"/>
      <c r="S187" s="324"/>
      <c r="T187" s="324"/>
      <c r="U187" s="324"/>
      <c r="V187" s="324"/>
      <c r="W187" s="324"/>
    </row>
    <row r="188">
      <c r="A188" s="323"/>
      <c r="B188" s="131" t="s">
        <v>492</v>
      </c>
      <c r="C188" s="324"/>
      <c r="D188" s="324"/>
      <c r="E188" s="324"/>
      <c r="F188" s="324"/>
      <c r="G188" s="324"/>
      <c r="H188" s="324"/>
      <c r="I188" s="324"/>
      <c r="J188" s="324"/>
      <c r="K188" s="324"/>
      <c r="L188" s="324"/>
      <c r="M188" s="324"/>
      <c r="N188" s="324"/>
      <c r="O188" s="324"/>
      <c r="P188" s="324"/>
      <c r="Q188" s="324"/>
      <c r="R188" s="324"/>
      <c r="S188" s="324"/>
      <c r="T188" s="324"/>
      <c r="U188" s="324"/>
      <c r="V188" s="324"/>
      <c r="W188" s="324"/>
    </row>
    <row r="189">
      <c r="A189" s="323"/>
      <c r="B189" s="324"/>
      <c r="C189" s="324"/>
      <c r="D189" s="324"/>
      <c r="E189" s="324"/>
      <c r="F189" s="324"/>
      <c r="G189" s="324"/>
      <c r="H189" s="324"/>
      <c r="I189" s="324"/>
      <c r="J189" s="324"/>
      <c r="K189" s="324"/>
      <c r="L189" s="324"/>
      <c r="M189" s="324"/>
      <c r="N189" s="324"/>
      <c r="O189" s="324"/>
      <c r="P189" s="324"/>
      <c r="Q189" s="324"/>
      <c r="R189" s="324"/>
      <c r="S189" s="324"/>
      <c r="T189" s="324"/>
      <c r="U189" s="324"/>
      <c r="V189" s="324"/>
      <c r="W189" s="324"/>
    </row>
    <row r="190">
      <c r="A190" s="323"/>
      <c r="B190" s="321" t="s">
        <v>493</v>
      </c>
      <c r="C190" s="324"/>
      <c r="D190" s="324"/>
      <c r="E190" s="324"/>
      <c r="F190" s="324"/>
      <c r="G190" s="324"/>
      <c r="H190" s="324"/>
      <c r="I190" s="324"/>
      <c r="J190" s="324"/>
      <c r="K190" s="324"/>
      <c r="L190" s="324"/>
      <c r="M190" s="324"/>
      <c r="N190" s="324"/>
      <c r="O190" s="324"/>
      <c r="P190" s="324"/>
      <c r="Q190" s="324"/>
      <c r="R190" s="324"/>
      <c r="S190" s="324"/>
      <c r="T190" s="324"/>
      <c r="U190" s="324"/>
      <c r="V190" s="324"/>
      <c r="W190" s="324"/>
    </row>
    <row r="191">
      <c r="A191" s="323"/>
      <c r="B191" s="131" t="s">
        <v>496</v>
      </c>
      <c r="C191" s="324"/>
      <c r="D191" s="324"/>
      <c r="E191" s="324"/>
      <c r="F191" s="324"/>
      <c r="G191" s="324"/>
      <c r="H191" s="324"/>
      <c r="I191" s="324"/>
      <c r="J191" s="324"/>
      <c r="K191" s="324"/>
      <c r="L191" s="324"/>
      <c r="M191" s="324"/>
      <c r="N191" s="324"/>
      <c r="O191" s="324"/>
      <c r="P191" s="324"/>
      <c r="Q191" s="324"/>
      <c r="R191" s="324"/>
      <c r="S191" s="324"/>
      <c r="T191" s="324"/>
      <c r="U191" s="324"/>
      <c r="V191" s="324"/>
      <c r="W191" s="324"/>
    </row>
    <row r="192">
      <c r="A192" s="323"/>
      <c r="B192" s="324"/>
      <c r="C192" s="324"/>
      <c r="D192" s="324"/>
      <c r="E192" s="324"/>
      <c r="F192" s="324"/>
      <c r="G192" s="324"/>
      <c r="H192" s="324"/>
      <c r="I192" s="324"/>
      <c r="J192" s="324"/>
      <c r="K192" s="324"/>
      <c r="L192" s="324"/>
      <c r="M192" s="324"/>
      <c r="N192" s="324"/>
      <c r="O192" s="324"/>
      <c r="P192" s="324"/>
      <c r="Q192" s="324"/>
      <c r="R192" s="324"/>
      <c r="S192" s="324"/>
      <c r="T192" s="324"/>
      <c r="U192" s="324"/>
      <c r="V192" s="324"/>
      <c r="W192" s="324"/>
    </row>
    <row r="193">
      <c r="A193" s="323"/>
      <c r="B193" s="324"/>
      <c r="C193" s="324"/>
      <c r="D193" s="324"/>
      <c r="E193" s="324"/>
      <c r="F193" s="324"/>
      <c r="G193" s="324"/>
      <c r="H193" s="324"/>
      <c r="I193" s="324"/>
      <c r="J193" s="324"/>
      <c r="K193" s="324"/>
      <c r="L193" s="324"/>
      <c r="M193" s="324"/>
      <c r="N193" s="324"/>
      <c r="O193" s="324"/>
      <c r="P193" s="324"/>
      <c r="Q193" s="324"/>
      <c r="R193" s="324"/>
      <c r="S193" s="324"/>
      <c r="T193" s="324"/>
      <c r="U193" s="324"/>
      <c r="V193" s="324"/>
      <c r="W193" s="324"/>
    </row>
    <row r="194">
      <c r="A194" s="323"/>
      <c r="B194" s="324"/>
      <c r="C194" s="324"/>
      <c r="D194" s="324"/>
      <c r="E194" s="324"/>
      <c r="F194" s="324"/>
      <c r="G194" s="324"/>
      <c r="H194" s="324"/>
      <c r="I194" s="324"/>
      <c r="J194" s="324"/>
      <c r="K194" s="324"/>
      <c r="L194" s="324"/>
      <c r="M194" s="324"/>
      <c r="N194" s="324"/>
      <c r="O194" s="324"/>
      <c r="P194" s="324"/>
      <c r="Q194" s="324"/>
      <c r="R194" s="324"/>
      <c r="S194" s="324"/>
      <c r="T194" s="324"/>
      <c r="U194" s="324"/>
      <c r="V194" s="324"/>
      <c r="W194" s="324"/>
    </row>
    <row r="195">
      <c r="A195" s="323"/>
      <c r="B195" s="324"/>
      <c r="C195" s="324"/>
      <c r="D195" s="324"/>
      <c r="E195" s="324"/>
      <c r="F195" s="324"/>
      <c r="G195" s="324"/>
      <c r="H195" s="324"/>
      <c r="I195" s="324"/>
      <c r="J195" s="324"/>
      <c r="K195" s="324"/>
      <c r="L195" s="324"/>
      <c r="M195" s="324"/>
      <c r="N195" s="324"/>
      <c r="O195" s="324"/>
      <c r="P195" s="324"/>
      <c r="Q195" s="324"/>
      <c r="R195" s="324"/>
      <c r="S195" s="324"/>
      <c r="T195" s="324"/>
      <c r="U195" s="324"/>
      <c r="V195" s="324"/>
      <c r="W195" s="324"/>
    </row>
    <row r="196">
      <c r="A196" s="100">
        <f>MAX($A$7:A195)+1</f>
        <v>11</v>
      </c>
      <c r="B196" s="101" t="str">
        <f>#REF!</f>
        <v>#REF!</v>
      </c>
      <c r="C196" s="102"/>
      <c r="D196" s="102"/>
      <c r="E196" s="177"/>
      <c r="F196" s="106"/>
    </row>
    <row r="197">
      <c r="A197" s="323"/>
      <c r="B197" s="324"/>
      <c r="C197" s="324"/>
      <c r="D197" s="324"/>
      <c r="E197" s="324"/>
      <c r="F197" s="324"/>
      <c r="G197" s="324"/>
      <c r="H197" s="324"/>
      <c r="I197" s="324"/>
      <c r="J197" s="324"/>
      <c r="K197" s="324"/>
      <c r="L197" s="324"/>
      <c r="M197" s="324"/>
      <c r="N197" s="324"/>
      <c r="O197" s="324"/>
      <c r="P197" s="324"/>
      <c r="Q197" s="324"/>
      <c r="R197" s="324"/>
      <c r="S197" s="324"/>
      <c r="T197" s="324"/>
      <c r="U197" s="324"/>
      <c r="V197" s="324"/>
      <c r="W197" s="324"/>
    </row>
    <row r="198">
      <c r="A198" s="323"/>
      <c r="B198" s="131" t="s">
        <v>499</v>
      </c>
      <c r="C198" s="324"/>
      <c r="D198" s="324"/>
      <c r="E198" s="324"/>
      <c r="F198" s="324"/>
      <c r="G198" s="324"/>
      <c r="H198" s="324"/>
      <c r="I198" s="324"/>
      <c r="J198" s="324"/>
      <c r="K198" s="324"/>
      <c r="L198" s="324"/>
      <c r="M198" s="324"/>
      <c r="N198" s="324"/>
      <c r="O198" s="324"/>
      <c r="P198" s="324"/>
      <c r="Q198" s="324"/>
      <c r="R198" s="324"/>
      <c r="S198" s="324"/>
      <c r="T198" s="324"/>
      <c r="U198" s="324"/>
      <c r="V198" s="324"/>
      <c r="W198" s="324"/>
    </row>
    <row r="199">
      <c r="A199" s="323"/>
      <c r="B199" s="131" t="s">
        <v>500</v>
      </c>
      <c r="C199" s="324"/>
      <c r="D199" s="324"/>
      <c r="E199" s="324"/>
      <c r="F199" s="324"/>
      <c r="G199" s="324"/>
      <c r="H199" s="324"/>
      <c r="I199" s="324"/>
      <c r="J199" s="324"/>
      <c r="K199" s="324"/>
      <c r="L199" s="324"/>
      <c r="M199" s="324"/>
      <c r="N199" s="324"/>
      <c r="O199" s="324"/>
      <c r="P199" s="324"/>
      <c r="Q199" s="324"/>
      <c r="R199" s="324"/>
      <c r="S199" s="324"/>
      <c r="T199" s="324"/>
      <c r="U199" s="324"/>
      <c r="V199" s="324"/>
      <c r="W199" s="324"/>
    </row>
    <row r="200">
      <c r="A200" s="323"/>
      <c r="B200" s="324"/>
      <c r="C200" s="324"/>
      <c r="D200" s="324"/>
      <c r="E200" s="324"/>
      <c r="F200" s="324"/>
      <c r="G200" s="324"/>
      <c r="H200" s="324"/>
      <c r="I200" s="324"/>
      <c r="J200" s="324"/>
      <c r="K200" s="324"/>
      <c r="L200" s="324"/>
      <c r="M200" s="324"/>
      <c r="N200" s="324"/>
      <c r="O200" s="324"/>
      <c r="P200" s="324"/>
      <c r="Q200" s="324"/>
      <c r="R200" s="324"/>
      <c r="S200" s="324"/>
      <c r="T200" s="324"/>
      <c r="U200" s="324"/>
      <c r="V200" s="324"/>
      <c r="W200" s="324"/>
    </row>
    <row r="201">
      <c r="A201" s="323"/>
      <c r="B201" s="324"/>
      <c r="C201" s="324"/>
      <c r="D201" s="324"/>
      <c r="E201" s="324"/>
      <c r="F201" s="324"/>
      <c r="G201" s="324"/>
      <c r="H201" s="324"/>
      <c r="I201" s="324"/>
      <c r="J201" s="324"/>
      <c r="K201" s="324"/>
      <c r="L201" s="324"/>
      <c r="M201" s="324"/>
      <c r="N201" s="324"/>
      <c r="O201" s="324"/>
      <c r="P201" s="324"/>
      <c r="Q201" s="324"/>
      <c r="R201" s="324"/>
      <c r="S201" s="324"/>
      <c r="T201" s="324"/>
      <c r="U201" s="324"/>
      <c r="V201" s="324"/>
      <c r="W201" s="324"/>
    </row>
    <row r="202">
      <c r="A202" s="323"/>
      <c r="B202" s="324"/>
      <c r="C202" s="324"/>
      <c r="D202" s="324"/>
      <c r="E202" s="324"/>
      <c r="F202" s="324"/>
      <c r="G202" s="324"/>
      <c r="H202" s="324"/>
      <c r="I202" s="324"/>
      <c r="J202" s="324"/>
      <c r="K202" s="324"/>
      <c r="L202" s="324"/>
      <c r="M202" s="324"/>
      <c r="N202" s="324"/>
      <c r="O202" s="324"/>
      <c r="P202" s="324"/>
      <c r="Q202" s="324"/>
      <c r="R202" s="324"/>
      <c r="S202" s="324"/>
      <c r="T202" s="324"/>
      <c r="U202" s="324"/>
      <c r="V202" s="324"/>
      <c r="W202" s="324"/>
    </row>
    <row r="203">
      <c r="A203" s="323"/>
      <c r="B203" s="324"/>
      <c r="C203" s="324"/>
      <c r="D203" s="324"/>
      <c r="E203" s="324"/>
      <c r="F203" s="324"/>
      <c r="G203" s="324"/>
      <c r="H203" s="324"/>
      <c r="I203" s="324"/>
      <c r="J203" s="324"/>
      <c r="K203" s="324"/>
      <c r="L203" s="324"/>
      <c r="M203" s="324"/>
      <c r="N203" s="324"/>
      <c r="O203" s="324"/>
      <c r="P203" s="324"/>
      <c r="Q203" s="324"/>
      <c r="R203" s="324"/>
      <c r="S203" s="324"/>
      <c r="T203" s="324"/>
      <c r="U203" s="324"/>
      <c r="V203" s="324"/>
      <c r="W203" s="324"/>
    </row>
    <row r="204">
      <c r="A204" s="323"/>
      <c r="B204" s="324"/>
      <c r="C204" s="324"/>
      <c r="D204" s="324"/>
      <c r="E204" s="324"/>
      <c r="F204" s="324"/>
      <c r="G204" s="324"/>
      <c r="H204" s="324"/>
      <c r="I204" s="324"/>
      <c r="J204" s="324"/>
      <c r="K204" s="324"/>
      <c r="L204" s="324"/>
      <c r="M204" s="324"/>
      <c r="N204" s="324"/>
      <c r="O204" s="324"/>
      <c r="P204" s="324"/>
      <c r="Q204" s="324"/>
      <c r="R204" s="324"/>
      <c r="S204" s="324"/>
      <c r="T204" s="324"/>
      <c r="U204" s="324"/>
      <c r="V204" s="324"/>
      <c r="W204" s="324"/>
    </row>
    <row r="205">
      <c r="A205" s="323"/>
      <c r="B205" s="324"/>
      <c r="C205" s="324"/>
      <c r="D205" s="324"/>
      <c r="E205" s="324"/>
      <c r="F205" s="324"/>
      <c r="G205" s="324"/>
      <c r="H205" s="324"/>
      <c r="I205" s="324"/>
      <c r="J205" s="324"/>
      <c r="K205" s="324"/>
      <c r="L205" s="324"/>
      <c r="M205" s="324"/>
      <c r="N205" s="324"/>
      <c r="O205" s="324"/>
      <c r="P205" s="324"/>
      <c r="Q205" s="324"/>
      <c r="R205" s="324"/>
      <c r="S205" s="324"/>
      <c r="T205" s="324"/>
      <c r="U205" s="324"/>
      <c r="V205" s="324"/>
      <c r="W205" s="324"/>
    </row>
    <row r="206">
      <c r="A206" s="323"/>
      <c r="B206" s="324"/>
      <c r="C206" s="324"/>
      <c r="D206" s="324"/>
      <c r="E206" s="324"/>
      <c r="F206" s="324"/>
      <c r="G206" s="324"/>
      <c r="H206" s="324"/>
      <c r="I206" s="324"/>
      <c r="J206" s="324"/>
      <c r="K206" s="324"/>
      <c r="L206" s="324"/>
      <c r="M206" s="324"/>
      <c r="N206" s="324"/>
      <c r="O206" s="324"/>
      <c r="P206" s="324"/>
      <c r="Q206" s="324"/>
      <c r="R206" s="324"/>
      <c r="S206" s="324"/>
      <c r="T206" s="324"/>
      <c r="U206" s="324"/>
      <c r="V206" s="324"/>
      <c r="W206" s="324"/>
    </row>
    <row r="207">
      <c r="A207" s="323"/>
      <c r="B207" s="324"/>
      <c r="C207" s="324"/>
      <c r="D207" s="324"/>
      <c r="E207" s="324"/>
      <c r="F207" s="324"/>
      <c r="G207" s="324"/>
      <c r="H207" s="324"/>
      <c r="I207" s="324"/>
      <c r="J207" s="324"/>
      <c r="K207" s="324"/>
      <c r="L207" s="324"/>
      <c r="M207" s="324"/>
      <c r="N207" s="324"/>
      <c r="O207" s="324"/>
      <c r="P207" s="324"/>
      <c r="Q207" s="324"/>
      <c r="R207" s="324"/>
      <c r="S207" s="324"/>
      <c r="T207" s="324"/>
      <c r="U207" s="324"/>
      <c r="V207" s="324"/>
      <c r="W207" s="324"/>
    </row>
    <row r="208">
      <c r="A208" s="323"/>
      <c r="B208" s="324"/>
      <c r="C208" s="324"/>
      <c r="D208" s="324"/>
      <c r="E208" s="324"/>
      <c r="F208" s="324"/>
      <c r="G208" s="324"/>
      <c r="H208" s="324"/>
      <c r="I208" s="324"/>
      <c r="J208" s="324"/>
      <c r="K208" s="324"/>
      <c r="L208" s="324"/>
      <c r="M208" s="324"/>
      <c r="N208" s="324"/>
      <c r="O208" s="324"/>
      <c r="P208" s="324"/>
      <c r="Q208" s="324"/>
      <c r="R208" s="324"/>
      <c r="S208" s="324"/>
      <c r="T208" s="324"/>
      <c r="U208" s="324"/>
      <c r="V208" s="324"/>
      <c r="W208" s="324"/>
    </row>
    <row r="209">
      <c r="A209" s="323"/>
      <c r="B209" s="324"/>
      <c r="C209" s="324"/>
      <c r="D209" s="324"/>
      <c r="E209" s="324"/>
      <c r="F209" s="324"/>
      <c r="G209" s="324"/>
      <c r="H209" s="324"/>
      <c r="I209" s="324"/>
      <c r="J209" s="324"/>
      <c r="K209" s="324"/>
      <c r="L209" s="324"/>
      <c r="M209" s="324"/>
      <c r="N209" s="324"/>
      <c r="O209" s="324"/>
      <c r="P209" s="324"/>
      <c r="Q209" s="324"/>
      <c r="R209" s="324"/>
      <c r="S209" s="324"/>
      <c r="T209" s="324"/>
      <c r="U209" s="324"/>
      <c r="V209" s="324"/>
      <c r="W209" s="324"/>
    </row>
    <row r="210">
      <c r="A210" s="323"/>
      <c r="B210" s="324"/>
      <c r="C210" s="324"/>
      <c r="D210" s="324"/>
      <c r="E210" s="324"/>
      <c r="F210" s="324"/>
      <c r="G210" s="324"/>
      <c r="H210" s="324"/>
      <c r="I210" s="324"/>
      <c r="J210" s="324"/>
      <c r="K210" s="324"/>
      <c r="L210" s="324"/>
      <c r="M210" s="324"/>
      <c r="N210" s="324"/>
      <c r="O210" s="324"/>
      <c r="P210" s="324"/>
      <c r="Q210" s="324"/>
      <c r="R210" s="324"/>
      <c r="S210" s="324"/>
      <c r="T210" s="324"/>
      <c r="U210" s="324"/>
      <c r="V210" s="324"/>
      <c r="W210" s="324"/>
    </row>
    <row r="211">
      <c r="A211" s="323"/>
      <c r="B211" s="324"/>
      <c r="C211" s="324"/>
      <c r="D211" s="324"/>
      <c r="E211" s="324"/>
      <c r="F211" s="324"/>
      <c r="G211" s="324"/>
      <c r="H211" s="324"/>
      <c r="I211" s="324"/>
      <c r="J211" s="324"/>
      <c r="K211" s="324"/>
      <c r="L211" s="324"/>
      <c r="M211" s="324"/>
      <c r="N211" s="324"/>
      <c r="O211" s="324"/>
      <c r="P211" s="324"/>
      <c r="Q211" s="324"/>
      <c r="R211" s="324"/>
      <c r="S211" s="324"/>
      <c r="T211" s="324"/>
      <c r="U211" s="324"/>
      <c r="V211" s="324"/>
      <c r="W211" s="324"/>
    </row>
    <row r="212">
      <c r="A212" s="323"/>
      <c r="B212" s="324"/>
      <c r="C212" s="324"/>
      <c r="D212" s="324"/>
      <c r="E212" s="324"/>
      <c r="F212" s="324"/>
      <c r="G212" s="324"/>
      <c r="H212" s="324"/>
      <c r="I212" s="324"/>
      <c r="J212" s="324"/>
      <c r="K212" s="324"/>
      <c r="L212" s="324"/>
      <c r="M212" s="324"/>
      <c r="N212" s="324"/>
      <c r="O212" s="324"/>
      <c r="P212" s="324"/>
      <c r="Q212" s="324"/>
      <c r="R212" s="324"/>
      <c r="S212" s="324"/>
      <c r="T212" s="324"/>
      <c r="U212" s="324"/>
      <c r="V212" s="324"/>
      <c r="W212" s="324"/>
    </row>
    <row r="213">
      <c r="A213" s="323"/>
      <c r="B213" s="324"/>
      <c r="C213" s="324"/>
      <c r="D213" s="324"/>
      <c r="E213" s="324"/>
      <c r="F213" s="324"/>
      <c r="G213" s="324"/>
      <c r="H213" s="324"/>
      <c r="I213" s="324"/>
      <c r="J213" s="324"/>
      <c r="K213" s="324"/>
      <c r="L213" s="324"/>
      <c r="M213" s="324"/>
      <c r="N213" s="324"/>
      <c r="O213" s="324"/>
      <c r="P213" s="324"/>
      <c r="Q213" s="324"/>
      <c r="R213" s="324"/>
      <c r="S213" s="324"/>
      <c r="T213" s="324"/>
      <c r="U213" s="324"/>
      <c r="V213" s="324"/>
      <c r="W213" s="324"/>
    </row>
    <row r="214">
      <c r="A214" s="323"/>
      <c r="B214" s="324"/>
      <c r="C214" s="324"/>
      <c r="D214" s="324"/>
      <c r="E214" s="324"/>
      <c r="F214" s="324"/>
      <c r="G214" s="324"/>
      <c r="H214" s="324"/>
      <c r="I214" s="324"/>
      <c r="J214" s="324"/>
      <c r="K214" s="324"/>
      <c r="L214" s="324"/>
      <c r="M214" s="324"/>
      <c r="N214" s="324"/>
      <c r="O214" s="324"/>
      <c r="P214" s="324"/>
      <c r="Q214" s="324"/>
      <c r="R214" s="324"/>
      <c r="S214" s="324"/>
      <c r="T214" s="324"/>
      <c r="U214" s="324"/>
      <c r="V214" s="324"/>
      <c r="W214" s="324"/>
    </row>
    <row r="215">
      <c r="A215" s="323"/>
      <c r="B215" s="324"/>
      <c r="C215" s="324"/>
      <c r="D215" s="324"/>
      <c r="E215" s="324"/>
      <c r="F215" s="324"/>
      <c r="G215" s="324"/>
      <c r="H215" s="324"/>
      <c r="I215" s="324"/>
      <c r="J215" s="324"/>
      <c r="K215" s="324"/>
      <c r="L215" s="324"/>
      <c r="M215" s="324"/>
      <c r="N215" s="324"/>
      <c r="O215" s="324"/>
      <c r="P215" s="324"/>
      <c r="Q215" s="324"/>
      <c r="R215" s="324"/>
      <c r="S215" s="324"/>
      <c r="T215" s="324"/>
      <c r="U215" s="324"/>
      <c r="V215" s="324"/>
      <c r="W215" s="324"/>
    </row>
    <row r="216">
      <c r="A216" s="323"/>
      <c r="B216" s="324"/>
      <c r="C216" s="324"/>
      <c r="D216" s="324"/>
      <c r="E216" s="324"/>
      <c r="F216" s="324"/>
      <c r="G216" s="324"/>
      <c r="H216" s="324"/>
      <c r="I216" s="324"/>
      <c r="J216" s="324"/>
      <c r="K216" s="324"/>
      <c r="L216" s="324"/>
      <c r="M216" s="324"/>
      <c r="N216" s="324"/>
      <c r="O216" s="324"/>
      <c r="P216" s="324"/>
      <c r="Q216" s="324"/>
      <c r="R216" s="324"/>
      <c r="S216" s="324"/>
      <c r="T216" s="324"/>
      <c r="U216" s="324"/>
      <c r="V216" s="324"/>
      <c r="W216" s="324"/>
    </row>
    <row r="217">
      <c r="A217" s="323"/>
      <c r="B217" s="324"/>
      <c r="C217" s="324"/>
      <c r="D217" s="324"/>
      <c r="E217" s="324"/>
      <c r="F217" s="324"/>
      <c r="G217" s="324"/>
      <c r="H217" s="324"/>
      <c r="I217" s="324"/>
      <c r="J217" s="324"/>
      <c r="K217" s="324"/>
      <c r="L217" s="324"/>
      <c r="M217" s="324"/>
      <c r="N217" s="324"/>
      <c r="O217" s="324"/>
      <c r="P217" s="324"/>
      <c r="Q217" s="324"/>
      <c r="R217" s="324"/>
      <c r="S217" s="324"/>
      <c r="T217" s="324"/>
      <c r="U217" s="324"/>
      <c r="V217" s="324"/>
      <c r="W217" s="324"/>
    </row>
    <row r="218">
      <c r="A218" s="323"/>
      <c r="B218" s="324"/>
      <c r="C218" s="324"/>
      <c r="D218" s="324"/>
      <c r="E218" s="324"/>
      <c r="F218" s="324"/>
      <c r="G218" s="324"/>
      <c r="H218" s="324"/>
      <c r="I218" s="324"/>
      <c r="J218" s="324"/>
      <c r="K218" s="324"/>
      <c r="L218" s="324"/>
      <c r="M218" s="324"/>
      <c r="N218" s="324"/>
      <c r="O218" s="324"/>
      <c r="P218" s="324"/>
      <c r="Q218" s="324"/>
      <c r="R218" s="324"/>
      <c r="S218" s="324"/>
      <c r="T218" s="324"/>
      <c r="U218" s="324"/>
      <c r="V218" s="324"/>
      <c r="W218" s="324"/>
    </row>
    <row r="219">
      <c r="A219" s="323"/>
      <c r="B219" s="324"/>
      <c r="C219" s="324"/>
      <c r="D219" s="324"/>
      <c r="E219" s="324"/>
      <c r="F219" s="324"/>
      <c r="G219" s="324"/>
      <c r="H219" s="324"/>
      <c r="I219" s="324"/>
      <c r="J219" s="324"/>
      <c r="K219" s="324"/>
      <c r="L219" s="324"/>
      <c r="M219" s="324"/>
      <c r="N219" s="324"/>
      <c r="O219" s="324"/>
      <c r="P219" s="324"/>
      <c r="Q219" s="324"/>
      <c r="R219" s="324"/>
      <c r="S219" s="324"/>
      <c r="T219" s="324"/>
      <c r="U219" s="324"/>
      <c r="V219" s="324"/>
      <c r="W219" s="324"/>
    </row>
    <row r="220">
      <c r="A220" s="323"/>
      <c r="B220" s="324"/>
      <c r="C220" s="324"/>
      <c r="D220" s="324"/>
      <c r="E220" s="324"/>
      <c r="F220" s="324"/>
      <c r="G220" s="324"/>
      <c r="H220" s="324"/>
      <c r="I220" s="324"/>
      <c r="J220" s="324"/>
      <c r="K220" s="324"/>
      <c r="L220" s="324"/>
      <c r="M220" s="324"/>
      <c r="N220" s="324"/>
      <c r="O220" s="324"/>
      <c r="P220" s="324"/>
      <c r="Q220" s="324"/>
      <c r="R220" s="324"/>
      <c r="S220" s="324"/>
      <c r="T220" s="324"/>
      <c r="U220" s="324"/>
      <c r="V220" s="324"/>
      <c r="W220" s="324"/>
    </row>
    <row r="221">
      <c r="A221" s="323"/>
      <c r="B221" s="324"/>
      <c r="C221" s="324"/>
      <c r="D221" s="324"/>
      <c r="E221" s="324"/>
      <c r="F221" s="324"/>
      <c r="G221" s="324"/>
      <c r="H221" s="324"/>
      <c r="I221" s="324"/>
      <c r="J221" s="324"/>
      <c r="K221" s="324"/>
      <c r="L221" s="324"/>
      <c r="M221" s="324"/>
      <c r="N221" s="324"/>
      <c r="O221" s="324"/>
      <c r="P221" s="324"/>
      <c r="Q221" s="324"/>
      <c r="R221" s="324"/>
      <c r="S221" s="324"/>
      <c r="T221" s="324"/>
      <c r="U221" s="324"/>
      <c r="V221" s="324"/>
      <c r="W221" s="324"/>
    </row>
    <row r="222">
      <c r="A222" s="323"/>
      <c r="B222" s="324"/>
      <c r="C222" s="324"/>
      <c r="D222" s="324"/>
      <c r="E222" s="324"/>
      <c r="F222" s="324"/>
      <c r="G222" s="324"/>
      <c r="H222" s="324"/>
      <c r="I222" s="324"/>
      <c r="J222" s="324"/>
      <c r="K222" s="324"/>
      <c r="L222" s="324"/>
      <c r="M222" s="324"/>
      <c r="N222" s="324"/>
      <c r="O222" s="324"/>
      <c r="P222" s="324"/>
      <c r="Q222" s="324"/>
      <c r="R222" s="324"/>
      <c r="S222" s="324"/>
      <c r="T222" s="324"/>
      <c r="U222" s="324"/>
      <c r="V222" s="324"/>
      <c r="W222" s="324"/>
    </row>
    <row r="223">
      <c r="A223" s="323"/>
      <c r="B223" s="324"/>
      <c r="C223" s="324"/>
      <c r="D223" s="324"/>
      <c r="E223" s="324"/>
      <c r="F223" s="324"/>
      <c r="G223" s="324"/>
      <c r="H223" s="324"/>
      <c r="I223" s="324"/>
      <c r="J223" s="324"/>
      <c r="K223" s="324"/>
      <c r="L223" s="324"/>
      <c r="M223" s="324"/>
      <c r="N223" s="324"/>
      <c r="O223" s="324"/>
      <c r="P223" s="324"/>
      <c r="Q223" s="324"/>
      <c r="R223" s="324"/>
      <c r="S223" s="324"/>
      <c r="T223" s="324"/>
      <c r="U223" s="324"/>
      <c r="V223" s="324"/>
      <c r="W223" s="324"/>
    </row>
    <row r="224">
      <c r="A224" s="323"/>
      <c r="B224" s="324"/>
      <c r="C224" s="324"/>
      <c r="D224" s="324"/>
      <c r="E224" s="324"/>
      <c r="F224" s="324"/>
      <c r="G224" s="324"/>
      <c r="H224" s="324"/>
      <c r="I224" s="324"/>
      <c r="J224" s="324"/>
      <c r="K224" s="324"/>
      <c r="L224" s="324"/>
      <c r="M224" s="324"/>
      <c r="N224" s="324"/>
      <c r="O224" s="324"/>
      <c r="P224" s="324"/>
      <c r="Q224" s="324"/>
      <c r="R224" s="324"/>
      <c r="S224" s="324"/>
      <c r="T224" s="324"/>
      <c r="U224" s="324"/>
      <c r="V224" s="324"/>
      <c r="W224" s="324"/>
    </row>
    <row r="225">
      <c r="A225" s="323"/>
      <c r="B225" s="324"/>
      <c r="C225" s="324"/>
      <c r="D225" s="324"/>
      <c r="E225" s="324"/>
      <c r="F225" s="324"/>
      <c r="G225" s="324"/>
      <c r="H225" s="324"/>
      <c r="I225" s="324"/>
      <c r="J225" s="324"/>
      <c r="K225" s="324"/>
      <c r="L225" s="324"/>
      <c r="M225" s="324"/>
      <c r="N225" s="324"/>
      <c r="O225" s="324"/>
      <c r="P225" s="324"/>
      <c r="Q225" s="324"/>
      <c r="R225" s="324"/>
      <c r="S225" s="324"/>
      <c r="T225" s="324"/>
      <c r="U225" s="324"/>
      <c r="V225" s="324"/>
      <c r="W225" s="324"/>
    </row>
    <row r="226">
      <c r="A226" s="323"/>
      <c r="B226" s="324"/>
      <c r="C226" s="324"/>
      <c r="D226" s="324"/>
      <c r="E226" s="324"/>
      <c r="F226" s="324"/>
      <c r="G226" s="324"/>
      <c r="H226" s="324"/>
      <c r="I226" s="324"/>
      <c r="J226" s="324"/>
      <c r="K226" s="324"/>
      <c r="L226" s="324"/>
      <c r="M226" s="324"/>
      <c r="N226" s="324"/>
      <c r="O226" s="324"/>
      <c r="P226" s="324"/>
      <c r="Q226" s="324"/>
      <c r="R226" s="324"/>
      <c r="S226" s="324"/>
      <c r="T226" s="324"/>
      <c r="U226" s="324"/>
      <c r="V226" s="324"/>
      <c r="W226" s="324"/>
    </row>
    <row r="227">
      <c r="A227" s="323"/>
      <c r="B227" s="324"/>
      <c r="C227" s="324"/>
      <c r="D227" s="324"/>
      <c r="E227" s="324"/>
      <c r="F227" s="324"/>
      <c r="G227" s="324"/>
      <c r="H227" s="324"/>
      <c r="I227" s="324"/>
      <c r="J227" s="324"/>
      <c r="K227" s="324"/>
      <c r="L227" s="324"/>
      <c r="M227" s="324"/>
      <c r="N227" s="324"/>
      <c r="O227" s="324"/>
      <c r="P227" s="324"/>
      <c r="Q227" s="324"/>
      <c r="R227" s="324"/>
      <c r="S227" s="324"/>
      <c r="T227" s="324"/>
      <c r="U227" s="324"/>
      <c r="V227" s="324"/>
      <c r="W227" s="324"/>
    </row>
    <row r="228">
      <c r="A228" s="323"/>
      <c r="B228" s="324"/>
      <c r="C228" s="324"/>
      <c r="D228" s="324"/>
      <c r="E228" s="324"/>
      <c r="F228" s="324"/>
      <c r="G228" s="324"/>
      <c r="H228" s="324"/>
      <c r="I228" s="324"/>
      <c r="J228" s="324"/>
      <c r="K228" s="324"/>
      <c r="L228" s="324"/>
      <c r="M228" s="324"/>
      <c r="N228" s="324"/>
      <c r="O228" s="324"/>
      <c r="P228" s="324"/>
      <c r="Q228" s="324"/>
      <c r="R228" s="324"/>
      <c r="S228" s="324"/>
      <c r="T228" s="324"/>
      <c r="U228" s="324"/>
      <c r="V228" s="324"/>
      <c r="W228" s="324"/>
    </row>
    <row r="229">
      <c r="A229" s="323"/>
      <c r="B229" s="324"/>
      <c r="C229" s="324"/>
      <c r="D229" s="324"/>
      <c r="E229" s="324"/>
      <c r="F229" s="324"/>
      <c r="G229" s="324"/>
      <c r="H229" s="324"/>
      <c r="I229" s="324"/>
      <c r="J229" s="324"/>
      <c r="K229" s="324"/>
      <c r="L229" s="324"/>
      <c r="M229" s="324"/>
      <c r="N229" s="324"/>
      <c r="O229" s="324"/>
      <c r="P229" s="324"/>
      <c r="Q229" s="324"/>
      <c r="R229" s="324"/>
      <c r="S229" s="324"/>
      <c r="T229" s="324"/>
      <c r="U229" s="324"/>
      <c r="V229" s="324"/>
      <c r="W229" s="324"/>
    </row>
    <row r="230">
      <c r="A230" s="323"/>
      <c r="B230" s="324"/>
      <c r="C230" s="324"/>
      <c r="D230" s="324"/>
      <c r="E230" s="324"/>
      <c r="F230" s="324"/>
      <c r="G230" s="324"/>
      <c r="H230" s="324"/>
      <c r="I230" s="324"/>
      <c r="J230" s="324"/>
      <c r="K230" s="324"/>
      <c r="L230" s="324"/>
      <c r="M230" s="324"/>
      <c r="N230" s="324"/>
      <c r="O230" s="324"/>
      <c r="P230" s="324"/>
      <c r="Q230" s="324"/>
      <c r="R230" s="324"/>
      <c r="S230" s="324"/>
      <c r="T230" s="324"/>
      <c r="U230" s="324"/>
      <c r="V230" s="324"/>
      <c r="W230" s="324"/>
    </row>
    <row r="231">
      <c r="A231" s="323"/>
      <c r="B231" s="324"/>
      <c r="C231" s="324"/>
      <c r="D231" s="324"/>
      <c r="E231" s="324"/>
      <c r="F231" s="324"/>
      <c r="G231" s="324"/>
      <c r="H231" s="324"/>
      <c r="I231" s="324"/>
      <c r="J231" s="324"/>
      <c r="K231" s="324"/>
      <c r="L231" s="324"/>
      <c r="M231" s="324"/>
      <c r="N231" s="324"/>
      <c r="O231" s="324"/>
      <c r="P231" s="324"/>
      <c r="Q231" s="324"/>
      <c r="R231" s="324"/>
      <c r="S231" s="324"/>
      <c r="T231" s="324"/>
      <c r="U231" s="324"/>
      <c r="V231" s="324"/>
      <c r="W231" s="324"/>
    </row>
    <row r="232">
      <c r="A232" s="323"/>
      <c r="B232" s="324"/>
      <c r="C232" s="324"/>
      <c r="D232" s="324"/>
      <c r="E232" s="324"/>
      <c r="F232" s="324"/>
      <c r="G232" s="324"/>
      <c r="H232" s="324"/>
      <c r="I232" s="324"/>
      <c r="J232" s="324"/>
      <c r="K232" s="324"/>
      <c r="L232" s="324"/>
      <c r="M232" s="324"/>
      <c r="N232" s="324"/>
      <c r="O232" s="324"/>
      <c r="P232" s="324"/>
      <c r="Q232" s="324"/>
      <c r="R232" s="324"/>
      <c r="S232" s="324"/>
      <c r="T232" s="324"/>
      <c r="U232" s="324"/>
      <c r="V232" s="324"/>
      <c r="W232" s="324"/>
    </row>
    <row r="233">
      <c r="A233" s="323"/>
      <c r="B233" s="324"/>
      <c r="C233" s="324"/>
      <c r="D233" s="324"/>
      <c r="E233" s="324"/>
      <c r="F233" s="324"/>
      <c r="G233" s="324"/>
      <c r="H233" s="324"/>
      <c r="I233" s="324"/>
      <c r="J233" s="324"/>
      <c r="K233" s="324"/>
      <c r="L233" s="324"/>
      <c r="M233" s="324"/>
      <c r="N233" s="324"/>
      <c r="O233" s="324"/>
      <c r="P233" s="324"/>
      <c r="Q233" s="324"/>
      <c r="R233" s="324"/>
      <c r="S233" s="324"/>
      <c r="T233" s="324"/>
      <c r="U233" s="324"/>
      <c r="V233" s="324"/>
      <c r="W233" s="324"/>
    </row>
    <row r="234">
      <c r="A234" s="323"/>
      <c r="B234" s="324"/>
      <c r="C234" s="324"/>
      <c r="D234" s="324"/>
      <c r="E234" s="324"/>
      <c r="F234" s="324"/>
      <c r="G234" s="324"/>
      <c r="H234" s="324"/>
      <c r="I234" s="324"/>
      <c r="J234" s="324"/>
      <c r="K234" s="324"/>
      <c r="L234" s="324"/>
      <c r="M234" s="324"/>
      <c r="N234" s="324"/>
      <c r="O234" s="324"/>
      <c r="P234" s="324"/>
      <c r="Q234" s="324"/>
      <c r="R234" s="324"/>
      <c r="S234" s="324"/>
      <c r="T234" s="324"/>
      <c r="U234" s="324"/>
      <c r="V234" s="324"/>
      <c r="W234" s="324"/>
    </row>
    <row r="235">
      <c r="A235" s="323"/>
      <c r="B235" s="324"/>
      <c r="C235" s="324"/>
      <c r="D235" s="324"/>
      <c r="E235" s="324"/>
      <c r="F235" s="324"/>
      <c r="G235" s="324"/>
      <c r="H235" s="324"/>
      <c r="I235" s="324"/>
      <c r="J235" s="324"/>
      <c r="K235" s="324"/>
      <c r="L235" s="324"/>
      <c r="M235" s="324"/>
      <c r="N235" s="324"/>
      <c r="O235" s="324"/>
      <c r="P235" s="324"/>
      <c r="Q235" s="324"/>
      <c r="R235" s="324"/>
      <c r="S235" s="324"/>
      <c r="T235" s="324"/>
      <c r="U235" s="324"/>
      <c r="V235" s="324"/>
      <c r="W235" s="324"/>
    </row>
    <row r="236">
      <c r="A236" s="323"/>
      <c r="B236" s="324"/>
      <c r="C236" s="324"/>
      <c r="D236" s="324"/>
      <c r="E236" s="324"/>
      <c r="F236" s="324"/>
      <c r="G236" s="324"/>
      <c r="H236" s="324"/>
      <c r="I236" s="324"/>
      <c r="J236" s="324"/>
      <c r="K236" s="324"/>
      <c r="L236" s="324"/>
      <c r="M236" s="324"/>
      <c r="N236" s="324"/>
      <c r="O236" s="324"/>
      <c r="P236" s="324"/>
      <c r="Q236" s="324"/>
      <c r="R236" s="324"/>
      <c r="S236" s="324"/>
      <c r="T236" s="324"/>
      <c r="U236" s="324"/>
      <c r="V236" s="324"/>
      <c r="W236" s="324"/>
    </row>
    <row r="237">
      <c r="A237" s="323"/>
      <c r="B237" s="324"/>
      <c r="C237" s="324"/>
      <c r="D237" s="324"/>
      <c r="E237" s="324"/>
      <c r="F237" s="324"/>
      <c r="G237" s="324"/>
      <c r="H237" s="324"/>
      <c r="I237" s="324"/>
      <c r="J237" s="324"/>
      <c r="K237" s="324"/>
      <c r="L237" s="324"/>
      <c r="M237" s="324"/>
      <c r="N237" s="324"/>
      <c r="O237" s="324"/>
      <c r="P237" s="324"/>
      <c r="Q237" s="324"/>
      <c r="R237" s="324"/>
      <c r="S237" s="324"/>
      <c r="T237" s="324"/>
      <c r="U237" s="324"/>
      <c r="V237" s="324"/>
      <c r="W237" s="324"/>
    </row>
    <row r="238">
      <c r="A238" s="323"/>
      <c r="B238" s="324"/>
      <c r="C238" s="324"/>
      <c r="D238" s="324"/>
      <c r="E238" s="324"/>
      <c r="F238" s="324"/>
      <c r="G238" s="324"/>
      <c r="H238" s="324"/>
      <c r="I238" s="324"/>
      <c r="J238" s="324"/>
      <c r="K238" s="324"/>
      <c r="L238" s="324"/>
      <c r="M238" s="324"/>
      <c r="N238" s="324"/>
      <c r="O238" s="324"/>
      <c r="P238" s="324"/>
      <c r="Q238" s="324"/>
      <c r="R238" s="324"/>
      <c r="S238" s="324"/>
      <c r="T238" s="324"/>
      <c r="U238" s="324"/>
      <c r="V238" s="324"/>
      <c r="W238" s="324"/>
    </row>
    <row r="239">
      <c r="A239" s="323"/>
      <c r="B239" s="324"/>
      <c r="C239" s="324"/>
      <c r="D239" s="324"/>
      <c r="E239" s="324"/>
      <c r="F239" s="324"/>
      <c r="G239" s="324"/>
      <c r="H239" s="324"/>
      <c r="I239" s="324"/>
      <c r="J239" s="324"/>
      <c r="K239" s="324"/>
      <c r="L239" s="324"/>
      <c r="M239" s="324"/>
      <c r="N239" s="324"/>
      <c r="O239" s="324"/>
      <c r="P239" s="324"/>
      <c r="Q239" s="324"/>
      <c r="R239" s="324"/>
      <c r="S239" s="324"/>
      <c r="T239" s="324"/>
      <c r="U239" s="324"/>
      <c r="V239" s="324"/>
      <c r="W239" s="324"/>
    </row>
    <row r="240">
      <c r="A240" s="323"/>
      <c r="B240" s="324"/>
      <c r="C240" s="324"/>
      <c r="D240" s="324"/>
      <c r="E240" s="324"/>
      <c r="F240" s="324"/>
      <c r="G240" s="324"/>
      <c r="H240" s="324"/>
      <c r="I240" s="324"/>
      <c r="J240" s="324"/>
      <c r="K240" s="324"/>
      <c r="L240" s="324"/>
      <c r="M240" s="324"/>
      <c r="N240" s="324"/>
      <c r="O240" s="324"/>
      <c r="P240" s="324"/>
      <c r="Q240" s="324"/>
      <c r="R240" s="324"/>
      <c r="S240" s="324"/>
      <c r="T240" s="324"/>
      <c r="U240" s="324"/>
      <c r="V240" s="324"/>
      <c r="W240" s="324"/>
    </row>
    <row r="241">
      <c r="A241" s="323"/>
      <c r="B241" s="324"/>
      <c r="C241" s="324"/>
      <c r="D241" s="324"/>
      <c r="E241" s="324"/>
      <c r="F241" s="324"/>
      <c r="G241" s="324"/>
      <c r="H241" s="324"/>
      <c r="I241" s="324"/>
      <c r="J241" s="324"/>
      <c r="K241" s="324"/>
      <c r="L241" s="324"/>
      <c r="M241" s="324"/>
      <c r="N241" s="324"/>
      <c r="O241" s="324"/>
      <c r="P241" s="324"/>
      <c r="Q241" s="324"/>
      <c r="R241" s="324"/>
      <c r="S241" s="324"/>
      <c r="T241" s="324"/>
      <c r="U241" s="324"/>
      <c r="V241" s="324"/>
      <c r="W241" s="324"/>
    </row>
    <row r="242">
      <c r="A242" s="323"/>
      <c r="B242" s="324"/>
      <c r="C242" s="324"/>
      <c r="D242" s="324"/>
      <c r="E242" s="324"/>
      <c r="F242" s="324"/>
      <c r="G242" s="324"/>
      <c r="H242" s="324"/>
      <c r="I242" s="324"/>
      <c r="J242" s="324"/>
      <c r="K242" s="324"/>
      <c r="L242" s="324"/>
      <c r="M242" s="324"/>
      <c r="N242" s="324"/>
      <c r="O242" s="324"/>
      <c r="P242" s="324"/>
      <c r="Q242" s="324"/>
      <c r="R242" s="324"/>
      <c r="S242" s="324"/>
      <c r="T242" s="324"/>
      <c r="U242" s="324"/>
      <c r="V242" s="324"/>
      <c r="W242" s="324"/>
    </row>
    <row r="243">
      <c r="A243" s="323"/>
      <c r="B243" s="324"/>
      <c r="C243" s="324"/>
      <c r="D243" s="324"/>
      <c r="E243" s="324"/>
      <c r="F243" s="324"/>
      <c r="G243" s="324"/>
      <c r="H243" s="324"/>
      <c r="I243" s="324"/>
      <c r="J243" s="324"/>
      <c r="K243" s="324"/>
      <c r="L243" s="324"/>
      <c r="M243" s="324"/>
      <c r="N243" s="324"/>
      <c r="O243" s="324"/>
      <c r="P243" s="324"/>
      <c r="Q243" s="324"/>
      <c r="R243" s="324"/>
      <c r="S243" s="324"/>
      <c r="T243" s="324"/>
      <c r="U243" s="324"/>
      <c r="V243" s="324"/>
      <c r="W243" s="324"/>
    </row>
    <row r="244">
      <c r="A244" s="323"/>
      <c r="B244" s="324"/>
      <c r="C244" s="324"/>
      <c r="D244" s="324"/>
      <c r="E244" s="324"/>
      <c r="F244" s="324"/>
      <c r="G244" s="324"/>
      <c r="H244" s="324"/>
      <c r="I244" s="324"/>
      <c r="J244" s="324"/>
      <c r="K244" s="324"/>
      <c r="L244" s="324"/>
      <c r="M244" s="324"/>
      <c r="N244" s="324"/>
      <c r="O244" s="324"/>
      <c r="P244" s="324"/>
      <c r="Q244" s="324"/>
      <c r="R244" s="324"/>
      <c r="S244" s="324"/>
      <c r="T244" s="324"/>
      <c r="U244" s="324"/>
      <c r="V244" s="324"/>
      <c r="W244" s="324"/>
    </row>
    <row r="245">
      <c r="A245" s="323"/>
      <c r="B245" s="324"/>
      <c r="C245" s="324"/>
      <c r="D245" s="324"/>
      <c r="E245" s="324"/>
      <c r="F245" s="324"/>
      <c r="G245" s="324"/>
      <c r="H245" s="324"/>
      <c r="I245" s="324"/>
      <c r="J245" s="324"/>
      <c r="K245" s="324"/>
      <c r="L245" s="324"/>
      <c r="M245" s="324"/>
      <c r="N245" s="324"/>
      <c r="O245" s="324"/>
      <c r="P245" s="324"/>
      <c r="Q245" s="324"/>
      <c r="R245" s="324"/>
      <c r="S245" s="324"/>
      <c r="T245" s="324"/>
      <c r="U245" s="324"/>
      <c r="V245" s="324"/>
      <c r="W245" s="324"/>
    </row>
    <row r="246">
      <c r="A246" s="323"/>
      <c r="B246" s="324"/>
      <c r="C246" s="324"/>
      <c r="D246" s="324"/>
      <c r="E246" s="324"/>
      <c r="F246" s="324"/>
      <c r="G246" s="324"/>
      <c r="H246" s="324"/>
      <c r="I246" s="324"/>
      <c r="J246" s="324"/>
      <c r="K246" s="324"/>
      <c r="L246" s="324"/>
      <c r="M246" s="324"/>
      <c r="N246" s="324"/>
      <c r="O246" s="324"/>
      <c r="P246" s="324"/>
      <c r="Q246" s="324"/>
      <c r="R246" s="324"/>
      <c r="S246" s="324"/>
      <c r="T246" s="324"/>
      <c r="U246" s="324"/>
      <c r="V246" s="324"/>
      <c r="W246" s="324"/>
    </row>
    <row r="247">
      <c r="A247" s="323"/>
      <c r="B247" s="324"/>
      <c r="C247" s="324"/>
      <c r="D247" s="324"/>
      <c r="E247" s="324"/>
      <c r="F247" s="324"/>
      <c r="G247" s="324"/>
      <c r="H247" s="324"/>
      <c r="I247" s="324"/>
      <c r="J247" s="324"/>
      <c r="K247" s="324"/>
      <c r="L247" s="324"/>
      <c r="M247" s="324"/>
      <c r="N247" s="324"/>
      <c r="O247" s="324"/>
      <c r="P247" s="324"/>
      <c r="Q247" s="324"/>
      <c r="R247" s="324"/>
      <c r="S247" s="324"/>
      <c r="T247" s="324"/>
      <c r="U247" s="324"/>
      <c r="V247" s="324"/>
      <c r="W247" s="324"/>
    </row>
    <row r="248">
      <c r="A248" s="323"/>
      <c r="B248" s="324"/>
      <c r="C248" s="324"/>
      <c r="D248" s="324"/>
      <c r="E248" s="324"/>
      <c r="F248" s="324"/>
      <c r="G248" s="324"/>
      <c r="H248" s="324"/>
      <c r="I248" s="324"/>
      <c r="J248" s="324"/>
      <c r="K248" s="324"/>
      <c r="L248" s="324"/>
      <c r="M248" s="324"/>
      <c r="N248" s="324"/>
      <c r="O248" s="324"/>
      <c r="P248" s="324"/>
      <c r="Q248" s="324"/>
      <c r="R248" s="324"/>
      <c r="S248" s="324"/>
      <c r="T248" s="324"/>
      <c r="U248" s="324"/>
      <c r="V248" s="324"/>
      <c r="W248" s="324"/>
    </row>
    <row r="249">
      <c r="A249" s="323"/>
      <c r="B249" s="324"/>
      <c r="C249" s="324"/>
      <c r="D249" s="324"/>
      <c r="E249" s="324"/>
      <c r="F249" s="324"/>
      <c r="G249" s="324"/>
      <c r="H249" s="324"/>
      <c r="I249" s="324"/>
      <c r="J249" s="324"/>
      <c r="K249" s="324"/>
      <c r="L249" s="324"/>
      <c r="M249" s="324"/>
      <c r="N249" s="324"/>
      <c r="O249" s="324"/>
      <c r="P249" s="324"/>
      <c r="Q249" s="324"/>
      <c r="R249" s="324"/>
      <c r="S249" s="324"/>
      <c r="T249" s="324"/>
      <c r="U249" s="324"/>
      <c r="V249" s="324"/>
      <c r="W249" s="324"/>
    </row>
    <row r="250">
      <c r="A250" s="323"/>
      <c r="B250" s="324"/>
      <c r="C250" s="324"/>
      <c r="D250" s="324"/>
      <c r="E250" s="324"/>
      <c r="F250" s="324"/>
      <c r="G250" s="324"/>
      <c r="H250" s="324"/>
      <c r="I250" s="324"/>
      <c r="J250" s="324"/>
      <c r="K250" s="324"/>
      <c r="L250" s="324"/>
      <c r="M250" s="324"/>
      <c r="N250" s="324"/>
      <c r="O250" s="324"/>
      <c r="P250" s="324"/>
      <c r="Q250" s="324"/>
      <c r="R250" s="324"/>
      <c r="S250" s="324"/>
      <c r="T250" s="324"/>
      <c r="U250" s="324"/>
      <c r="V250" s="324"/>
      <c r="W250" s="324"/>
    </row>
    <row r="251">
      <c r="A251" s="323"/>
      <c r="B251" s="324"/>
      <c r="C251" s="324"/>
      <c r="D251" s="324"/>
      <c r="E251" s="324"/>
      <c r="F251" s="324"/>
      <c r="G251" s="324"/>
      <c r="H251" s="324"/>
      <c r="I251" s="324"/>
      <c r="J251" s="324"/>
      <c r="K251" s="324"/>
      <c r="L251" s="324"/>
      <c r="M251" s="324"/>
      <c r="N251" s="324"/>
      <c r="O251" s="324"/>
      <c r="P251" s="324"/>
      <c r="Q251" s="324"/>
      <c r="R251" s="324"/>
      <c r="S251" s="324"/>
      <c r="T251" s="324"/>
      <c r="U251" s="324"/>
      <c r="V251" s="324"/>
      <c r="W251" s="324"/>
    </row>
    <row r="252">
      <c r="A252" s="323"/>
      <c r="B252" s="324"/>
      <c r="C252" s="324"/>
      <c r="D252" s="324"/>
      <c r="E252" s="324"/>
      <c r="F252" s="324"/>
      <c r="G252" s="324"/>
      <c r="H252" s="324"/>
      <c r="I252" s="324"/>
      <c r="J252" s="324"/>
      <c r="K252" s="324"/>
      <c r="L252" s="324"/>
      <c r="M252" s="324"/>
      <c r="N252" s="324"/>
      <c r="O252" s="324"/>
      <c r="P252" s="324"/>
      <c r="Q252" s="324"/>
      <c r="R252" s="324"/>
      <c r="S252" s="324"/>
      <c r="T252" s="324"/>
      <c r="U252" s="324"/>
      <c r="V252" s="324"/>
      <c r="W252" s="324"/>
    </row>
    <row r="253">
      <c r="A253" s="323"/>
      <c r="B253" s="324"/>
      <c r="C253" s="324"/>
      <c r="D253" s="324"/>
      <c r="E253" s="324"/>
      <c r="F253" s="324"/>
      <c r="G253" s="324"/>
      <c r="H253" s="324"/>
      <c r="I253" s="324"/>
      <c r="J253" s="324"/>
      <c r="K253" s="324"/>
      <c r="L253" s="324"/>
      <c r="M253" s="324"/>
      <c r="N253" s="324"/>
      <c r="O253" s="324"/>
      <c r="P253" s="324"/>
      <c r="Q253" s="324"/>
      <c r="R253" s="324"/>
      <c r="S253" s="324"/>
      <c r="T253" s="324"/>
      <c r="U253" s="324"/>
      <c r="V253" s="324"/>
      <c r="W253" s="324"/>
    </row>
    <row r="254">
      <c r="A254" s="323"/>
      <c r="B254" s="324"/>
      <c r="C254" s="324"/>
      <c r="D254" s="324"/>
      <c r="E254" s="324"/>
      <c r="F254" s="324"/>
      <c r="G254" s="324"/>
      <c r="H254" s="324"/>
      <c r="I254" s="324"/>
      <c r="J254" s="324"/>
      <c r="K254" s="324"/>
      <c r="L254" s="324"/>
      <c r="M254" s="324"/>
      <c r="N254" s="324"/>
      <c r="O254" s="324"/>
      <c r="P254" s="324"/>
      <c r="Q254" s="324"/>
      <c r="R254" s="324"/>
      <c r="S254" s="324"/>
      <c r="T254" s="324"/>
      <c r="U254" s="324"/>
      <c r="V254" s="324"/>
      <c r="W254" s="324"/>
    </row>
    <row r="255">
      <c r="A255" s="323"/>
      <c r="B255" s="324"/>
      <c r="C255" s="324"/>
      <c r="D255" s="324"/>
      <c r="E255" s="324"/>
      <c r="F255" s="324"/>
      <c r="G255" s="324"/>
      <c r="H255" s="324"/>
      <c r="I255" s="324"/>
      <c r="J255" s="324"/>
      <c r="K255" s="324"/>
      <c r="L255" s="324"/>
      <c r="M255" s="324"/>
      <c r="N255" s="324"/>
      <c r="O255" s="324"/>
      <c r="P255" s="324"/>
      <c r="Q255" s="324"/>
      <c r="R255" s="324"/>
      <c r="S255" s="324"/>
      <c r="T255" s="324"/>
      <c r="U255" s="324"/>
      <c r="V255" s="324"/>
      <c r="W255" s="324"/>
    </row>
    <row r="256">
      <c r="A256" s="323"/>
      <c r="B256" s="324"/>
      <c r="C256" s="324"/>
      <c r="D256" s="324"/>
      <c r="E256" s="324"/>
      <c r="F256" s="324"/>
      <c r="G256" s="324"/>
      <c r="H256" s="324"/>
      <c r="I256" s="324"/>
      <c r="J256" s="324"/>
      <c r="K256" s="324"/>
      <c r="L256" s="324"/>
      <c r="M256" s="324"/>
      <c r="N256" s="324"/>
      <c r="O256" s="324"/>
      <c r="P256" s="324"/>
      <c r="Q256" s="324"/>
      <c r="R256" s="324"/>
      <c r="S256" s="324"/>
      <c r="T256" s="324"/>
      <c r="U256" s="324"/>
      <c r="V256" s="324"/>
      <c r="W256" s="324"/>
    </row>
    <row r="257">
      <c r="A257" s="323"/>
      <c r="B257" s="324"/>
      <c r="C257" s="324"/>
      <c r="D257" s="324"/>
      <c r="E257" s="324"/>
      <c r="F257" s="324"/>
      <c r="G257" s="324"/>
      <c r="H257" s="324"/>
      <c r="I257" s="324"/>
      <c r="J257" s="324"/>
      <c r="K257" s="324"/>
      <c r="L257" s="324"/>
      <c r="M257" s="324"/>
      <c r="N257" s="324"/>
      <c r="O257" s="324"/>
      <c r="P257" s="324"/>
      <c r="Q257" s="324"/>
      <c r="R257" s="324"/>
      <c r="S257" s="324"/>
      <c r="T257" s="324"/>
      <c r="U257" s="324"/>
      <c r="V257" s="324"/>
      <c r="W257" s="324"/>
    </row>
    <row r="258">
      <c r="A258" s="323"/>
      <c r="B258" s="324"/>
      <c r="C258" s="324"/>
      <c r="D258" s="324"/>
      <c r="E258" s="324"/>
      <c r="F258" s="324"/>
      <c r="G258" s="324"/>
      <c r="H258" s="324"/>
      <c r="I258" s="324"/>
      <c r="J258" s="324"/>
      <c r="K258" s="324"/>
      <c r="L258" s="324"/>
      <c r="M258" s="324"/>
      <c r="N258" s="324"/>
      <c r="O258" s="324"/>
      <c r="P258" s="324"/>
      <c r="Q258" s="324"/>
      <c r="R258" s="324"/>
      <c r="S258" s="324"/>
      <c r="T258" s="324"/>
      <c r="U258" s="324"/>
      <c r="V258" s="324"/>
      <c r="W258" s="324"/>
    </row>
    <row r="259">
      <c r="A259" s="323"/>
      <c r="B259" s="324"/>
      <c r="C259" s="324"/>
      <c r="D259" s="324"/>
      <c r="E259" s="324"/>
      <c r="F259" s="324"/>
      <c r="G259" s="324"/>
      <c r="H259" s="324"/>
      <c r="I259" s="324"/>
      <c r="J259" s="324"/>
      <c r="K259" s="324"/>
      <c r="L259" s="324"/>
      <c r="M259" s="324"/>
      <c r="N259" s="324"/>
      <c r="O259" s="324"/>
      <c r="P259" s="324"/>
      <c r="Q259" s="324"/>
      <c r="R259" s="324"/>
      <c r="S259" s="324"/>
      <c r="T259" s="324"/>
      <c r="U259" s="324"/>
      <c r="V259" s="324"/>
      <c r="W259" s="324"/>
    </row>
    <row r="260">
      <c r="A260" s="323"/>
      <c r="B260" s="324"/>
      <c r="C260" s="324"/>
      <c r="D260" s="324"/>
      <c r="E260" s="324"/>
      <c r="F260" s="324"/>
      <c r="G260" s="324"/>
      <c r="H260" s="324"/>
      <c r="I260" s="324"/>
      <c r="J260" s="324"/>
      <c r="K260" s="324"/>
      <c r="L260" s="324"/>
      <c r="M260" s="324"/>
      <c r="N260" s="324"/>
      <c r="O260" s="324"/>
      <c r="P260" s="324"/>
      <c r="Q260" s="324"/>
      <c r="R260" s="324"/>
      <c r="S260" s="324"/>
      <c r="T260" s="324"/>
      <c r="U260" s="324"/>
      <c r="V260" s="324"/>
      <c r="W260" s="324"/>
    </row>
    <row r="261">
      <c r="A261" s="323"/>
      <c r="B261" s="324"/>
      <c r="C261" s="324"/>
      <c r="D261" s="324"/>
      <c r="E261" s="324"/>
      <c r="F261" s="324"/>
      <c r="G261" s="324"/>
      <c r="H261" s="324"/>
      <c r="I261" s="324"/>
      <c r="J261" s="324"/>
      <c r="K261" s="324"/>
      <c r="L261" s="324"/>
      <c r="M261" s="324"/>
      <c r="N261" s="324"/>
      <c r="O261" s="324"/>
      <c r="P261" s="324"/>
      <c r="Q261" s="324"/>
      <c r="R261" s="324"/>
      <c r="S261" s="324"/>
      <c r="T261" s="324"/>
      <c r="U261" s="324"/>
      <c r="V261" s="324"/>
      <c r="W261" s="324"/>
    </row>
    <row r="262">
      <c r="A262" s="323"/>
      <c r="B262" s="324"/>
      <c r="C262" s="324"/>
      <c r="D262" s="324"/>
      <c r="E262" s="324"/>
      <c r="F262" s="324"/>
      <c r="G262" s="324"/>
      <c r="H262" s="324"/>
      <c r="I262" s="324"/>
      <c r="J262" s="324"/>
      <c r="K262" s="324"/>
      <c r="L262" s="324"/>
      <c r="M262" s="324"/>
      <c r="N262" s="324"/>
      <c r="O262" s="324"/>
      <c r="P262" s="324"/>
      <c r="Q262" s="324"/>
      <c r="R262" s="324"/>
      <c r="S262" s="324"/>
      <c r="T262" s="324"/>
      <c r="U262" s="324"/>
      <c r="V262" s="324"/>
      <c r="W262" s="324"/>
    </row>
    <row r="263">
      <c r="A263" s="323"/>
      <c r="B263" s="324"/>
      <c r="C263" s="324"/>
      <c r="D263" s="324"/>
      <c r="E263" s="324"/>
      <c r="F263" s="324"/>
      <c r="G263" s="324"/>
      <c r="H263" s="324"/>
      <c r="I263" s="324"/>
      <c r="J263" s="324"/>
      <c r="K263" s="324"/>
      <c r="L263" s="324"/>
      <c r="M263" s="324"/>
      <c r="N263" s="324"/>
      <c r="O263" s="324"/>
      <c r="P263" s="324"/>
      <c r="Q263" s="324"/>
      <c r="R263" s="324"/>
      <c r="S263" s="324"/>
      <c r="T263" s="324"/>
      <c r="U263" s="324"/>
      <c r="V263" s="324"/>
      <c r="W263" s="324"/>
    </row>
    <row r="264">
      <c r="A264" s="323"/>
      <c r="B264" s="324"/>
      <c r="C264" s="324"/>
      <c r="D264" s="324"/>
      <c r="E264" s="324"/>
      <c r="F264" s="324"/>
      <c r="G264" s="324"/>
      <c r="H264" s="324"/>
      <c r="I264" s="324"/>
      <c r="J264" s="324"/>
      <c r="K264" s="324"/>
      <c r="L264" s="324"/>
      <c r="M264" s="324"/>
      <c r="N264" s="324"/>
      <c r="O264" s="324"/>
      <c r="P264" s="324"/>
      <c r="Q264" s="324"/>
      <c r="R264" s="324"/>
      <c r="S264" s="324"/>
      <c r="T264" s="324"/>
      <c r="U264" s="324"/>
      <c r="V264" s="324"/>
      <c r="W264" s="324"/>
    </row>
    <row r="265">
      <c r="A265" s="323"/>
      <c r="B265" s="324"/>
      <c r="C265" s="324"/>
      <c r="D265" s="324"/>
      <c r="E265" s="324"/>
      <c r="F265" s="324"/>
      <c r="G265" s="324"/>
      <c r="H265" s="324"/>
      <c r="I265" s="324"/>
      <c r="J265" s="324"/>
      <c r="K265" s="324"/>
      <c r="L265" s="324"/>
      <c r="M265" s="324"/>
      <c r="N265" s="324"/>
      <c r="O265" s="324"/>
      <c r="P265" s="324"/>
      <c r="Q265" s="324"/>
      <c r="R265" s="324"/>
      <c r="S265" s="324"/>
      <c r="T265" s="324"/>
      <c r="U265" s="324"/>
      <c r="V265" s="324"/>
      <c r="W265" s="324"/>
    </row>
    <row r="266">
      <c r="A266" s="323"/>
      <c r="B266" s="324"/>
      <c r="C266" s="324"/>
      <c r="D266" s="324"/>
      <c r="E266" s="324"/>
      <c r="F266" s="324"/>
      <c r="G266" s="324"/>
      <c r="H266" s="324"/>
      <c r="I266" s="324"/>
      <c r="J266" s="324"/>
      <c r="K266" s="324"/>
      <c r="L266" s="324"/>
      <c r="M266" s="324"/>
      <c r="N266" s="324"/>
      <c r="O266" s="324"/>
      <c r="P266" s="324"/>
      <c r="Q266" s="324"/>
      <c r="R266" s="324"/>
      <c r="S266" s="324"/>
      <c r="T266" s="324"/>
      <c r="U266" s="324"/>
      <c r="V266" s="324"/>
      <c r="W266" s="324"/>
    </row>
    <row r="267">
      <c r="A267" s="323"/>
      <c r="B267" s="324"/>
      <c r="C267" s="324"/>
      <c r="D267" s="324"/>
      <c r="E267" s="324"/>
      <c r="F267" s="324"/>
      <c r="G267" s="324"/>
      <c r="H267" s="324"/>
      <c r="I267" s="324"/>
      <c r="J267" s="324"/>
      <c r="K267" s="324"/>
      <c r="L267" s="324"/>
      <c r="M267" s="324"/>
      <c r="N267" s="324"/>
      <c r="O267" s="324"/>
      <c r="P267" s="324"/>
      <c r="Q267" s="324"/>
      <c r="R267" s="324"/>
      <c r="S267" s="324"/>
      <c r="T267" s="324"/>
      <c r="U267" s="324"/>
      <c r="V267" s="324"/>
      <c r="W267" s="324"/>
    </row>
    <row r="268">
      <c r="A268" s="323"/>
      <c r="B268" s="324"/>
      <c r="C268" s="324"/>
      <c r="D268" s="324"/>
      <c r="E268" s="324"/>
      <c r="F268" s="324"/>
      <c r="G268" s="324"/>
      <c r="H268" s="324"/>
      <c r="I268" s="324"/>
      <c r="J268" s="324"/>
      <c r="K268" s="324"/>
      <c r="L268" s="324"/>
      <c r="M268" s="324"/>
      <c r="N268" s="324"/>
      <c r="O268" s="324"/>
      <c r="P268" s="324"/>
      <c r="Q268" s="324"/>
      <c r="R268" s="324"/>
      <c r="S268" s="324"/>
      <c r="T268" s="324"/>
      <c r="U268" s="324"/>
      <c r="V268" s="324"/>
      <c r="W268" s="324"/>
    </row>
    <row r="269">
      <c r="A269" s="323"/>
      <c r="B269" s="324"/>
      <c r="C269" s="324"/>
      <c r="D269" s="324"/>
      <c r="E269" s="324"/>
      <c r="F269" s="324"/>
      <c r="G269" s="324"/>
      <c r="H269" s="324"/>
      <c r="I269" s="324"/>
      <c r="J269" s="324"/>
      <c r="K269" s="324"/>
      <c r="L269" s="324"/>
      <c r="M269" s="324"/>
      <c r="N269" s="324"/>
      <c r="O269" s="324"/>
      <c r="P269" s="324"/>
      <c r="Q269" s="324"/>
      <c r="R269" s="324"/>
      <c r="S269" s="324"/>
      <c r="T269" s="324"/>
      <c r="U269" s="324"/>
      <c r="V269" s="324"/>
      <c r="W269" s="324"/>
    </row>
    <row r="270">
      <c r="A270" s="323"/>
      <c r="B270" s="324"/>
      <c r="C270" s="324"/>
      <c r="D270" s="324"/>
      <c r="E270" s="324"/>
      <c r="F270" s="324"/>
      <c r="G270" s="324"/>
      <c r="H270" s="324"/>
      <c r="I270" s="324"/>
      <c r="J270" s="324"/>
      <c r="K270" s="324"/>
      <c r="L270" s="324"/>
      <c r="M270" s="324"/>
      <c r="N270" s="324"/>
      <c r="O270" s="324"/>
      <c r="P270" s="324"/>
      <c r="Q270" s="324"/>
      <c r="R270" s="324"/>
      <c r="S270" s="324"/>
      <c r="T270" s="324"/>
      <c r="U270" s="324"/>
      <c r="V270" s="324"/>
      <c r="W270" s="324"/>
    </row>
    <row r="271">
      <c r="A271" s="323"/>
      <c r="B271" s="324"/>
      <c r="C271" s="324"/>
      <c r="D271" s="324"/>
      <c r="E271" s="324"/>
      <c r="F271" s="324"/>
      <c r="G271" s="324"/>
      <c r="H271" s="324"/>
      <c r="I271" s="324"/>
      <c r="J271" s="324"/>
      <c r="K271" s="324"/>
      <c r="L271" s="324"/>
      <c r="M271" s="324"/>
      <c r="N271" s="324"/>
      <c r="O271" s="324"/>
      <c r="P271" s="324"/>
      <c r="Q271" s="324"/>
      <c r="R271" s="324"/>
      <c r="S271" s="324"/>
      <c r="T271" s="324"/>
      <c r="U271" s="324"/>
      <c r="V271" s="324"/>
      <c r="W271" s="324"/>
    </row>
    <row r="272">
      <c r="A272" s="323"/>
      <c r="B272" s="324"/>
      <c r="C272" s="324"/>
      <c r="D272" s="324"/>
      <c r="E272" s="324"/>
      <c r="F272" s="324"/>
      <c r="G272" s="324"/>
      <c r="H272" s="324"/>
      <c r="I272" s="324"/>
      <c r="J272" s="324"/>
      <c r="K272" s="324"/>
      <c r="L272" s="324"/>
      <c r="M272" s="324"/>
      <c r="N272" s="324"/>
      <c r="O272" s="324"/>
      <c r="P272" s="324"/>
      <c r="Q272" s="324"/>
      <c r="R272" s="324"/>
      <c r="S272" s="324"/>
      <c r="T272" s="324"/>
      <c r="U272" s="324"/>
      <c r="V272" s="324"/>
      <c r="W272" s="324"/>
    </row>
    <row r="273">
      <c r="A273" s="323"/>
      <c r="B273" s="324"/>
      <c r="C273" s="324"/>
      <c r="D273" s="324"/>
      <c r="E273" s="324"/>
      <c r="F273" s="324"/>
      <c r="G273" s="324"/>
      <c r="H273" s="324"/>
      <c r="I273" s="324"/>
      <c r="J273" s="324"/>
      <c r="K273" s="324"/>
      <c r="L273" s="324"/>
      <c r="M273" s="324"/>
      <c r="N273" s="324"/>
      <c r="O273" s="324"/>
      <c r="P273" s="324"/>
      <c r="Q273" s="324"/>
      <c r="R273" s="324"/>
      <c r="S273" s="324"/>
      <c r="T273" s="324"/>
      <c r="U273" s="324"/>
      <c r="V273" s="324"/>
      <c r="W273" s="324"/>
    </row>
    <row r="274">
      <c r="A274" s="323"/>
      <c r="B274" s="324"/>
      <c r="C274" s="324"/>
      <c r="D274" s="324"/>
      <c r="E274" s="324"/>
      <c r="F274" s="324"/>
      <c r="G274" s="324"/>
      <c r="H274" s="324"/>
      <c r="I274" s="324"/>
      <c r="J274" s="324"/>
      <c r="K274" s="324"/>
      <c r="L274" s="324"/>
      <c r="M274" s="324"/>
      <c r="N274" s="324"/>
      <c r="O274" s="324"/>
      <c r="P274" s="324"/>
      <c r="Q274" s="324"/>
      <c r="R274" s="324"/>
      <c r="S274" s="324"/>
      <c r="T274" s="324"/>
      <c r="U274" s="324"/>
      <c r="V274" s="324"/>
      <c r="W274" s="324"/>
    </row>
    <row r="275">
      <c r="A275" s="323"/>
      <c r="B275" s="324"/>
      <c r="C275" s="324"/>
      <c r="D275" s="324"/>
      <c r="E275" s="324"/>
      <c r="F275" s="324"/>
      <c r="G275" s="324"/>
      <c r="H275" s="324"/>
      <c r="I275" s="324"/>
      <c r="J275" s="324"/>
      <c r="K275" s="324"/>
      <c r="L275" s="324"/>
      <c r="M275" s="324"/>
      <c r="N275" s="324"/>
      <c r="O275" s="324"/>
      <c r="P275" s="324"/>
      <c r="Q275" s="324"/>
      <c r="R275" s="324"/>
      <c r="S275" s="324"/>
      <c r="T275" s="324"/>
      <c r="U275" s="324"/>
      <c r="V275" s="324"/>
      <c r="W275" s="324"/>
    </row>
    <row r="276">
      <c r="A276" s="323"/>
      <c r="B276" s="324"/>
      <c r="C276" s="324"/>
      <c r="D276" s="324"/>
      <c r="E276" s="324"/>
      <c r="F276" s="324"/>
      <c r="G276" s="324"/>
      <c r="H276" s="324"/>
      <c r="I276" s="324"/>
      <c r="J276" s="324"/>
      <c r="K276" s="324"/>
      <c r="L276" s="324"/>
      <c r="M276" s="324"/>
      <c r="N276" s="324"/>
      <c r="O276" s="324"/>
      <c r="P276" s="324"/>
      <c r="Q276" s="324"/>
      <c r="R276" s="324"/>
      <c r="S276" s="324"/>
      <c r="T276" s="324"/>
      <c r="U276" s="324"/>
      <c r="V276" s="324"/>
      <c r="W276" s="324"/>
    </row>
    <row r="277">
      <c r="A277" s="323"/>
      <c r="B277" s="324"/>
      <c r="C277" s="324"/>
      <c r="D277" s="324"/>
      <c r="E277" s="324"/>
      <c r="F277" s="324"/>
      <c r="G277" s="324"/>
      <c r="H277" s="324"/>
      <c r="I277" s="324"/>
      <c r="J277" s="324"/>
      <c r="K277" s="324"/>
      <c r="L277" s="324"/>
      <c r="M277" s="324"/>
      <c r="N277" s="324"/>
      <c r="O277" s="324"/>
      <c r="P277" s="324"/>
      <c r="Q277" s="324"/>
      <c r="R277" s="324"/>
      <c r="S277" s="324"/>
      <c r="T277" s="324"/>
      <c r="U277" s="324"/>
      <c r="V277" s="324"/>
      <c r="W277" s="324"/>
    </row>
    <row r="278">
      <c r="A278" s="323"/>
      <c r="B278" s="324"/>
      <c r="C278" s="324"/>
      <c r="D278" s="324"/>
      <c r="E278" s="324"/>
      <c r="F278" s="324"/>
      <c r="G278" s="324"/>
      <c r="H278" s="324"/>
      <c r="I278" s="324"/>
      <c r="J278" s="324"/>
      <c r="K278" s="324"/>
      <c r="L278" s="324"/>
      <c r="M278" s="324"/>
      <c r="N278" s="324"/>
      <c r="O278" s="324"/>
      <c r="P278" s="324"/>
      <c r="Q278" s="324"/>
      <c r="R278" s="324"/>
      <c r="S278" s="324"/>
      <c r="T278" s="324"/>
      <c r="U278" s="324"/>
      <c r="V278" s="324"/>
      <c r="W278" s="324"/>
    </row>
    <row r="279">
      <c r="A279" s="323"/>
      <c r="B279" s="324"/>
      <c r="C279" s="324"/>
      <c r="D279" s="324"/>
      <c r="E279" s="324"/>
      <c r="F279" s="324"/>
      <c r="G279" s="324"/>
      <c r="H279" s="324"/>
      <c r="I279" s="324"/>
      <c r="J279" s="324"/>
      <c r="K279" s="324"/>
      <c r="L279" s="324"/>
      <c r="M279" s="324"/>
      <c r="N279" s="324"/>
      <c r="O279" s="324"/>
      <c r="P279" s="324"/>
      <c r="Q279" s="324"/>
      <c r="R279" s="324"/>
      <c r="S279" s="324"/>
      <c r="T279" s="324"/>
      <c r="U279" s="324"/>
      <c r="V279" s="324"/>
      <c r="W279" s="324"/>
    </row>
    <row r="280">
      <c r="A280" s="323"/>
      <c r="B280" s="324"/>
      <c r="C280" s="324"/>
      <c r="D280" s="324"/>
      <c r="E280" s="324"/>
      <c r="F280" s="324"/>
      <c r="G280" s="324"/>
      <c r="H280" s="324"/>
      <c r="I280" s="324"/>
      <c r="J280" s="324"/>
      <c r="K280" s="324"/>
      <c r="L280" s="324"/>
      <c r="M280" s="324"/>
      <c r="N280" s="324"/>
      <c r="O280" s="324"/>
      <c r="P280" s="324"/>
      <c r="Q280" s="324"/>
      <c r="R280" s="324"/>
      <c r="S280" s="324"/>
      <c r="T280" s="324"/>
      <c r="U280" s="324"/>
      <c r="V280" s="324"/>
      <c r="W280" s="324"/>
    </row>
    <row r="281">
      <c r="A281" s="323"/>
      <c r="B281" s="324"/>
      <c r="C281" s="324"/>
      <c r="D281" s="324"/>
      <c r="E281" s="324"/>
      <c r="F281" s="324"/>
      <c r="G281" s="324"/>
      <c r="H281" s="324"/>
      <c r="I281" s="324"/>
      <c r="J281" s="324"/>
      <c r="K281" s="324"/>
      <c r="L281" s="324"/>
      <c r="M281" s="324"/>
      <c r="N281" s="324"/>
      <c r="O281" s="324"/>
      <c r="P281" s="324"/>
      <c r="Q281" s="324"/>
      <c r="R281" s="324"/>
      <c r="S281" s="324"/>
      <c r="T281" s="324"/>
      <c r="U281" s="324"/>
      <c r="V281" s="324"/>
      <c r="W281" s="324"/>
    </row>
    <row r="282">
      <c r="A282" s="323"/>
      <c r="B282" s="324"/>
      <c r="C282" s="324"/>
      <c r="D282" s="324"/>
      <c r="E282" s="324"/>
      <c r="F282" s="324"/>
      <c r="G282" s="324"/>
      <c r="H282" s="324"/>
      <c r="I282" s="324"/>
      <c r="J282" s="324"/>
      <c r="K282" s="324"/>
      <c r="L282" s="324"/>
      <c r="M282" s="324"/>
      <c r="N282" s="324"/>
      <c r="O282" s="324"/>
      <c r="P282" s="324"/>
      <c r="Q282" s="324"/>
      <c r="R282" s="324"/>
      <c r="S282" s="324"/>
      <c r="T282" s="324"/>
      <c r="U282" s="324"/>
      <c r="V282" s="324"/>
      <c r="W282" s="324"/>
    </row>
    <row r="283">
      <c r="A283" s="323"/>
      <c r="B283" s="324"/>
      <c r="C283" s="324"/>
      <c r="D283" s="324"/>
      <c r="E283" s="324"/>
      <c r="F283" s="324"/>
      <c r="G283" s="324"/>
      <c r="H283" s="324"/>
      <c r="I283" s="324"/>
      <c r="J283" s="324"/>
      <c r="K283" s="324"/>
      <c r="L283" s="324"/>
      <c r="M283" s="324"/>
      <c r="N283" s="324"/>
      <c r="O283" s="324"/>
      <c r="P283" s="324"/>
      <c r="Q283" s="324"/>
      <c r="R283" s="324"/>
      <c r="S283" s="324"/>
      <c r="T283" s="324"/>
      <c r="U283" s="324"/>
      <c r="V283" s="324"/>
      <c r="W283" s="324"/>
    </row>
    <row r="284">
      <c r="A284" s="323"/>
      <c r="B284" s="324"/>
      <c r="C284" s="324"/>
      <c r="D284" s="324"/>
      <c r="E284" s="324"/>
      <c r="F284" s="324"/>
      <c r="G284" s="324"/>
      <c r="H284" s="324"/>
      <c r="I284" s="324"/>
      <c r="J284" s="324"/>
      <c r="K284" s="324"/>
      <c r="L284" s="324"/>
      <c r="M284" s="324"/>
      <c r="N284" s="324"/>
      <c r="O284" s="324"/>
      <c r="P284" s="324"/>
      <c r="Q284" s="324"/>
      <c r="R284" s="324"/>
      <c r="S284" s="324"/>
      <c r="T284" s="324"/>
      <c r="U284" s="324"/>
      <c r="V284" s="324"/>
      <c r="W284" s="324"/>
    </row>
    <row r="285">
      <c r="A285" s="323"/>
      <c r="B285" s="324"/>
      <c r="C285" s="324"/>
      <c r="D285" s="324"/>
      <c r="E285" s="324"/>
      <c r="F285" s="324"/>
      <c r="G285" s="324"/>
      <c r="H285" s="324"/>
      <c r="I285" s="324"/>
      <c r="J285" s="324"/>
      <c r="K285" s="324"/>
      <c r="L285" s="324"/>
      <c r="M285" s="324"/>
      <c r="N285" s="324"/>
      <c r="O285" s="324"/>
      <c r="P285" s="324"/>
      <c r="Q285" s="324"/>
      <c r="R285" s="324"/>
      <c r="S285" s="324"/>
      <c r="T285" s="324"/>
      <c r="U285" s="324"/>
      <c r="V285" s="324"/>
      <c r="W285" s="324"/>
    </row>
    <row r="286">
      <c r="A286" s="323"/>
      <c r="B286" s="324"/>
      <c r="C286" s="324"/>
      <c r="D286" s="324"/>
      <c r="E286" s="324"/>
      <c r="F286" s="324"/>
      <c r="G286" s="324"/>
      <c r="H286" s="324"/>
      <c r="I286" s="324"/>
      <c r="J286" s="324"/>
      <c r="K286" s="324"/>
      <c r="L286" s="324"/>
      <c r="M286" s="324"/>
      <c r="N286" s="324"/>
      <c r="O286" s="324"/>
      <c r="P286" s="324"/>
      <c r="Q286" s="324"/>
      <c r="R286" s="324"/>
      <c r="S286" s="324"/>
      <c r="T286" s="324"/>
      <c r="U286" s="324"/>
      <c r="V286" s="324"/>
      <c r="W286" s="324"/>
    </row>
    <row r="287">
      <c r="A287" s="323"/>
      <c r="B287" s="324"/>
      <c r="C287" s="324"/>
      <c r="D287" s="324"/>
      <c r="E287" s="324"/>
      <c r="F287" s="324"/>
      <c r="G287" s="324"/>
      <c r="H287" s="324"/>
      <c r="I287" s="324"/>
      <c r="J287" s="324"/>
      <c r="K287" s="324"/>
      <c r="L287" s="324"/>
      <c r="M287" s="324"/>
      <c r="N287" s="324"/>
      <c r="O287" s="324"/>
      <c r="P287" s="324"/>
      <c r="Q287" s="324"/>
      <c r="R287" s="324"/>
      <c r="S287" s="324"/>
      <c r="T287" s="324"/>
      <c r="U287" s="324"/>
      <c r="V287" s="324"/>
      <c r="W287" s="324"/>
    </row>
    <row r="288">
      <c r="A288" s="323"/>
      <c r="B288" s="324"/>
      <c r="C288" s="324"/>
      <c r="D288" s="324"/>
      <c r="E288" s="324"/>
      <c r="F288" s="324"/>
      <c r="G288" s="324"/>
      <c r="H288" s="324"/>
      <c r="I288" s="324"/>
      <c r="J288" s="324"/>
      <c r="K288" s="324"/>
      <c r="L288" s="324"/>
      <c r="M288" s="324"/>
      <c r="N288" s="324"/>
      <c r="O288" s="324"/>
      <c r="P288" s="324"/>
      <c r="Q288" s="324"/>
      <c r="R288" s="324"/>
      <c r="S288" s="324"/>
      <c r="T288" s="324"/>
      <c r="U288" s="324"/>
      <c r="V288" s="324"/>
      <c r="W288" s="324"/>
    </row>
    <row r="289">
      <c r="A289" s="323"/>
      <c r="B289" s="324"/>
      <c r="C289" s="324"/>
      <c r="D289" s="324"/>
      <c r="E289" s="324"/>
      <c r="F289" s="324"/>
      <c r="G289" s="324"/>
      <c r="H289" s="324"/>
      <c r="I289" s="324"/>
      <c r="J289" s="324"/>
      <c r="K289" s="324"/>
      <c r="L289" s="324"/>
      <c r="M289" s="324"/>
      <c r="N289" s="324"/>
      <c r="O289" s="324"/>
      <c r="P289" s="324"/>
      <c r="Q289" s="324"/>
      <c r="R289" s="324"/>
      <c r="S289" s="324"/>
      <c r="T289" s="324"/>
      <c r="U289" s="324"/>
      <c r="V289" s="324"/>
      <c r="W289" s="324"/>
    </row>
    <row r="290">
      <c r="A290" s="323"/>
      <c r="B290" s="324"/>
      <c r="C290" s="324"/>
      <c r="D290" s="324"/>
      <c r="E290" s="324"/>
      <c r="F290" s="324"/>
      <c r="G290" s="324"/>
      <c r="H290" s="324"/>
      <c r="I290" s="324"/>
      <c r="J290" s="324"/>
      <c r="K290" s="324"/>
      <c r="L290" s="324"/>
      <c r="M290" s="324"/>
      <c r="N290" s="324"/>
      <c r="O290" s="324"/>
      <c r="P290" s="324"/>
      <c r="Q290" s="324"/>
      <c r="R290" s="324"/>
      <c r="S290" s="324"/>
      <c r="T290" s="324"/>
      <c r="U290" s="324"/>
      <c r="V290" s="324"/>
      <c r="W290" s="324"/>
    </row>
    <row r="291">
      <c r="A291" s="323"/>
      <c r="B291" s="324"/>
      <c r="C291" s="324"/>
      <c r="D291" s="324"/>
      <c r="E291" s="324"/>
      <c r="F291" s="324"/>
      <c r="G291" s="324"/>
      <c r="H291" s="324"/>
      <c r="I291" s="324"/>
      <c r="J291" s="324"/>
      <c r="K291" s="324"/>
      <c r="L291" s="324"/>
      <c r="M291" s="324"/>
      <c r="N291" s="324"/>
      <c r="O291" s="324"/>
      <c r="P291" s="324"/>
      <c r="Q291" s="324"/>
      <c r="R291" s="324"/>
      <c r="S291" s="324"/>
      <c r="T291" s="324"/>
      <c r="U291" s="324"/>
      <c r="V291" s="324"/>
      <c r="W291" s="324"/>
    </row>
    <row r="292">
      <c r="A292" s="323"/>
      <c r="B292" s="324"/>
      <c r="C292" s="324"/>
      <c r="D292" s="324"/>
      <c r="E292" s="324"/>
      <c r="F292" s="324"/>
      <c r="G292" s="324"/>
      <c r="H292" s="324"/>
      <c r="I292" s="324"/>
      <c r="J292" s="324"/>
      <c r="K292" s="324"/>
      <c r="L292" s="324"/>
      <c r="M292" s="324"/>
      <c r="N292" s="324"/>
      <c r="O292" s="324"/>
      <c r="P292" s="324"/>
      <c r="Q292" s="324"/>
      <c r="R292" s="324"/>
      <c r="S292" s="324"/>
      <c r="T292" s="324"/>
      <c r="U292" s="324"/>
      <c r="V292" s="324"/>
      <c r="W292" s="324"/>
    </row>
    <row r="293">
      <c r="A293" s="323"/>
      <c r="B293" s="324"/>
      <c r="C293" s="324"/>
      <c r="D293" s="324"/>
      <c r="E293" s="324"/>
      <c r="F293" s="324"/>
      <c r="G293" s="324"/>
      <c r="H293" s="324"/>
      <c r="I293" s="324"/>
      <c r="J293" s="324"/>
      <c r="K293" s="324"/>
      <c r="L293" s="324"/>
      <c r="M293" s="324"/>
      <c r="N293" s="324"/>
      <c r="O293" s="324"/>
      <c r="P293" s="324"/>
      <c r="Q293" s="324"/>
      <c r="R293" s="324"/>
      <c r="S293" s="324"/>
      <c r="T293" s="324"/>
      <c r="U293" s="324"/>
      <c r="V293" s="324"/>
      <c r="W293" s="324"/>
    </row>
    <row r="294">
      <c r="A294" s="323"/>
      <c r="B294" s="324"/>
      <c r="C294" s="324"/>
      <c r="D294" s="324"/>
      <c r="E294" s="324"/>
      <c r="F294" s="324"/>
      <c r="G294" s="324"/>
      <c r="H294" s="324"/>
      <c r="I294" s="324"/>
      <c r="J294" s="324"/>
      <c r="K294" s="324"/>
      <c r="L294" s="324"/>
      <c r="M294" s="324"/>
      <c r="N294" s="324"/>
      <c r="O294" s="324"/>
      <c r="P294" s="324"/>
      <c r="Q294" s="324"/>
      <c r="R294" s="324"/>
      <c r="S294" s="324"/>
      <c r="T294" s="324"/>
      <c r="U294" s="324"/>
      <c r="V294" s="324"/>
      <c r="W294" s="324"/>
    </row>
    <row r="295">
      <c r="A295" s="323"/>
      <c r="B295" s="324"/>
      <c r="C295" s="324"/>
      <c r="D295" s="324"/>
      <c r="E295" s="324"/>
      <c r="F295" s="324"/>
      <c r="G295" s="324"/>
      <c r="H295" s="324"/>
      <c r="I295" s="324"/>
      <c r="J295" s="324"/>
      <c r="K295" s="324"/>
      <c r="L295" s="324"/>
      <c r="M295" s="324"/>
      <c r="N295" s="324"/>
      <c r="O295" s="324"/>
      <c r="P295" s="324"/>
      <c r="Q295" s="324"/>
      <c r="R295" s="324"/>
      <c r="S295" s="324"/>
      <c r="T295" s="324"/>
      <c r="U295" s="324"/>
      <c r="V295" s="324"/>
      <c r="W295" s="324"/>
    </row>
    <row r="296">
      <c r="A296" s="323"/>
      <c r="B296" s="324"/>
      <c r="C296" s="324"/>
      <c r="D296" s="324"/>
      <c r="E296" s="324"/>
      <c r="F296" s="324"/>
      <c r="G296" s="324"/>
      <c r="H296" s="324"/>
      <c r="I296" s="324"/>
      <c r="J296" s="324"/>
      <c r="K296" s="324"/>
      <c r="L296" s="324"/>
      <c r="M296" s="324"/>
      <c r="N296" s="324"/>
      <c r="O296" s="324"/>
      <c r="P296" s="324"/>
      <c r="Q296" s="324"/>
      <c r="R296" s="324"/>
      <c r="S296" s="324"/>
      <c r="T296" s="324"/>
      <c r="U296" s="324"/>
      <c r="V296" s="324"/>
      <c r="W296" s="324"/>
    </row>
    <row r="297">
      <c r="A297" s="323"/>
      <c r="B297" s="324"/>
      <c r="C297" s="324"/>
      <c r="D297" s="324"/>
      <c r="E297" s="324"/>
      <c r="F297" s="324"/>
      <c r="G297" s="324"/>
      <c r="H297" s="324"/>
      <c r="I297" s="324"/>
      <c r="J297" s="324"/>
      <c r="K297" s="324"/>
      <c r="L297" s="324"/>
      <c r="M297" s="324"/>
      <c r="N297" s="324"/>
      <c r="O297" s="324"/>
      <c r="P297" s="324"/>
      <c r="Q297" s="324"/>
      <c r="R297" s="324"/>
      <c r="S297" s="324"/>
      <c r="T297" s="324"/>
      <c r="U297" s="324"/>
      <c r="V297" s="324"/>
      <c r="W297" s="324"/>
    </row>
    <row r="298">
      <c r="A298" s="323"/>
      <c r="B298" s="324"/>
      <c r="C298" s="324"/>
      <c r="D298" s="324"/>
      <c r="E298" s="324"/>
      <c r="F298" s="324"/>
      <c r="G298" s="324"/>
      <c r="H298" s="324"/>
      <c r="I298" s="324"/>
      <c r="J298" s="324"/>
      <c r="K298" s="324"/>
      <c r="L298" s="324"/>
      <c r="M298" s="324"/>
      <c r="N298" s="324"/>
      <c r="O298" s="324"/>
      <c r="P298" s="324"/>
      <c r="Q298" s="324"/>
      <c r="R298" s="324"/>
      <c r="S298" s="324"/>
      <c r="T298" s="324"/>
      <c r="U298" s="324"/>
      <c r="V298" s="324"/>
      <c r="W298" s="324"/>
    </row>
    <row r="299">
      <c r="A299" s="323"/>
      <c r="B299" s="324"/>
      <c r="C299" s="324"/>
      <c r="D299" s="324"/>
      <c r="E299" s="324"/>
      <c r="F299" s="324"/>
      <c r="G299" s="324"/>
      <c r="H299" s="324"/>
      <c r="I299" s="324"/>
      <c r="J299" s="324"/>
      <c r="K299" s="324"/>
      <c r="L299" s="324"/>
      <c r="M299" s="324"/>
      <c r="N299" s="324"/>
      <c r="O299" s="324"/>
      <c r="P299" s="324"/>
      <c r="Q299" s="324"/>
      <c r="R299" s="324"/>
      <c r="S299" s="324"/>
      <c r="T299" s="324"/>
      <c r="U299" s="324"/>
      <c r="V299" s="324"/>
      <c r="W299" s="324"/>
    </row>
    <row r="300">
      <c r="A300" s="323"/>
      <c r="B300" s="324"/>
      <c r="C300" s="324"/>
      <c r="D300" s="324"/>
      <c r="E300" s="324"/>
      <c r="F300" s="324"/>
      <c r="G300" s="324"/>
      <c r="H300" s="324"/>
      <c r="I300" s="324"/>
      <c r="J300" s="324"/>
      <c r="K300" s="324"/>
      <c r="L300" s="324"/>
      <c r="M300" s="324"/>
      <c r="N300" s="324"/>
      <c r="O300" s="324"/>
      <c r="P300" s="324"/>
      <c r="Q300" s="324"/>
      <c r="R300" s="324"/>
      <c r="S300" s="324"/>
      <c r="T300" s="324"/>
      <c r="U300" s="324"/>
      <c r="V300" s="324"/>
      <c r="W300" s="324"/>
    </row>
    <row r="301">
      <c r="A301" s="323"/>
      <c r="B301" s="324"/>
      <c r="C301" s="324"/>
      <c r="D301" s="324"/>
      <c r="E301" s="324"/>
      <c r="F301" s="324"/>
      <c r="G301" s="324"/>
      <c r="H301" s="324"/>
      <c r="I301" s="324"/>
      <c r="J301" s="324"/>
      <c r="K301" s="324"/>
      <c r="L301" s="324"/>
      <c r="M301" s="324"/>
      <c r="N301" s="324"/>
      <c r="O301" s="324"/>
      <c r="P301" s="324"/>
      <c r="Q301" s="324"/>
      <c r="R301" s="324"/>
      <c r="S301" s="324"/>
      <c r="T301" s="324"/>
      <c r="U301" s="324"/>
      <c r="V301" s="324"/>
      <c r="W301" s="324"/>
    </row>
    <row r="302">
      <c r="A302" s="323"/>
      <c r="B302" s="324"/>
      <c r="C302" s="324"/>
      <c r="D302" s="324"/>
      <c r="E302" s="324"/>
      <c r="F302" s="324"/>
      <c r="G302" s="324"/>
      <c r="H302" s="324"/>
      <c r="I302" s="324"/>
      <c r="J302" s="324"/>
      <c r="K302" s="324"/>
      <c r="L302" s="324"/>
      <c r="M302" s="324"/>
      <c r="N302" s="324"/>
      <c r="O302" s="324"/>
      <c r="P302" s="324"/>
      <c r="Q302" s="324"/>
      <c r="R302" s="324"/>
      <c r="S302" s="324"/>
      <c r="T302" s="324"/>
      <c r="U302" s="324"/>
      <c r="V302" s="324"/>
      <c r="W302" s="324"/>
    </row>
    <row r="303">
      <c r="A303" s="323"/>
      <c r="B303" s="324"/>
      <c r="C303" s="324"/>
      <c r="D303" s="324"/>
      <c r="E303" s="324"/>
      <c r="F303" s="324"/>
      <c r="G303" s="324"/>
      <c r="H303" s="324"/>
      <c r="I303" s="324"/>
      <c r="J303" s="324"/>
      <c r="K303" s="324"/>
      <c r="L303" s="324"/>
      <c r="M303" s="324"/>
      <c r="N303" s="324"/>
      <c r="O303" s="324"/>
      <c r="P303" s="324"/>
      <c r="Q303" s="324"/>
      <c r="R303" s="324"/>
      <c r="S303" s="324"/>
      <c r="T303" s="324"/>
      <c r="U303" s="324"/>
      <c r="V303" s="324"/>
      <c r="W303" s="324"/>
    </row>
    <row r="304">
      <c r="A304" s="323"/>
      <c r="B304" s="324"/>
      <c r="C304" s="324"/>
      <c r="D304" s="324"/>
      <c r="E304" s="324"/>
      <c r="F304" s="324"/>
      <c r="G304" s="324"/>
      <c r="H304" s="324"/>
      <c r="I304" s="324"/>
      <c r="J304" s="324"/>
      <c r="K304" s="324"/>
      <c r="L304" s="324"/>
      <c r="M304" s="324"/>
      <c r="N304" s="324"/>
      <c r="O304" s="324"/>
      <c r="P304" s="324"/>
      <c r="Q304" s="324"/>
      <c r="R304" s="324"/>
      <c r="S304" s="324"/>
      <c r="T304" s="324"/>
      <c r="U304" s="324"/>
      <c r="V304" s="324"/>
      <c r="W304" s="324"/>
    </row>
    <row r="305">
      <c r="A305" s="323"/>
      <c r="B305" s="324"/>
      <c r="C305" s="324"/>
      <c r="D305" s="324"/>
      <c r="E305" s="324"/>
      <c r="F305" s="324"/>
      <c r="G305" s="324"/>
      <c r="H305" s="324"/>
      <c r="I305" s="324"/>
      <c r="J305" s="324"/>
      <c r="K305" s="324"/>
      <c r="L305" s="324"/>
      <c r="M305" s="324"/>
      <c r="N305" s="324"/>
      <c r="O305" s="324"/>
      <c r="P305" s="324"/>
      <c r="Q305" s="324"/>
      <c r="R305" s="324"/>
      <c r="S305" s="324"/>
      <c r="T305" s="324"/>
      <c r="U305" s="324"/>
      <c r="V305" s="324"/>
      <c r="W305" s="324"/>
    </row>
    <row r="306">
      <c r="A306" s="323"/>
      <c r="B306" s="324"/>
      <c r="C306" s="324"/>
      <c r="D306" s="324"/>
      <c r="E306" s="324"/>
      <c r="F306" s="324"/>
      <c r="G306" s="324"/>
      <c r="H306" s="324"/>
      <c r="I306" s="324"/>
      <c r="J306" s="324"/>
      <c r="K306" s="324"/>
      <c r="L306" s="324"/>
      <c r="M306" s="324"/>
      <c r="N306" s="324"/>
      <c r="O306" s="324"/>
      <c r="P306" s="324"/>
      <c r="Q306" s="324"/>
      <c r="R306" s="324"/>
      <c r="S306" s="324"/>
      <c r="T306" s="324"/>
      <c r="U306" s="324"/>
      <c r="V306" s="324"/>
      <c r="W306" s="324"/>
    </row>
    <row r="307">
      <c r="A307" s="323"/>
      <c r="B307" s="324"/>
      <c r="C307" s="324"/>
      <c r="D307" s="324"/>
      <c r="E307" s="324"/>
      <c r="F307" s="324"/>
      <c r="G307" s="324"/>
      <c r="H307" s="324"/>
      <c r="I307" s="324"/>
      <c r="J307" s="324"/>
      <c r="K307" s="324"/>
      <c r="L307" s="324"/>
      <c r="M307" s="324"/>
      <c r="N307" s="324"/>
      <c r="O307" s="324"/>
      <c r="P307" s="324"/>
      <c r="Q307" s="324"/>
      <c r="R307" s="324"/>
      <c r="S307" s="324"/>
      <c r="T307" s="324"/>
      <c r="U307" s="324"/>
      <c r="V307" s="324"/>
      <c r="W307" s="324"/>
    </row>
    <row r="308">
      <c r="A308" s="323"/>
      <c r="B308" s="324"/>
      <c r="C308" s="324"/>
      <c r="D308" s="324"/>
      <c r="E308" s="324"/>
      <c r="F308" s="324"/>
      <c r="G308" s="324"/>
      <c r="H308" s="324"/>
      <c r="I308" s="324"/>
      <c r="J308" s="324"/>
      <c r="K308" s="324"/>
      <c r="L308" s="324"/>
      <c r="M308" s="324"/>
      <c r="N308" s="324"/>
      <c r="O308" s="324"/>
      <c r="P308" s="324"/>
      <c r="Q308" s="324"/>
      <c r="R308" s="324"/>
      <c r="S308" s="324"/>
      <c r="T308" s="324"/>
      <c r="U308" s="324"/>
      <c r="V308" s="324"/>
      <c r="W308" s="324"/>
    </row>
    <row r="309">
      <c r="A309" s="323"/>
      <c r="B309" s="324"/>
      <c r="C309" s="324"/>
      <c r="D309" s="324"/>
      <c r="E309" s="324"/>
      <c r="F309" s="324"/>
      <c r="G309" s="324"/>
      <c r="H309" s="324"/>
      <c r="I309" s="324"/>
      <c r="J309" s="324"/>
      <c r="K309" s="324"/>
      <c r="L309" s="324"/>
      <c r="M309" s="324"/>
      <c r="N309" s="324"/>
      <c r="O309" s="324"/>
      <c r="P309" s="324"/>
      <c r="Q309" s="324"/>
      <c r="R309" s="324"/>
      <c r="S309" s="324"/>
      <c r="T309" s="324"/>
      <c r="U309" s="324"/>
      <c r="V309" s="324"/>
      <c r="W309" s="324"/>
    </row>
    <row r="310">
      <c r="A310" s="323"/>
      <c r="B310" s="324"/>
      <c r="C310" s="324"/>
      <c r="D310" s="324"/>
      <c r="E310" s="324"/>
      <c r="F310" s="324"/>
      <c r="G310" s="324"/>
      <c r="H310" s="324"/>
      <c r="I310" s="324"/>
      <c r="J310" s="324"/>
      <c r="K310" s="324"/>
      <c r="L310" s="324"/>
      <c r="M310" s="324"/>
      <c r="N310" s="324"/>
      <c r="O310" s="324"/>
      <c r="P310" s="324"/>
      <c r="Q310" s="324"/>
      <c r="R310" s="324"/>
      <c r="S310" s="324"/>
      <c r="T310" s="324"/>
      <c r="U310" s="324"/>
      <c r="V310" s="324"/>
      <c r="W310" s="324"/>
    </row>
    <row r="311">
      <c r="A311" s="323"/>
      <c r="B311" s="324"/>
      <c r="C311" s="324"/>
      <c r="D311" s="324"/>
      <c r="E311" s="324"/>
      <c r="F311" s="324"/>
      <c r="G311" s="324"/>
      <c r="H311" s="324"/>
      <c r="I311" s="324"/>
      <c r="J311" s="324"/>
      <c r="K311" s="324"/>
      <c r="L311" s="324"/>
      <c r="M311" s="324"/>
      <c r="N311" s="324"/>
      <c r="O311" s="324"/>
      <c r="P311" s="324"/>
      <c r="Q311" s="324"/>
      <c r="R311" s="324"/>
      <c r="S311" s="324"/>
      <c r="T311" s="324"/>
      <c r="U311" s="324"/>
      <c r="V311" s="324"/>
      <c r="W311" s="324"/>
    </row>
    <row r="312">
      <c r="A312" s="323"/>
      <c r="B312" s="324"/>
      <c r="C312" s="324"/>
      <c r="D312" s="324"/>
      <c r="E312" s="324"/>
      <c r="F312" s="324"/>
      <c r="G312" s="324"/>
      <c r="H312" s="324"/>
      <c r="I312" s="324"/>
      <c r="J312" s="324"/>
      <c r="K312" s="324"/>
      <c r="L312" s="324"/>
      <c r="M312" s="324"/>
      <c r="N312" s="324"/>
      <c r="O312" s="324"/>
      <c r="P312" s="324"/>
      <c r="Q312" s="324"/>
      <c r="R312" s="324"/>
      <c r="S312" s="324"/>
      <c r="T312" s="324"/>
      <c r="U312" s="324"/>
      <c r="V312" s="324"/>
      <c r="W312" s="324"/>
    </row>
    <row r="313">
      <c r="A313" s="323"/>
      <c r="B313" s="324"/>
      <c r="C313" s="324"/>
      <c r="D313" s="324"/>
      <c r="E313" s="324"/>
      <c r="F313" s="324"/>
      <c r="G313" s="324"/>
      <c r="H313" s="324"/>
      <c r="I313" s="324"/>
      <c r="J313" s="324"/>
      <c r="K313" s="324"/>
      <c r="L313" s="324"/>
      <c r="M313" s="324"/>
      <c r="N313" s="324"/>
      <c r="O313" s="324"/>
      <c r="P313" s="324"/>
      <c r="Q313" s="324"/>
      <c r="R313" s="324"/>
      <c r="S313" s="324"/>
      <c r="T313" s="324"/>
      <c r="U313" s="324"/>
      <c r="V313" s="324"/>
      <c r="W313" s="324"/>
    </row>
    <row r="314">
      <c r="A314" s="323"/>
      <c r="B314" s="324"/>
      <c r="C314" s="324"/>
      <c r="D314" s="324"/>
      <c r="E314" s="324"/>
      <c r="F314" s="324"/>
      <c r="G314" s="324"/>
      <c r="H314" s="324"/>
      <c r="I314" s="324"/>
      <c r="J314" s="324"/>
      <c r="K314" s="324"/>
      <c r="L314" s="324"/>
      <c r="M314" s="324"/>
      <c r="N314" s="324"/>
      <c r="O314" s="324"/>
      <c r="P314" s="324"/>
      <c r="Q314" s="324"/>
      <c r="R314" s="324"/>
      <c r="S314" s="324"/>
      <c r="T314" s="324"/>
      <c r="U314" s="324"/>
      <c r="V314" s="324"/>
      <c r="W314" s="324"/>
    </row>
    <row r="315">
      <c r="A315" s="323"/>
      <c r="B315" s="324"/>
      <c r="C315" s="324"/>
      <c r="D315" s="324"/>
      <c r="E315" s="324"/>
      <c r="F315" s="324"/>
      <c r="G315" s="324"/>
      <c r="H315" s="324"/>
      <c r="I315" s="324"/>
      <c r="J315" s="324"/>
      <c r="K315" s="324"/>
      <c r="L315" s="324"/>
      <c r="M315" s="324"/>
      <c r="N315" s="324"/>
      <c r="O315" s="324"/>
      <c r="P315" s="324"/>
      <c r="Q315" s="324"/>
      <c r="R315" s="324"/>
      <c r="S315" s="324"/>
      <c r="T315" s="324"/>
      <c r="U315" s="324"/>
      <c r="V315" s="324"/>
      <c r="W315" s="324"/>
    </row>
    <row r="316">
      <c r="A316" s="323"/>
      <c r="B316" s="324"/>
      <c r="C316" s="324"/>
      <c r="D316" s="324"/>
      <c r="E316" s="324"/>
      <c r="F316" s="324"/>
      <c r="G316" s="324"/>
      <c r="H316" s="324"/>
      <c r="I316" s="324"/>
      <c r="J316" s="324"/>
      <c r="K316" s="324"/>
      <c r="L316" s="324"/>
      <c r="M316" s="324"/>
      <c r="N316" s="324"/>
      <c r="O316" s="324"/>
      <c r="P316" s="324"/>
      <c r="Q316" s="324"/>
      <c r="R316" s="324"/>
      <c r="S316" s="324"/>
      <c r="T316" s="324"/>
      <c r="U316" s="324"/>
      <c r="V316" s="324"/>
      <c r="W316" s="324"/>
    </row>
    <row r="317">
      <c r="A317" s="323"/>
      <c r="B317" s="324"/>
      <c r="C317" s="324"/>
      <c r="D317" s="324"/>
      <c r="E317" s="324"/>
      <c r="F317" s="324"/>
      <c r="G317" s="324"/>
      <c r="H317" s="324"/>
      <c r="I317" s="324"/>
      <c r="J317" s="324"/>
      <c r="K317" s="324"/>
      <c r="L317" s="324"/>
      <c r="M317" s="324"/>
      <c r="N317" s="324"/>
      <c r="O317" s="324"/>
      <c r="P317" s="324"/>
      <c r="Q317" s="324"/>
      <c r="R317" s="324"/>
      <c r="S317" s="324"/>
      <c r="T317" s="324"/>
      <c r="U317" s="324"/>
      <c r="V317" s="324"/>
      <c r="W317" s="324"/>
    </row>
    <row r="318">
      <c r="A318" s="323"/>
      <c r="B318" s="324"/>
      <c r="C318" s="324"/>
      <c r="D318" s="324"/>
      <c r="E318" s="324"/>
      <c r="F318" s="324"/>
      <c r="G318" s="324"/>
      <c r="H318" s="324"/>
      <c r="I318" s="324"/>
      <c r="J318" s="324"/>
      <c r="K318" s="324"/>
      <c r="L318" s="324"/>
      <c r="M318" s="324"/>
      <c r="N318" s="324"/>
      <c r="O318" s="324"/>
      <c r="P318" s="324"/>
      <c r="Q318" s="324"/>
      <c r="R318" s="324"/>
      <c r="S318" s="324"/>
      <c r="T318" s="324"/>
      <c r="U318" s="324"/>
      <c r="V318" s="324"/>
      <c r="W318" s="324"/>
    </row>
    <row r="319">
      <c r="A319" s="323"/>
      <c r="B319" s="324"/>
      <c r="C319" s="324"/>
      <c r="D319" s="324"/>
      <c r="E319" s="324"/>
      <c r="F319" s="324"/>
      <c r="G319" s="324"/>
      <c r="H319" s="324"/>
      <c r="I319" s="324"/>
      <c r="J319" s="324"/>
      <c r="K319" s="324"/>
      <c r="L319" s="324"/>
      <c r="M319" s="324"/>
      <c r="N319" s="324"/>
      <c r="O319" s="324"/>
      <c r="P319" s="324"/>
      <c r="Q319" s="324"/>
      <c r="R319" s="324"/>
      <c r="S319" s="324"/>
      <c r="T319" s="324"/>
      <c r="U319" s="324"/>
      <c r="V319" s="324"/>
      <c r="W319" s="324"/>
    </row>
    <row r="320">
      <c r="A320" s="323"/>
      <c r="B320" s="324"/>
      <c r="C320" s="324"/>
      <c r="D320" s="324"/>
      <c r="E320" s="324"/>
      <c r="F320" s="324"/>
      <c r="G320" s="324"/>
      <c r="H320" s="324"/>
      <c r="I320" s="324"/>
      <c r="J320" s="324"/>
      <c r="K320" s="324"/>
      <c r="L320" s="324"/>
      <c r="M320" s="324"/>
      <c r="N320" s="324"/>
      <c r="O320" s="324"/>
      <c r="P320" s="324"/>
      <c r="Q320" s="324"/>
      <c r="R320" s="324"/>
      <c r="S320" s="324"/>
      <c r="T320" s="324"/>
      <c r="U320" s="324"/>
      <c r="V320" s="324"/>
      <c r="W320" s="324"/>
    </row>
    <row r="321">
      <c r="A321" s="323"/>
      <c r="B321" s="324"/>
      <c r="C321" s="324"/>
      <c r="D321" s="324"/>
      <c r="E321" s="324"/>
      <c r="F321" s="324"/>
      <c r="G321" s="324"/>
      <c r="H321" s="324"/>
      <c r="I321" s="324"/>
      <c r="J321" s="324"/>
      <c r="K321" s="324"/>
      <c r="L321" s="324"/>
      <c r="M321" s="324"/>
      <c r="N321" s="324"/>
      <c r="O321" s="324"/>
      <c r="P321" s="324"/>
      <c r="Q321" s="324"/>
      <c r="R321" s="324"/>
      <c r="S321" s="324"/>
      <c r="T321" s="324"/>
      <c r="U321" s="324"/>
      <c r="V321" s="324"/>
      <c r="W321" s="324"/>
    </row>
    <row r="322">
      <c r="A322" s="323"/>
      <c r="B322" s="324"/>
      <c r="C322" s="324"/>
      <c r="D322" s="324"/>
      <c r="E322" s="324"/>
      <c r="F322" s="324"/>
      <c r="G322" s="324"/>
      <c r="H322" s="324"/>
      <c r="I322" s="324"/>
      <c r="J322" s="324"/>
      <c r="K322" s="324"/>
      <c r="L322" s="324"/>
      <c r="M322" s="324"/>
      <c r="N322" s="324"/>
      <c r="O322" s="324"/>
      <c r="P322" s="324"/>
      <c r="Q322" s="324"/>
      <c r="R322" s="324"/>
      <c r="S322" s="324"/>
      <c r="T322" s="324"/>
      <c r="U322" s="324"/>
      <c r="V322" s="324"/>
      <c r="W322" s="324"/>
    </row>
    <row r="323">
      <c r="A323" s="323"/>
      <c r="B323" s="324"/>
      <c r="C323" s="324"/>
      <c r="D323" s="324"/>
      <c r="E323" s="324"/>
      <c r="F323" s="324"/>
      <c r="G323" s="324"/>
      <c r="H323" s="324"/>
      <c r="I323" s="324"/>
      <c r="J323" s="324"/>
      <c r="K323" s="324"/>
      <c r="L323" s="324"/>
      <c r="M323" s="324"/>
      <c r="N323" s="324"/>
      <c r="O323" s="324"/>
      <c r="P323" s="324"/>
      <c r="Q323" s="324"/>
      <c r="R323" s="324"/>
      <c r="S323" s="324"/>
      <c r="T323" s="324"/>
      <c r="U323" s="324"/>
      <c r="V323" s="324"/>
      <c r="W323" s="324"/>
    </row>
    <row r="324">
      <c r="A324" s="323"/>
      <c r="B324" s="324"/>
      <c r="C324" s="324"/>
      <c r="D324" s="324"/>
      <c r="E324" s="324"/>
      <c r="F324" s="324"/>
      <c r="G324" s="324"/>
      <c r="H324" s="324"/>
      <c r="I324" s="324"/>
      <c r="J324" s="324"/>
      <c r="K324" s="324"/>
      <c r="L324" s="324"/>
      <c r="M324" s="324"/>
      <c r="N324" s="324"/>
      <c r="O324" s="324"/>
      <c r="P324" s="324"/>
      <c r="Q324" s="324"/>
      <c r="R324" s="324"/>
      <c r="S324" s="324"/>
      <c r="T324" s="324"/>
      <c r="U324" s="324"/>
      <c r="V324" s="324"/>
      <c r="W324" s="324"/>
    </row>
    <row r="325">
      <c r="A325" s="323"/>
      <c r="B325" s="324"/>
      <c r="C325" s="324"/>
      <c r="D325" s="324"/>
      <c r="E325" s="324"/>
      <c r="F325" s="324"/>
      <c r="G325" s="324"/>
      <c r="H325" s="324"/>
      <c r="I325" s="324"/>
      <c r="J325" s="324"/>
      <c r="K325" s="324"/>
      <c r="L325" s="324"/>
      <c r="M325" s="324"/>
      <c r="N325" s="324"/>
      <c r="O325" s="324"/>
      <c r="P325" s="324"/>
      <c r="Q325" s="324"/>
      <c r="R325" s="324"/>
      <c r="S325" s="324"/>
      <c r="T325" s="324"/>
      <c r="U325" s="324"/>
      <c r="V325" s="324"/>
      <c r="W325" s="324"/>
    </row>
    <row r="326">
      <c r="A326" s="323"/>
      <c r="B326" s="324"/>
      <c r="C326" s="324"/>
      <c r="D326" s="324"/>
      <c r="E326" s="324"/>
      <c r="F326" s="324"/>
      <c r="G326" s="324"/>
      <c r="H326" s="324"/>
      <c r="I326" s="324"/>
      <c r="J326" s="324"/>
      <c r="K326" s="324"/>
      <c r="L326" s="324"/>
      <c r="M326" s="324"/>
      <c r="N326" s="324"/>
      <c r="O326" s="324"/>
      <c r="P326" s="324"/>
      <c r="Q326" s="324"/>
      <c r="R326" s="324"/>
      <c r="S326" s="324"/>
      <c r="T326" s="324"/>
      <c r="U326" s="324"/>
      <c r="V326" s="324"/>
      <c r="W326" s="324"/>
    </row>
    <row r="327">
      <c r="A327" s="323"/>
      <c r="B327" s="324"/>
      <c r="C327" s="324"/>
      <c r="D327" s="324"/>
      <c r="E327" s="324"/>
      <c r="F327" s="324"/>
      <c r="G327" s="324"/>
      <c r="H327" s="324"/>
      <c r="I327" s="324"/>
      <c r="J327" s="324"/>
      <c r="K327" s="324"/>
      <c r="L327" s="324"/>
      <c r="M327" s="324"/>
      <c r="N327" s="324"/>
      <c r="O327" s="324"/>
      <c r="P327" s="324"/>
      <c r="Q327" s="324"/>
      <c r="R327" s="324"/>
      <c r="S327" s="324"/>
      <c r="T327" s="324"/>
      <c r="U327" s="324"/>
      <c r="V327" s="324"/>
      <c r="W327" s="324"/>
    </row>
    <row r="328">
      <c r="A328" s="323"/>
      <c r="B328" s="324"/>
      <c r="C328" s="324"/>
      <c r="D328" s="324"/>
      <c r="E328" s="324"/>
      <c r="F328" s="324"/>
      <c r="G328" s="324"/>
      <c r="H328" s="324"/>
      <c r="I328" s="324"/>
      <c r="J328" s="324"/>
      <c r="K328" s="324"/>
      <c r="L328" s="324"/>
      <c r="M328" s="324"/>
      <c r="N328" s="324"/>
      <c r="O328" s="324"/>
      <c r="P328" s="324"/>
      <c r="Q328" s="324"/>
      <c r="R328" s="324"/>
      <c r="S328" s="324"/>
      <c r="T328" s="324"/>
      <c r="U328" s="324"/>
      <c r="V328" s="324"/>
      <c r="W328" s="324"/>
    </row>
    <row r="329">
      <c r="A329" s="323"/>
      <c r="B329" s="324"/>
      <c r="C329" s="324"/>
      <c r="D329" s="324"/>
      <c r="E329" s="324"/>
      <c r="F329" s="324"/>
      <c r="G329" s="324"/>
      <c r="H329" s="324"/>
      <c r="I329" s="324"/>
      <c r="J329" s="324"/>
      <c r="K329" s="324"/>
      <c r="L329" s="324"/>
      <c r="M329" s="324"/>
      <c r="N329" s="324"/>
      <c r="O329" s="324"/>
      <c r="P329" s="324"/>
      <c r="Q329" s="324"/>
      <c r="R329" s="324"/>
      <c r="S329" s="324"/>
      <c r="T329" s="324"/>
      <c r="U329" s="324"/>
      <c r="V329" s="324"/>
      <c r="W329" s="324"/>
    </row>
    <row r="330">
      <c r="A330" s="323"/>
      <c r="B330" s="324"/>
      <c r="C330" s="324"/>
      <c r="D330" s="324"/>
      <c r="E330" s="324"/>
      <c r="F330" s="324"/>
      <c r="G330" s="324"/>
      <c r="H330" s="324"/>
      <c r="I330" s="324"/>
      <c r="J330" s="324"/>
      <c r="K330" s="324"/>
      <c r="L330" s="324"/>
      <c r="M330" s="324"/>
      <c r="N330" s="324"/>
      <c r="O330" s="324"/>
      <c r="P330" s="324"/>
      <c r="Q330" s="324"/>
      <c r="R330" s="324"/>
      <c r="S330" s="324"/>
      <c r="T330" s="324"/>
      <c r="U330" s="324"/>
      <c r="V330" s="324"/>
      <c r="W330" s="324"/>
    </row>
    <row r="331">
      <c r="A331" s="323"/>
      <c r="B331" s="324"/>
      <c r="C331" s="324"/>
      <c r="D331" s="324"/>
      <c r="E331" s="324"/>
      <c r="F331" s="324"/>
      <c r="G331" s="324"/>
      <c r="H331" s="324"/>
      <c r="I331" s="324"/>
      <c r="J331" s="324"/>
      <c r="K331" s="324"/>
      <c r="L331" s="324"/>
      <c r="M331" s="324"/>
      <c r="N331" s="324"/>
      <c r="O331" s="324"/>
      <c r="P331" s="324"/>
      <c r="Q331" s="324"/>
      <c r="R331" s="324"/>
      <c r="S331" s="324"/>
      <c r="T331" s="324"/>
      <c r="U331" s="324"/>
      <c r="V331" s="324"/>
      <c r="W331" s="324"/>
    </row>
    <row r="332">
      <c r="A332" s="323"/>
      <c r="B332" s="324"/>
      <c r="C332" s="324"/>
      <c r="D332" s="324"/>
      <c r="E332" s="324"/>
      <c r="F332" s="324"/>
      <c r="G332" s="324"/>
      <c r="H332" s="324"/>
      <c r="I332" s="324"/>
      <c r="J332" s="324"/>
      <c r="K332" s="324"/>
      <c r="L332" s="324"/>
      <c r="M332" s="324"/>
      <c r="N332" s="324"/>
      <c r="O332" s="324"/>
      <c r="P332" s="324"/>
      <c r="Q332" s="324"/>
      <c r="R332" s="324"/>
      <c r="S332" s="324"/>
      <c r="T332" s="324"/>
      <c r="U332" s="324"/>
      <c r="V332" s="324"/>
      <c r="W332" s="324"/>
    </row>
    <row r="333">
      <c r="A333" s="323"/>
      <c r="B333" s="324"/>
      <c r="C333" s="324"/>
      <c r="D333" s="324"/>
      <c r="E333" s="324"/>
      <c r="F333" s="324"/>
      <c r="G333" s="324"/>
      <c r="H333" s="324"/>
      <c r="I333" s="324"/>
      <c r="J333" s="324"/>
      <c r="K333" s="324"/>
      <c r="L333" s="324"/>
      <c r="M333" s="324"/>
      <c r="N333" s="324"/>
      <c r="O333" s="324"/>
      <c r="P333" s="324"/>
      <c r="Q333" s="324"/>
      <c r="R333" s="324"/>
      <c r="S333" s="324"/>
      <c r="T333" s="324"/>
      <c r="U333" s="324"/>
      <c r="V333" s="324"/>
      <c r="W333" s="324"/>
    </row>
    <row r="334">
      <c r="A334" s="323"/>
      <c r="B334" s="324"/>
      <c r="C334" s="324"/>
      <c r="D334" s="324"/>
      <c r="E334" s="324"/>
      <c r="F334" s="324"/>
      <c r="G334" s="324"/>
      <c r="H334" s="324"/>
      <c r="I334" s="324"/>
      <c r="J334" s="324"/>
      <c r="K334" s="324"/>
      <c r="L334" s="324"/>
      <c r="M334" s="324"/>
      <c r="N334" s="324"/>
      <c r="O334" s="324"/>
      <c r="P334" s="324"/>
      <c r="Q334" s="324"/>
      <c r="R334" s="324"/>
      <c r="S334" s="324"/>
      <c r="T334" s="324"/>
      <c r="U334" s="324"/>
      <c r="V334" s="324"/>
      <c r="W334" s="324"/>
    </row>
    <row r="335">
      <c r="A335" s="323"/>
      <c r="B335" s="324"/>
      <c r="C335" s="324"/>
      <c r="D335" s="324"/>
      <c r="E335" s="324"/>
      <c r="F335" s="324"/>
      <c r="G335" s="324"/>
      <c r="H335" s="324"/>
      <c r="I335" s="324"/>
      <c r="J335" s="324"/>
      <c r="K335" s="324"/>
      <c r="L335" s="324"/>
      <c r="M335" s="324"/>
      <c r="N335" s="324"/>
      <c r="O335" s="324"/>
      <c r="P335" s="324"/>
      <c r="Q335" s="324"/>
      <c r="R335" s="324"/>
      <c r="S335" s="324"/>
      <c r="T335" s="324"/>
      <c r="U335" s="324"/>
      <c r="V335" s="324"/>
      <c r="W335" s="324"/>
    </row>
    <row r="336">
      <c r="A336" s="323"/>
      <c r="B336" s="324"/>
      <c r="C336" s="324"/>
      <c r="D336" s="324"/>
      <c r="E336" s="324"/>
      <c r="F336" s="324"/>
      <c r="G336" s="324"/>
      <c r="H336" s="324"/>
      <c r="I336" s="324"/>
      <c r="J336" s="324"/>
      <c r="K336" s="324"/>
      <c r="L336" s="324"/>
      <c r="M336" s="324"/>
      <c r="N336" s="324"/>
      <c r="O336" s="324"/>
      <c r="P336" s="324"/>
      <c r="Q336" s="324"/>
      <c r="R336" s="324"/>
      <c r="S336" s="324"/>
      <c r="T336" s="324"/>
      <c r="U336" s="324"/>
      <c r="V336" s="324"/>
      <c r="W336" s="324"/>
    </row>
    <row r="337">
      <c r="A337" s="323"/>
      <c r="B337" s="324"/>
      <c r="C337" s="324"/>
      <c r="D337" s="324"/>
      <c r="E337" s="324"/>
      <c r="F337" s="324"/>
      <c r="G337" s="324"/>
      <c r="H337" s="324"/>
      <c r="I337" s="324"/>
      <c r="J337" s="324"/>
      <c r="K337" s="324"/>
      <c r="L337" s="324"/>
      <c r="M337" s="324"/>
      <c r="N337" s="324"/>
      <c r="O337" s="324"/>
      <c r="P337" s="324"/>
      <c r="Q337" s="324"/>
      <c r="R337" s="324"/>
      <c r="S337" s="324"/>
      <c r="T337" s="324"/>
      <c r="U337" s="324"/>
      <c r="V337" s="324"/>
      <c r="W337" s="324"/>
    </row>
    <row r="338">
      <c r="A338" s="323"/>
      <c r="B338" s="324"/>
      <c r="C338" s="324"/>
      <c r="D338" s="324"/>
      <c r="E338" s="324"/>
      <c r="F338" s="324"/>
      <c r="G338" s="324"/>
      <c r="H338" s="324"/>
      <c r="I338" s="324"/>
      <c r="J338" s="324"/>
      <c r="K338" s="324"/>
      <c r="L338" s="324"/>
      <c r="M338" s="324"/>
      <c r="N338" s="324"/>
      <c r="O338" s="324"/>
      <c r="P338" s="324"/>
      <c r="Q338" s="324"/>
      <c r="R338" s="324"/>
      <c r="S338" s="324"/>
      <c r="T338" s="324"/>
      <c r="U338" s="324"/>
      <c r="V338" s="324"/>
      <c r="W338" s="324"/>
    </row>
    <row r="339">
      <c r="A339" s="323"/>
      <c r="B339" s="324"/>
      <c r="C339" s="324"/>
      <c r="D339" s="324"/>
      <c r="E339" s="324"/>
      <c r="F339" s="324"/>
      <c r="G339" s="324"/>
      <c r="H339" s="324"/>
      <c r="I339" s="324"/>
      <c r="J339" s="324"/>
      <c r="K339" s="324"/>
      <c r="L339" s="324"/>
      <c r="M339" s="324"/>
      <c r="N339" s="324"/>
      <c r="O339" s="324"/>
      <c r="P339" s="324"/>
      <c r="Q339" s="324"/>
      <c r="R339" s="324"/>
      <c r="S339" s="324"/>
      <c r="T339" s="324"/>
      <c r="U339" s="324"/>
      <c r="V339" s="324"/>
      <c r="W339" s="324"/>
    </row>
    <row r="340">
      <c r="A340" s="323"/>
      <c r="B340" s="324"/>
      <c r="C340" s="324"/>
      <c r="D340" s="324"/>
      <c r="E340" s="324"/>
      <c r="F340" s="324"/>
      <c r="G340" s="324"/>
      <c r="H340" s="324"/>
      <c r="I340" s="324"/>
      <c r="J340" s="324"/>
      <c r="K340" s="324"/>
      <c r="L340" s="324"/>
      <c r="M340" s="324"/>
      <c r="N340" s="324"/>
      <c r="O340" s="324"/>
      <c r="P340" s="324"/>
      <c r="Q340" s="324"/>
      <c r="R340" s="324"/>
      <c r="S340" s="324"/>
      <c r="T340" s="324"/>
      <c r="U340" s="324"/>
      <c r="V340" s="324"/>
      <c r="W340" s="324"/>
    </row>
    <row r="341">
      <c r="A341" s="323"/>
      <c r="B341" s="324"/>
      <c r="C341" s="324"/>
      <c r="D341" s="324"/>
      <c r="E341" s="324"/>
      <c r="F341" s="324"/>
      <c r="G341" s="324"/>
      <c r="H341" s="324"/>
      <c r="I341" s="324"/>
      <c r="J341" s="324"/>
      <c r="K341" s="324"/>
      <c r="L341" s="324"/>
      <c r="M341" s="324"/>
      <c r="N341" s="324"/>
      <c r="O341" s="324"/>
      <c r="P341" s="324"/>
      <c r="Q341" s="324"/>
      <c r="R341" s="324"/>
      <c r="S341" s="324"/>
      <c r="T341" s="324"/>
      <c r="U341" s="324"/>
      <c r="V341" s="324"/>
      <c r="W341" s="324"/>
    </row>
    <row r="342">
      <c r="A342" s="323"/>
      <c r="B342" s="324"/>
      <c r="C342" s="324"/>
      <c r="D342" s="324"/>
      <c r="E342" s="324"/>
      <c r="F342" s="324"/>
      <c r="G342" s="324"/>
      <c r="H342" s="324"/>
      <c r="I342" s="324"/>
      <c r="J342" s="324"/>
      <c r="K342" s="324"/>
      <c r="L342" s="324"/>
      <c r="M342" s="324"/>
      <c r="N342" s="324"/>
      <c r="O342" s="324"/>
      <c r="P342" s="324"/>
      <c r="Q342" s="324"/>
      <c r="R342" s="324"/>
      <c r="S342" s="324"/>
      <c r="T342" s="324"/>
      <c r="U342" s="324"/>
      <c r="V342" s="324"/>
      <c r="W342" s="324"/>
    </row>
    <row r="343">
      <c r="A343" s="323"/>
      <c r="B343" s="324"/>
      <c r="C343" s="324"/>
      <c r="D343" s="324"/>
      <c r="E343" s="324"/>
      <c r="F343" s="324"/>
      <c r="G343" s="324"/>
      <c r="H343" s="324"/>
      <c r="I343" s="324"/>
      <c r="J343" s="324"/>
      <c r="K343" s="324"/>
      <c r="L343" s="324"/>
      <c r="M343" s="324"/>
      <c r="N343" s="324"/>
      <c r="O343" s="324"/>
      <c r="P343" s="324"/>
      <c r="Q343" s="324"/>
      <c r="R343" s="324"/>
      <c r="S343" s="324"/>
      <c r="T343" s="324"/>
      <c r="U343" s="324"/>
      <c r="V343" s="324"/>
      <c r="W343" s="324"/>
    </row>
    <row r="344">
      <c r="A344" s="323"/>
      <c r="B344" s="324"/>
      <c r="C344" s="324"/>
      <c r="D344" s="324"/>
      <c r="E344" s="324"/>
      <c r="F344" s="324"/>
      <c r="G344" s="324"/>
      <c r="H344" s="324"/>
      <c r="I344" s="324"/>
      <c r="J344" s="324"/>
      <c r="K344" s="324"/>
      <c r="L344" s="324"/>
      <c r="M344" s="324"/>
      <c r="N344" s="324"/>
      <c r="O344" s="324"/>
      <c r="P344" s="324"/>
      <c r="Q344" s="324"/>
      <c r="R344" s="324"/>
      <c r="S344" s="324"/>
      <c r="T344" s="324"/>
      <c r="U344" s="324"/>
      <c r="V344" s="324"/>
      <c r="W344" s="324"/>
    </row>
    <row r="345">
      <c r="A345" s="323"/>
      <c r="B345" s="324"/>
      <c r="C345" s="324"/>
      <c r="D345" s="324"/>
      <c r="E345" s="324"/>
      <c r="F345" s="324"/>
      <c r="G345" s="324"/>
      <c r="H345" s="324"/>
      <c r="I345" s="324"/>
      <c r="J345" s="324"/>
      <c r="K345" s="324"/>
      <c r="L345" s="324"/>
      <c r="M345" s="324"/>
      <c r="N345" s="324"/>
      <c r="O345" s="324"/>
      <c r="P345" s="324"/>
      <c r="Q345" s="324"/>
      <c r="R345" s="324"/>
      <c r="S345" s="324"/>
      <c r="T345" s="324"/>
      <c r="U345" s="324"/>
      <c r="V345" s="324"/>
      <c r="W345" s="324"/>
    </row>
    <row r="346">
      <c r="A346" s="323"/>
      <c r="B346" s="324"/>
      <c r="C346" s="324"/>
      <c r="D346" s="324"/>
      <c r="E346" s="324"/>
      <c r="F346" s="324"/>
      <c r="G346" s="324"/>
      <c r="H346" s="324"/>
      <c r="I346" s="324"/>
      <c r="J346" s="324"/>
      <c r="K346" s="324"/>
      <c r="L346" s="324"/>
      <c r="M346" s="324"/>
      <c r="N346" s="324"/>
      <c r="O346" s="324"/>
      <c r="P346" s="324"/>
      <c r="Q346" s="324"/>
      <c r="R346" s="324"/>
      <c r="S346" s="324"/>
      <c r="T346" s="324"/>
      <c r="U346" s="324"/>
      <c r="V346" s="324"/>
      <c r="W346" s="324"/>
    </row>
    <row r="347">
      <c r="A347" s="323"/>
      <c r="B347" s="324"/>
      <c r="C347" s="324"/>
      <c r="D347" s="324"/>
      <c r="E347" s="324"/>
      <c r="F347" s="324"/>
      <c r="G347" s="324"/>
      <c r="H347" s="324"/>
      <c r="I347" s="324"/>
      <c r="J347" s="324"/>
      <c r="K347" s="324"/>
      <c r="L347" s="324"/>
      <c r="M347" s="324"/>
      <c r="N347" s="324"/>
      <c r="O347" s="324"/>
      <c r="P347" s="324"/>
      <c r="Q347" s="324"/>
      <c r="R347" s="324"/>
      <c r="S347" s="324"/>
      <c r="T347" s="324"/>
      <c r="U347" s="324"/>
      <c r="V347" s="324"/>
      <c r="W347" s="324"/>
    </row>
    <row r="348">
      <c r="A348" s="323"/>
      <c r="B348" s="324"/>
      <c r="C348" s="324"/>
      <c r="D348" s="324"/>
      <c r="E348" s="324"/>
      <c r="F348" s="324"/>
      <c r="G348" s="324"/>
      <c r="H348" s="324"/>
      <c r="I348" s="324"/>
      <c r="J348" s="324"/>
      <c r="K348" s="324"/>
      <c r="L348" s="324"/>
      <c r="M348" s="324"/>
      <c r="N348" s="324"/>
      <c r="O348" s="324"/>
      <c r="P348" s="324"/>
      <c r="Q348" s="324"/>
      <c r="R348" s="324"/>
      <c r="S348" s="324"/>
      <c r="T348" s="324"/>
      <c r="U348" s="324"/>
      <c r="V348" s="324"/>
      <c r="W348" s="324"/>
    </row>
    <row r="349">
      <c r="A349" s="323"/>
      <c r="B349" s="324"/>
      <c r="C349" s="324"/>
      <c r="D349" s="324"/>
      <c r="E349" s="324"/>
      <c r="F349" s="324"/>
      <c r="G349" s="324"/>
      <c r="H349" s="324"/>
      <c r="I349" s="324"/>
      <c r="J349" s="324"/>
      <c r="K349" s="324"/>
      <c r="L349" s="324"/>
      <c r="M349" s="324"/>
      <c r="N349" s="324"/>
      <c r="O349" s="324"/>
      <c r="P349" s="324"/>
      <c r="Q349" s="324"/>
      <c r="R349" s="324"/>
      <c r="S349" s="324"/>
      <c r="T349" s="324"/>
      <c r="U349" s="324"/>
      <c r="V349" s="324"/>
      <c r="W349" s="324"/>
    </row>
    <row r="350">
      <c r="A350" s="323"/>
      <c r="B350" s="324"/>
      <c r="C350" s="324"/>
      <c r="D350" s="324"/>
      <c r="E350" s="324"/>
      <c r="F350" s="324"/>
      <c r="G350" s="324"/>
      <c r="H350" s="324"/>
      <c r="I350" s="324"/>
      <c r="J350" s="324"/>
      <c r="K350" s="324"/>
      <c r="L350" s="324"/>
      <c r="M350" s="324"/>
      <c r="N350" s="324"/>
      <c r="O350" s="324"/>
      <c r="P350" s="324"/>
      <c r="Q350" s="324"/>
      <c r="R350" s="324"/>
      <c r="S350" s="324"/>
      <c r="T350" s="324"/>
      <c r="U350" s="324"/>
      <c r="V350" s="324"/>
      <c r="W350" s="324"/>
    </row>
    <row r="351">
      <c r="A351" s="323"/>
      <c r="B351" s="324"/>
      <c r="C351" s="324"/>
      <c r="D351" s="324"/>
      <c r="E351" s="324"/>
      <c r="F351" s="324"/>
      <c r="G351" s="324"/>
      <c r="H351" s="324"/>
      <c r="I351" s="324"/>
      <c r="J351" s="324"/>
      <c r="K351" s="324"/>
      <c r="L351" s="324"/>
      <c r="M351" s="324"/>
      <c r="N351" s="324"/>
      <c r="O351" s="324"/>
      <c r="P351" s="324"/>
      <c r="Q351" s="324"/>
      <c r="R351" s="324"/>
      <c r="S351" s="324"/>
      <c r="T351" s="324"/>
      <c r="U351" s="324"/>
      <c r="V351" s="324"/>
      <c r="W351" s="324"/>
    </row>
    <row r="352">
      <c r="A352" s="323"/>
      <c r="B352" s="324"/>
      <c r="C352" s="324"/>
      <c r="D352" s="324"/>
      <c r="E352" s="324"/>
      <c r="F352" s="324"/>
      <c r="G352" s="324"/>
      <c r="H352" s="324"/>
      <c r="I352" s="324"/>
      <c r="J352" s="324"/>
      <c r="K352" s="324"/>
      <c r="L352" s="324"/>
      <c r="M352" s="324"/>
      <c r="N352" s="324"/>
      <c r="O352" s="324"/>
      <c r="P352" s="324"/>
      <c r="Q352" s="324"/>
      <c r="R352" s="324"/>
      <c r="S352" s="324"/>
      <c r="T352" s="324"/>
      <c r="U352" s="324"/>
      <c r="V352" s="324"/>
      <c r="W352" s="324"/>
    </row>
    <row r="353">
      <c r="A353" s="323"/>
      <c r="B353" s="324"/>
      <c r="C353" s="324"/>
      <c r="D353" s="324"/>
      <c r="E353" s="324"/>
      <c r="F353" s="324"/>
      <c r="G353" s="324"/>
      <c r="H353" s="324"/>
      <c r="I353" s="324"/>
      <c r="J353" s="324"/>
      <c r="K353" s="324"/>
      <c r="L353" s="324"/>
      <c r="M353" s="324"/>
      <c r="N353" s="324"/>
      <c r="O353" s="324"/>
      <c r="P353" s="324"/>
      <c r="Q353" s="324"/>
      <c r="R353" s="324"/>
      <c r="S353" s="324"/>
      <c r="T353" s="324"/>
      <c r="U353" s="324"/>
      <c r="V353" s="324"/>
      <c r="W353" s="324"/>
    </row>
    <row r="354">
      <c r="A354" s="323"/>
      <c r="B354" s="324"/>
      <c r="C354" s="324"/>
      <c r="D354" s="324"/>
      <c r="E354" s="324"/>
      <c r="F354" s="324"/>
      <c r="G354" s="324"/>
      <c r="H354" s="324"/>
      <c r="I354" s="324"/>
      <c r="J354" s="324"/>
      <c r="K354" s="324"/>
      <c r="L354" s="324"/>
      <c r="M354" s="324"/>
      <c r="N354" s="324"/>
      <c r="O354" s="324"/>
      <c r="P354" s="324"/>
      <c r="Q354" s="324"/>
      <c r="R354" s="324"/>
      <c r="S354" s="324"/>
      <c r="T354" s="324"/>
      <c r="U354" s="324"/>
      <c r="V354" s="324"/>
      <c r="W354" s="324"/>
    </row>
    <row r="355">
      <c r="A355" s="323"/>
      <c r="B355" s="324"/>
      <c r="C355" s="324"/>
      <c r="D355" s="324"/>
      <c r="E355" s="324"/>
      <c r="F355" s="324"/>
      <c r="G355" s="324"/>
      <c r="H355" s="324"/>
      <c r="I355" s="324"/>
      <c r="J355" s="324"/>
      <c r="K355" s="324"/>
      <c r="L355" s="324"/>
      <c r="M355" s="324"/>
      <c r="N355" s="324"/>
      <c r="O355" s="324"/>
      <c r="P355" s="324"/>
      <c r="Q355" s="324"/>
      <c r="R355" s="324"/>
      <c r="S355" s="324"/>
      <c r="T355" s="324"/>
      <c r="U355" s="324"/>
      <c r="V355" s="324"/>
      <c r="W355" s="324"/>
    </row>
    <row r="356">
      <c r="A356" s="323"/>
      <c r="B356" s="324"/>
      <c r="C356" s="324"/>
      <c r="D356" s="324"/>
      <c r="E356" s="324"/>
      <c r="F356" s="324"/>
      <c r="G356" s="324"/>
      <c r="H356" s="324"/>
      <c r="I356" s="324"/>
      <c r="J356" s="324"/>
      <c r="K356" s="324"/>
      <c r="L356" s="324"/>
      <c r="M356" s="324"/>
      <c r="N356" s="324"/>
      <c r="O356" s="324"/>
      <c r="P356" s="324"/>
      <c r="Q356" s="324"/>
      <c r="R356" s="324"/>
      <c r="S356" s="324"/>
      <c r="T356" s="324"/>
      <c r="U356" s="324"/>
      <c r="V356" s="324"/>
      <c r="W356" s="324"/>
    </row>
    <row r="357">
      <c r="A357" s="323"/>
      <c r="B357" s="324"/>
      <c r="C357" s="324"/>
      <c r="D357" s="324"/>
      <c r="E357" s="324"/>
      <c r="F357" s="324"/>
      <c r="G357" s="324"/>
      <c r="H357" s="324"/>
      <c r="I357" s="324"/>
      <c r="J357" s="324"/>
      <c r="K357" s="324"/>
      <c r="L357" s="324"/>
      <c r="M357" s="324"/>
      <c r="N357" s="324"/>
      <c r="O357" s="324"/>
      <c r="P357" s="324"/>
      <c r="Q357" s="324"/>
      <c r="R357" s="324"/>
      <c r="S357" s="324"/>
      <c r="T357" s="324"/>
      <c r="U357" s="324"/>
      <c r="V357" s="324"/>
      <c r="W357" s="324"/>
    </row>
    <row r="358">
      <c r="A358" s="323"/>
      <c r="B358" s="324"/>
      <c r="C358" s="324"/>
      <c r="D358" s="324"/>
      <c r="E358" s="324"/>
      <c r="F358" s="324"/>
      <c r="G358" s="324"/>
      <c r="H358" s="324"/>
      <c r="I358" s="324"/>
      <c r="J358" s="324"/>
      <c r="K358" s="324"/>
      <c r="L358" s="324"/>
      <c r="M358" s="324"/>
      <c r="N358" s="324"/>
      <c r="O358" s="324"/>
      <c r="P358" s="324"/>
      <c r="Q358" s="324"/>
      <c r="R358" s="324"/>
      <c r="S358" s="324"/>
      <c r="T358" s="324"/>
      <c r="U358" s="324"/>
      <c r="V358" s="324"/>
      <c r="W358" s="324"/>
    </row>
    <row r="359">
      <c r="A359" s="323"/>
      <c r="B359" s="324"/>
      <c r="C359" s="324"/>
      <c r="D359" s="324"/>
      <c r="E359" s="324"/>
      <c r="F359" s="324"/>
      <c r="G359" s="324"/>
      <c r="H359" s="324"/>
      <c r="I359" s="324"/>
      <c r="J359" s="324"/>
      <c r="K359" s="324"/>
      <c r="L359" s="324"/>
      <c r="M359" s="324"/>
      <c r="N359" s="324"/>
      <c r="O359" s="324"/>
      <c r="P359" s="324"/>
      <c r="Q359" s="324"/>
      <c r="R359" s="324"/>
      <c r="S359" s="324"/>
      <c r="T359" s="324"/>
      <c r="U359" s="324"/>
      <c r="V359" s="324"/>
      <c r="W359" s="324"/>
    </row>
    <row r="360">
      <c r="A360" s="323"/>
      <c r="B360" s="324"/>
      <c r="C360" s="324"/>
      <c r="D360" s="324"/>
      <c r="E360" s="324"/>
      <c r="F360" s="324"/>
      <c r="G360" s="324"/>
      <c r="H360" s="324"/>
      <c r="I360" s="324"/>
      <c r="J360" s="324"/>
      <c r="K360" s="324"/>
      <c r="L360" s="324"/>
      <c r="M360" s="324"/>
      <c r="N360" s="324"/>
      <c r="O360" s="324"/>
      <c r="P360" s="324"/>
      <c r="Q360" s="324"/>
      <c r="R360" s="324"/>
      <c r="S360" s="324"/>
      <c r="T360" s="324"/>
      <c r="U360" s="324"/>
      <c r="V360" s="324"/>
      <c r="W360" s="324"/>
    </row>
    <row r="361">
      <c r="A361" s="323"/>
      <c r="B361" s="324"/>
      <c r="C361" s="324"/>
      <c r="D361" s="324"/>
      <c r="E361" s="324"/>
      <c r="F361" s="324"/>
      <c r="G361" s="324"/>
      <c r="H361" s="324"/>
      <c r="I361" s="324"/>
      <c r="J361" s="324"/>
      <c r="K361" s="324"/>
      <c r="L361" s="324"/>
      <c r="M361" s="324"/>
      <c r="N361" s="324"/>
      <c r="O361" s="324"/>
      <c r="P361" s="324"/>
      <c r="Q361" s="324"/>
      <c r="R361" s="324"/>
      <c r="S361" s="324"/>
      <c r="T361" s="324"/>
      <c r="U361" s="324"/>
      <c r="V361" s="324"/>
      <c r="W361" s="324"/>
    </row>
    <row r="362">
      <c r="A362" s="323"/>
      <c r="B362" s="324"/>
      <c r="C362" s="324"/>
      <c r="D362" s="324"/>
      <c r="E362" s="324"/>
      <c r="F362" s="324"/>
      <c r="G362" s="324"/>
      <c r="H362" s="324"/>
      <c r="I362" s="324"/>
      <c r="J362" s="324"/>
      <c r="K362" s="324"/>
      <c r="L362" s="324"/>
      <c r="M362" s="324"/>
      <c r="N362" s="324"/>
      <c r="O362" s="324"/>
      <c r="P362" s="324"/>
      <c r="Q362" s="324"/>
      <c r="R362" s="324"/>
      <c r="S362" s="324"/>
      <c r="T362" s="324"/>
      <c r="U362" s="324"/>
      <c r="V362" s="324"/>
      <c r="W362" s="324"/>
    </row>
    <row r="363">
      <c r="A363" s="323"/>
      <c r="B363" s="324"/>
      <c r="C363" s="324"/>
      <c r="D363" s="324"/>
      <c r="E363" s="324"/>
      <c r="F363" s="324"/>
      <c r="G363" s="324"/>
      <c r="H363" s="324"/>
      <c r="I363" s="324"/>
      <c r="J363" s="324"/>
      <c r="K363" s="324"/>
      <c r="L363" s="324"/>
      <c r="M363" s="324"/>
      <c r="N363" s="324"/>
      <c r="O363" s="324"/>
      <c r="P363" s="324"/>
      <c r="Q363" s="324"/>
      <c r="R363" s="324"/>
      <c r="S363" s="324"/>
      <c r="T363" s="324"/>
      <c r="U363" s="324"/>
      <c r="V363" s="324"/>
      <c r="W363" s="324"/>
    </row>
    <row r="364">
      <c r="A364" s="323"/>
      <c r="B364" s="324"/>
      <c r="C364" s="324"/>
      <c r="D364" s="324"/>
      <c r="E364" s="324"/>
      <c r="F364" s="324"/>
      <c r="G364" s="324"/>
      <c r="H364" s="324"/>
      <c r="I364" s="324"/>
      <c r="J364" s="324"/>
      <c r="K364" s="324"/>
      <c r="L364" s="324"/>
      <c r="M364" s="324"/>
      <c r="N364" s="324"/>
      <c r="O364" s="324"/>
      <c r="P364" s="324"/>
      <c r="Q364" s="324"/>
      <c r="R364" s="324"/>
      <c r="S364" s="324"/>
      <c r="T364" s="324"/>
      <c r="U364" s="324"/>
      <c r="V364" s="324"/>
      <c r="W364" s="324"/>
    </row>
    <row r="365">
      <c r="A365" s="323"/>
      <c r="B365" s="324"/>
      <c r="C365" s="324"/>
      <c r="D365" s="324"/>
      <c r="E365" s="324"/>
      <c r="F365" s="324"/>
      <c r="G365" s="324"/>
      <c r="H365" s="324"/>
      <c r="I365" s="324"/>
      <c r="J365" s="324"/>
      <c r="K365" s="324"/>
      <c r="L365" s="324"/>
      <c r="M365" s="324"/>
      <c r="N365" s="324"/>
      <c r="O365" s="324"/>
      <c r="P365" s="324"/>
      <c r="Q365" s="324"/>
      <c r="R365" s="324"/>
      <c r="S365" s="324"/>
      <c r="T365" s="324"/>
      <c r="U365" s="324"/>
      <c r="V365" s="324"/>
      <c r="W365" s="324"/>
    </row>
    <row r="366">
      <c r="A366" s="323"/>
      <c r="B366" s="324"/>
      <c r="C366" s="324"/>
      <c r="D366" s="324"/>
      <c r="E366" s="324"/>
      <c r="F366" s="324"/>
      <c r="G366" s="324"/>
      <c r="H366" s="324"/>
      <c r="I366" s="324"/>
      <c r="J366" s="324"/>
      <c r="K366" s="324"/>
      <c r="L366" s="324"/>
      <c r="M366" s="324"/>
      <c r="N366" s="324"/>
      <c r="O366" s="324"/>
      <c r="P366" s="324"/>
      <c r="Q366" s="324"/>
      <c r="R366" s="324"/>
      <c r="S366" s="324"/>
      <c r="T366" s="324"/>
      <c r="U366" s="324"/>
      <c r="V366" s="324"/>
      <c r="W366" s="324"/>
    </row>
    <row r="367">
      <c r="A367" s="323"/>
      <c r="B367" s="324"/>
      <c r="C367" s="324"/>
      <c r="D367" s="324"/>
      <c r="E367" s="324"/>
      <c r="F367" s="324"/>
      <c r="G367" s="324"/>
      <c r="H367" s="324"/>
      <c r="I367" s="324"/>
      <c r="J367" s="324"/>
      <c r="K367" s="324"/>
      <c r="L367" s="324"/>
      <c r="M367" s="324"/>
      <c r="N367" s="324"/>
      <c r="O367" s="324"/>
      <c r="P367" s="324"/>
      <c r="Q367" s="324"/>
      <c r="R367" s="324"/>
      <c r="S367" s="324"/>
      <c r="T367" s="324"/>
      <c r="U367" s="324"/>
      <c r="V367" s="324"/>
      <c r="W367" s="324"/>
    </row>
    <row r="368">
      <c r="A368" s="323"/>
      <c r="B368" s="324"/>
      <c r="C368" s="324"/>
      <c r="D368" s="324"/>
      <c r="E368" s="324"/>
      <c r="F368" s="324"/>
      <c r="G368" s="324"/>
      <c r="H368" s="324"/>
      <c r="I368" s="324"/>
      <c r="J368" s="324"/>
      <c r="K368" s="324"/>
      <c r="L368" s="324"/>
      <c r="M368" s="324"/>
      <c r="N368" s="324"/>
      <c r="O368" s="324"/>
      <c r="P368" s="324"/>
      <c r="Q368" s="324"/>
      <c r="R368" s="324"/>
      <c r="S368" s="324"/>
      <c r="T368" s="324"/>
      <c r="U368" s="324"/>
      <c r="V368" s="324"/>
      <c r="W368" s="324"/>
    </row>
    <row r="369">
      <c r="A369" s="323"/>
      <c r="B369" s="324"/>
      <c r="C369" s="324"/>
      <c r="D369" s="324"/>
      <c r="E369" s="324"/>
      <c r="F369" s="324"/>
      <c r="G369" s="324"/>
      <c r="H369" s="324"/>
      <c r="I369" s="324"/>
      <c r="J369" s="324"/>
      <c r="K369" s="324"/>
      <c r="L369" s="324"/>
      <c r="M369" s="324"/>
      <c r="N369" s="324"/>
      <c r="O369" s="324"/>
      <c r="P369" s="324"/>
      <c r="Q369" s="324"/>
      <c r="R369" s="324"/>
      <c r="S369" s="324"/>
      <c r="T369" s="324"/>
      <c r="U369" s="324"/>
      <c r="V369" s="324"/>
      <c r="W369" s="324"/>
    </row>
    <row r="370">
      <c r="A370" s="323"/>
      <c r="B370" s="324"/>
      <c r="C370" s="324"/>
      <c r="D370" s="324"/>
      <c r="E370" s="324"/>
      <c r="F370" s="324"/>
      <c r="G370" s="324"/>
      <c r="H370" s="324"/>
      <c r="I370" s="324"/>
      <c r="J370" s="324"/>
      <c r="K370" s="324"/>
      <c r="L370" s="324"/>
      <c r="M370" s="324"/>
      <c r="N370" s="324"/>
      <c r="O370" s="324"/>
      <c r="P370" s="324"/>
      <c r="Q370" s="324"/>
      <c r="R370" s="324"/>
      <c r="S370" s="324"/>
      <c r="T370" s="324"/>
      <c r="U370" s="324"/>
      <c r="V370" s="324"/>
      <c r="W370" s="324"/>
    </row>
    <row r="371">
      <c r="A371" s="323"/>
      <c r="B371" s="324"/>
      <c r="C371" s="324"/>
      <c r="D371" s="324"/>
      <c r="E371" s="324"/>
      <c r="F371" s="324"/>
      <c r="G371" s="324"/>
      <c r="H371" s="324"/>
      <c r="I371" s="324"/>
      <c r="J371" s="324"/>
      <c r="K371" s="324"/>
      <c r="L371" s="324"/>
      <c r="M371" s="324"/>
      <c r="N371" s="324"/>
      <c r="O371" s="324"/>
      <c r="P371" s="324"/>
      <c r="Q371" s="324"/>
      <c r="R371" s="324"/>
      <c r="S371" s="324"/>
      <c r="T371" s="324"/>
      <c r="U371" s="324"/>
      <c r="V371" s="324"/>
      <c r="W371" s="324"/>
    </row>
    <row r="372">
      <c r="A372" s="323"/>
      <c r="B372" s="324"/>
      <c r="C372" s="324"/>
      <c r="D372" s="324"/>
      <c r="E372" s="324"/>
      <c r="F372" s="324"/>
      <c r="G372" s="324"/>
      <c r="H372" s="324"/>
      <c r="I372" s="324"/>
      <c r="J372" s="324"/>
      <c r="K372" s="324"/>
      <c r="L372" s="324"/>
      <c r="M372" s="324"/>
      <c r="N372" s="324"/>
      <c r="O372" s="324"/>
      <c r="P372" s="324"/>
      <c r="Q372" s="324"/>
      <c r="R372" s="324"/>
      <c r="S372" s="324"/>
      <c r="T372" s="324"/>
      <c r="U372" s="324"/>
      <c r="V372" s="324"/>
      <c r="W372" s="324"/>
    </row>
    <row r="373">
      <c r="A373" s="323"/>
      <c r="B373" s="324"/>
      <c r="C373" s="324"/>
      <c r="D373" s="324"/>
      <c r="E373" s="324"/>
      <c r="F373" s="324"/>
      <c r="G373" s="324"/>
      <c r="H373" s="324"/>
      <c r="I373" s="324"/>
      <c r="J373" s="324"/>
      <c r="K373" s="324"/>
      <c r="L373" s="324"/>
      <c r="M373" s="324"/>
      <c r="N373" s="324"/>
      <c r="O373" s="324"/>
      <c r="P373" s="324"/>
      <c r="Q373" s="324"/>
      <c r="R373" s="324"/>
      <c r="S373" s="324"/>
      <c r="T373" s="324"/>
      <c r="U373" s="324"/>
      <c r="V373" s="324"/>
      <c r="W373" s="324"/>
    </row>
    <row r="374">
      <c r="A374" s="323"/>
      <c r="B374" s="324"/>
      <c r="C374" s="324"/>
      <c r="D374" s="324"/>
      <c r="E374" s="324"/>
      <c r="F374" s="324"/>
      <c r="G374" s="324"/>
      <c r="H374" s="324"/>
      <c r="I374" s="324"/>
      <c r="J374" s="324"/>
      <c r="K374" s="324"/>
      <c r="L374" s="324"/>
      <c r="M374" s="324"/>
      <c r="N374" s="324"/>
      <c r="O374" s="324"/>
      <c r="P374" s="324"/>
      <c r="Q374" s="324"/>
      <c r="R374" s="324"/>
      <c r="S374" s="324"/>
      <c r="T374" s="324"/>
      <c r="U374" s="324"/>
      <c r="V374" s="324"/>
      <c r="W374" s="324"/>
    </row>
    <row r="375">
      <c r="A375" s="323"/>
      <c r="B375" s="324"/>
      <c r="C375" s="324"/>
      <c r="D375" s="324"/>
      <c r="E375" s="324"/>
      <c r="F375" s="324"/>
      <c r="G375" s="324"/>
      <c r="H375" s="324"/>
      <c r="I375" s="324"/>
      <c r="J375" s="324"/>
      <c r="K375" s="324"/>
      <c r="L375" s="324"/>
      <c r="M375" s="324"/>
      <c r="N375" s="324"/>
      <c r="O375" s="324"/>
      <c r="P375" s="324"/>
      <c r="Q375" s="324"/>
      <c r="R375" s="324"/>
      <c r="S375" s="324"/>
      <c r="T375" s="324"/>
      <c r="U375" s="324"/>
      <c r="V375" s="324"/>
      <c r="W375" s="324"/>
    </row>
    <row r="376">
      <c r="A376" s="323"/>
      <c r="B376" s="324"/>
      <c r="C376" s="324"/>
      <c r="D376" s="324"/>
      <c r="E376" s="324"/>
      <c r="F376" s="324"/>
      <c r="G376" s="324"/>
      <c r="H376" s="324"/>
      <c r="I376" s="324"/>
      <c r="J376" s="324"/>
      <c r="K376" s="324"/>
      <c r="L376" s="324"/>
      <c r="M376" s="324"/>
      <c r="N376" s="324"/>
      <c r="O376" s="324"/>
      <c r="P376" s="324"/>
      <c r="Q376" s="324"/>
      <c r="R376" s="324"/>
      <c r="S376" s="324"/>
      <c r="T376" s="324"/>
      <c r="U376" s="324"/>
      <c r="V376" s="324"/>
      <c r="W376" s="324"/>
    </row>
    <row r="377">
      <c r="A377" s="323"/>
      <c r="B377" s="324"/>
      <c r="C377" s="324"/>
      <c r="D377" s="324"/>
      <c r="E377" s="324"/>
      <c r="F377" s="324"/>
      <c r="G377" s="324"/>
      <c r="H377" s="324"/>
      <c r="I377" s="324"/>
      <c r="J377" s="324"/>
      <c r="K377" s="324"/>
      <c r="L377" s="324"/>
      <c r="M377" s="324"/>
      <c r="N377" s="324"/>
      <c r="O377" s="324"/>
      <c r="P377" s="324"/>
      <c r="Q377" s="324"/>
      <c r="R377" s="324"/>
      <c r="S377" s="324"/>
      <c r="T377" s="324"/>
      <c r="U377" s="324"/>
      <c r="V377" s="324"/>
      <c r="W377" s="324"/>
    </row>
    <row r="378">
      <c r="A378" s="323"/>
      <c r="B378" s="324"/>
      <c r="C378" s="324"/>
      <c r="D378" s="324"/>
      <c r="E378" s="324"/>
      <c r="F378" s="324"/>
      <c r="G378" s="324"/>
      <c r="H378" s="324"/>
      <c r="I378" s="324"/>
      <c r="J378" s="324"/>
      <c r="K378" s="324"/>
      <c r="L378" s="324"/>
      <c r="M378" s="324"/>
      <c r="N378" s="324"/>
      <c r="O378" s="324"/>
      <c r="P378" s="324"/>
      <c r="Q378" s="324"/>
      <c r="R378" s="324"/>
      <c r="S378" s="324"/>
      <c r="T378" s="324"/>
      <c r="U378" s="324"/>
      <c r="V378" s="324"/>
      <c r="W378" s="324"/>
    </row>
    <row r="379">
      <c r="A379" s="323"/>
      <c r="B379" s="324"/>
      <c r="C379" s="324"/>
      <c r="D379" s="324"/>
      <c r="E379" s="324"/>
      <c r="F379" s="324"/>
      <c r="G379" s="324"/>
      <c r="H379" s="324"/>
      <c r="I379" s="324"/>
      <c r="J379" s="324"/>
      <c r="K379" s="324"/>
      <c r="L379" s="324"/>
      <c r="M379" s="324"/>
      <c r="N379" s="324"/>
      <c r="O379" s="324"/>
      <c r="P379" s="324"/>
      <c r="Q379" s="324"/>
      <c r="R379" s="324"/>
      <c r="S379" s="324"/>
      <c r="T379" s="324"/>
      <c r="U379" s="324"/>
      <c r="V379" s="324"/>
      <c r="W379" s="324"/>
    </row>
    <row r="380">
      <c r="A380" s="323"/>
      <c r="B380" s="324"/>
      <c r="C380" s="324"/>
      <c r="D380" s="324"/>
      <c r="E380" s="324"/>
      <c r="F380" s="324"/>
      <c r="G380" s="324"/>
      <c r="H380" s="324"/>
      <c r="I380" s="324"/>
      <c r="J380" s="324"/>
      <c r="K380" s="324"/>
      <c r="L380" s="324"/>
      <c r="M380" s="324"/>
      <c r="N380" s="324"/>
      <c r="O380" s="324"/>
      <c r="P380" s="324"/>
      <c r="Q380" s="324"/>
      <c r="R380" s="324"/>
      <c r="S380" s="324"/>
      <c r="T380" s="324"/>
      <c r="U380" s="324"/>
      <c r="V380" s="324"/>
      <c r="W380" s="324"/>
    </row>
    <row r="381">
      <c r="A381" s="323"/>
      <c r="B381" s="324"/>
      <c r="C381" s="324"/>
      <c r="D381" s="324"/>
      <c r="E381" s="324"/>
      <c r="F381" s="324"/>
      <c r="G381" s="324"/>
      <c r="H381" s="324"/>
      <c r="I381" s="324"/>
      <c r="J381" s="324"/>
      <c r="K381" s="324"/>
      <c r="L381" s="324"/>
      <c r="M381" s="324"/>
      <c r="N381" s="324"/>
      <c r="O381" s="324"/>
      <c r="P381" s="324"/>
      <c r="Q381" s="324"/>
      <c r="R381" s="324"/>
      <c r="S381" s="324"/>
      <c r="T381" s="324"/>
      <c r="U381" s="324"/>
      <c r="V381" s="324"/>
      <c r="W381" s="324"/>
    </row>
    <row r="382">
      <c r="A382" s="323"/>
      <c r="B382" s="324"/>
      <c r="C382" s="324"/>
      <c r="D382" s="324"/>
      <c r="E382" s="324"/>
      <c r="F382" s="324"/>
      <c r="G382" s="324"/>
      <c r="H382" s="324"/>
      <c r="I382" s="324"/>
      <c r="J382" s="324"/>
      <c r="K382" s="324"/>
      <c r="L382" s="324"/>
      <c r="M382" s="324"/>
      <c r="N382" s="324"/>
      <c r="O382" s="324"/>
      <c r="P382" s="324"/>
      <c r="Q382" s="324"/>
      <c r="R382" s="324"/>
      <c r="S382" s="324"/>
      <c r="T382" s="324"/>
      <c r="U382" s="324"/>
      <c r="V382" s="324"/>
      <c r="W382" s="324"/>
    </row>
    <row r="383">
      <c r="A383" s="323"/>
      <c r="B383" s="324"/>
      <c r="C383" s="324"/>
      <c r="D383" s="324"/>
      <c r="E383" s="324"/>
      <c r="F383" s="324"/>
      <c r="G383" s="324"/>
      <c r="H383" s="324"/>
      <c r="I383" s="324"/>
      <c r="J383" s="324"/>
      <c r="K383" s="324"/>
      <c r="L383" s="324"/>
      <c r="M383" s="324"/>
      <c r="N383" s="324"/>
      <c r="O383" s="324"/>
      <c r="P383" s="324"/>
      <c r="Q383" s="324"/>
      <c r="R383" s="324"/>
      <c r="S383" s="324"/>
      <c r="T383" s="324"/>
      <c r="U383" s="324"/>
      <c r="V383" s="324"/>
      <c r="W383" s="324"/>
    </row>
    <row r="384">
      <c r="A384" s="323"/>
      <c r="B384" s="324"/>
      <c r="C384" s="324"/>
      <c r="D384" s="324"/>
      <c r="E384" s="324"/>
      <c r="F384" s="324"/>
      <c r="G384" s="324"/>
      <c r="H384" s="324"/>
      <c r="I384" s="324"/>
      <c r="J384" s="324"/>
      <c r="K384" s="324"/>
      <c r="L384" s="324"/>
      <c r="M384" s="324"/>
      <c r="N384" s="324"/>
      <c r="O384" s="324"/>
      <c r="P384" s="324"/>
      <c r="Q384" s="324"/>
      <c r="R384" s="324"/>
      <c r="S384" s="324"/>
      <c r="T384" s="324"/>
      <c r="U384" s="324"/>
      <c r="V384" s="324"/>
      <c r="W384" s="324"/>
    </row>
    <row r="385">
      <c r="A385" s="323"/>
      <c r="B385" s="324"/>
      <c r="C385" s="324"/>
      <c r="D385" s="324"/>
      <c r="E385" s="324"/>
      <c r="F385" s="324"/>
      <c r="G385" s="324"/>
      <c r="H385" s="324"/>
      <c r="I385" s="324"/>
      <c r="J385" s="324"/>
      <c r="K385" s="324"/>
      <c r="L385" s="324"/>
      <c r="M385" s="324"/>
      <c r="N385" s="324"/>
      <c r="O385" s="324"/>
      <c r="P385" s="324"/>
      <c r="Q385" s="324"/>
      <c r="R385" s="324"/>
      <c r="S385" s="324"/>
      <c r="T385" s="324"/>
      <c r="U385" s="324"/>
      <c r="V385" s="324"/>
      <c r="W385" s="324"/>
    </row>
    <row r="386">
      <c r="A386" s="323"/>
      <c r="B386" s="324"/>
      <c r="C386" s="324"/>
      <c r="D386" s="324"/>
      <c r="E386" s="324"/>
      <c r="F386" s="324"/>
      <c r="G386" s="324"/>
      <c r="H386" s="324"/>
      <c r="I386" s="324"/>
      <c r="J386" s="324"/>
      <c r="K386" s="324"/>
      <c r="L386" s="324"/>
      <c r="M386" s="324"/>
      <c r="N386" s="324"/>
      <c r="O386" s="324"/>
      <c r="P386" s="324"/>
      <c r="Q386" s="324"/>
      <c r="R386" s="324"/>
      <c r="S386" s="324"/>
      <c r="T386" s="324"/>
      <c r="U386" s="324"/>
      <c r="V386" s="324"/>
      <c r="W386" s="324"/>
    </row>
    <row r="387">
      <c r="A387" s="323"/>
      <c r="B387" s="324"/>
      <c r="C387" s="324"/>
      <c r="D387" s="324"/>
      <c r="E387" s="324"/>
      <c r="F387" s="324"/>
      <c r="G387" s="324"/>
      <c r="H387" s="324"/>
      <c r="I387" s="324"/>
      <c r="J387" s="324"/>
      <c r="K387" s="324"/>
      <c r="L387" s="324"/>
      <c r="M387" s="324"/>
      <c r="N387" s="324"/>
      <c r="O387" s="324"/>
      <c r="P387" s="324"/>
      <c r="Q387" s="324"/>
      <c r="R387" s="324"/>
      <c r="S387" s="324"/>
      <c r="T387" s="324"/>
      <c r="U387" s="324"/>
      <c r="V387" s="324"/>
      <c r="W387" s="324"/>
    </row>
    <row r="388">
      <c r="A388" s="323"/>
      <c r="B388" s="324"/>
      <c r="C388" s="324"/>
      <c r="D388" s="324"/>
      <c r="E388" s="324"/>
      <c r="F388" s="324"/>
      <c r="G388" s="324"/>
      <c r="H388" s="324"/>
      <c r="I388" s="324"/>
      <c r="J388" s="324"/>
      <c r="K388" s="324"/>
      <c r="L388" s="324"/>
      <c r="M388" s="324"/>
      <c r="N388" s="324"/>
      <c r="O388" s="324"/>
      <c r="P388" s="324"/>
      <c r="Q388" s="324"/>
      <c r="R388" s="324"/>
      <c r="S388" s="324"/>
      <c r="T388" s="324"/>
      <c r="U388" s="324"/>
      <c r="V388" s="324"/>
      <c r="W388" s="324"/>
    </row>
    <row r="389">
      <c r="A389" s="323"/>
      <c r="B389" s="324"/>
      <c r="C389" s="324"/>
      <c r="D389" s="324"/>
      <c r="E389" s="324"/>
      <c r="F389" s="324"/>
      <c r="G389" s="324"/>
      <c r="H389" s="324"/>
      <c r="I389" s="324"/>
      <c r="J389" s="324"/>
      <c r="K389" s="324"/>
      <c r="L389" s="324"/>
      <c r="M389" s="324"/>
      <c r="N389" s="324"/>
      <c r="O389" s="324"/>
      <c r="P389" s="324"/>
      <c r="Q389" s="324"/>
      <c r="R389" s="324"/>
      <c r="S389" s="324"/>
      <c r="T389" s="324"/>
      <c r="U389" s="324"/>
      <c r="V389" s="324"/>
      <c r="W389" s="324"/>
    </row>
    <row r="390">
      <c r="A390" s="323"/>
      <c r="B390" s="324"/>
      <c r="C390" s="324"/>
      <c r="D390" s="324"/>
      <c r="E390" s="324"/>
      <c r="F390" s="324"/>
      <c r="G390" s="324"/>
      <c r="H390" s="324"/>
      <c r="I390" s="324"/>
      <c r="J390" s="324"/>
      <c r="K390" s="324"/>
      <c r="L390" s="324"/>
      <c r="M390" s="324"/>
      <c r="N390" s="324"/>
      <c r="O390" s="324"/>
      <c r="P390" s="324"/>
      <c r="Q390" s="324"/>
      <c r="R390" s="324"/>
      <c r="S390" s="324"/>
      <c r="T390" s="324"/>
      <c r="U390" s="324"/>
      <c r="V390" s="324"/>
      <c r="W390" s="324"/>
    </row>
    <row r="391">
      <c r="A391" s="323"/>
      <c r="B391" s="324"/>
      <c r="C391" s="324"/>
      <c r="D391" s="324"/>
      <c r="E391" s="324"/>
      <c r="F391" s="324"/>
      <c r="G391" s="324"/>
      <c r="H391" s="324"/>
      <c r="I391" s="324"/>
      <c r="J391" s="324"/>
      <c r="K391" s="324"/>
      <c r="L391" s="324"/>
      <c r="M391" s="324"/>
      <c r="N391" s="324"/>
      <c r="O391" s="324"/>
      <c r="P391" s="324"/>
      <c r="Q391" s="324"/>
      <c r="R391" s="324"/>
      <c r="S391" s="324"/>
      <c r="T391" s="324"/>
      <c r="U391" s="324"/>
      <c r="V391" s="324"/>
      <c r="W391" s="324"/>
    </row>
    <row r="392">
      <c r="A392" s="323"/>
      <c r="B392" s="324"/>
      <c r="C392" s="324"/>
      <c r="D392" s="324"/>
      <c r="E392" s="324"/>
      <c r="F392" s="324"/>
      <c r="G392" s="324"/>
      <c r="H392" s="324"/>
      <c r="I392" s="324"/>
      <c r="J392" s="324"/>
      <c r="K392" s="324"/>
      <c r="L392" s="324"/>
      <c r="M392" s="324"/>
      <c r="N392" s="324"/>
      <c r="O392" s="324"/>
      <c r="P392" s="324"/>
      <c r="Q392" s="324"/>
      <c r="R392" s="324"/>
      <c r="S392" s="324"/>
      <c r="T392" s="324"/>
      <c r="U392" s="324"/>
      <c r="V392" s="324"/>
      <c r="W392" s="324"/>
    </row>
    <row r="393">
      <c r="A393" s="323"/>
      <c r="B393" s="324"/>
      <c r="C393" s="324"/>
      <c r="D393" s="324"/>
      <c r="E393" s="324"/>
      <c r="F393" s="324"/>
      <c r="G393" s="324"/>
      <c r="H393" s="324"/>
      <c r="I393" s="324"/>
      <c r="J393" s="324"/>
      <c r="K393" s="324"/>
      <c r="L393" s="324"/>
      <c r="M393" s="324"/>
      <c r="N393" s="324"/>
      <c r="O393" s="324"/>
      <c r="P393" s="324"/>
      <c r="Q393" s="324"/>
      <c r="R393" s="324"/>
      <c r="S393" s="324"/>
      <c r="T393" s="324"/>
      <c r="U393" s="324"/>
      <c r="V393" s="324"/>
      <c r="W393" s="324"/>
    </row>
    <row r="394">
      <c r="A394" s="323"/>
      <c r="B394" s="324"/>
      <c r="C394" s="324"/>
      <c r="D394" s="324"/>
      <c r="E394" s="324"/>
      <c r="F394" s="324"/>
      <c r="G394" s="324"/>
      <c r="H394" s="324"/>
      <c r="I394" s="324"/>
      <c r="J394" s="324"/>
      <c r="K394" s="324"/>
      <c r="L394" s="324"/>
      <c r="M394" s="324"/>
      <c r="N394" s="324"/>
      <c r="O394" s="324"/>
      <c r="P394" s="324"/>
      <c r="Q394" s="324"/>
      <c r="R394" s="324"/>
      <c r="S394" s="324"/>
      <c r="T394" s="324"/>
      <c r="U394" s="324"/>
      <c r="V394" s="324"/>
      <c r="W394" s="324"/>
    </row>
    <row r="395">
      <c r="A395" s="323"/>
      <c r="B395" s="324"/>
      <c r="C395" s="324"/>
      <c r="D395" s="324"/>
      <c r="E395" s="324"/>
      <c r="F395" s="324"/>
      <c r="G395" s="324"/>
      <c r="H395" s="324"/>
      <c r="I395" s="324"/>
      <c r="J395" s="324"/>
      <c r="K395" s="324"/>
      <c r="L395" s="324"/>
      <c r="M395" s="324"/>
      <c r="N395" s="324"/>
      <c r="O395" s="324"/>
      <c r="P395" s="324"/>
      <c r="Q395" s="324"/>
      <c r="R395" s="324"/>
      <c r="S395" s="324"/>
      <c r="T395" s="324"/>
      <c r="U395" s="324"/>
      <c r="V395" s="324"/>
      <c r="W395" s="324"/>
    </row>
    <row r="396">
      <c r="A396" s="323"/>
      <c r="B396" s="324"/>
      <c r="C396" s="324"/>
      <c r="D396" s="324"/>
      <c r="E396" s="324"/>
      <c r="F396" s="324"/>
      <c r="G396" s="324"/>
      <c r="H396" s="324"/>
      <c r="I396" s="324"/>
      <c r="J396" s="324"/>
      <c r="K396" s="324"/>
      <c r="L396" s="324"/>
      <c r="M396" s="324"/>
      <c r="N396" s="324"/>
      <c r="O396" s="324"/>
      <c r="P396" s="324"/>
      <c r="Q396" s="324"/>
      <c r="R396" s="324"/>
      <c r="S396" s="324"/>
      <c r="T396" s="324"/>
      <c r="U396" s="324"/>
      <c r="V396" s="324"/>
      <c r="W396" s="324"/>
    </row>
    <row r="397">
      <c r="A397" s="323"/>
      <c r="B397" s="324"/>
      <c r="C397" s="324"/>
      <c r="D397" s="324"/>
      <c r="E397" s="324"/>
      <c r="F397" s="324"/>
      <c r="G397" s="324"/>
      <c r="H397" s="324"/>
      <c r="I397" s="324"/>
      <c r="J397" s="324"/>
      <c r="K397" s="324"/>
      <c r="L397" s="324"/>
      <c r="M397" s="324"/>
      <c r="N397" s="324"/>
      <c r="O397" s="324"/>
      <c r="P397" s="324"/>
      <c r="Q397" s="324"/>
      <c r="R397" s="324"/>
      <c r="S397" s="324"/>
      <c r="T397" s="324"/>
      <c r="U397" s="324"/>
      <c r="V397" s="324"/>
      <c r="W397" s="324"/>
    </row>
    <row r="398">
      <c r="A398" s="323"/>
      <c r="B398" s="324"/>
      <c r="C398" s="324"/>
      <c r="D398" s="324"/>
      <c r="E398" s="324"/>
      <c r="F398" s="324"/>
      <c r="G398" s="324"/>
      <c r="H398" s="324"/>
      <c r="I398" s="324"/>
      <c r="J398" s="324"/>
      <c r="K398" s="324"/>
      <c r="L398" s="324"/>
      <c r="M398" s="324"/>
      <c r="N398" s="324"/>
      <c r="O398" s="324"/>
      <c r="P398" s="324"/>
      <c r="Q398" s="324"/>
      <c r="R398" s="324"/>
      <c r="S398" s="324"/>
      <c r="T398" s="324"/>
      <c r="U398" s="324"/>
      <c r="V398" s="324"/>
      <c r="W398" s="324"/>
    </row>
    <row r="399">
      <c r="A399" s="323"/>
      <c r="B399" s="324"/>
      <c r="C399" s="324"/>
      <c r="D399" s="324"/>
      <c r="E399" s="324"/>
      <c r="F399" s="324"/>
      <c r="G399" s="324"/>
      <c r="H399" s="324"/>
      <c r="I399" s="324"/>
      <c r="J399" s="324"/>
      <c r="K399" s="324"/>
      <c r="L399" s="324"/>
      <c r="M399" s="324"/>
      <c r="N399" s="324"/>
      <c r="O399" s="324"/>
      <c r="P399" s="324"/>
      <c r="Q399" s="324"/>
      <c r="R399" s="324"/>
      <c r="S399" s="324"/>
      <c r="T399" s="324"/>
      <c r="U399" s="324"/>
      <c r="V399" s="324"/>
      <c r="W399" s="324"/>
    </row>
    <row r="400">
      <c r="A400" s="323"/>
      <c r="B400" s="324"/>
      <c r="C400" s="324"/>
      <c r="D400" s="324"/>
      <c r="E400" s="324"/>
      <c r="F400" s="324"/>
      <c r="G400" s="324"/>
      <c r="H400" s="324"/>
      <c r="I400" s="324"/>
      <c r="J400" s="324"/>
      <c r="K400" s="324"/>
      <c r="L400" s="324"/>
      <c r="M400" s="324"/>
      <c r="N400" s="324"/>
      <c r="O400" s="324"/>
      <c r="P400" s="324"/>
      <c r="Q400" s="324"/>
      <c r="R400" s="324"/>
      <c r="S400" s="324"/>
      <c r="T400" s="324"/>
      <c r="U400" s="324"/>
      <c r="V400" s="324"/>
      <c r="W400" s="324"/>
    </row>
    <row r="401">
      <c r="A401" s="323"/>
      <c r="B401" s="324"/>
      <c r="C401" s="324"/>
      <c r="D401" s="324"/>
      <c r="E401" s="324"/>
      <c r="F401" s="324"/>
      <c r="G401" s="324"/>
      <c r="H401" s="324"/>
      <c r="I401" s="324"/>
      <c r="J401" s="324"/>
      <c r="K401" s="324"/>
      <c r="L401" s="324"/>
      <c r="M401" s="324"/>
      <c r="N401" s="324"/>
      <c r="O401" s="324"/>
      <c r="P401" s="324"/>
      <c r="Q401" s="324"/>
      <c r="R401" s="324"/>
      <c r="S401" s="324"/>
      <c r="T401" s="324"/>
      <c r="U401" s="324"/>
      <c r="V401" s="324"/>
      <c r="W401" s="324"/>
    </row>
    <row r="402">
      <c r="A402" s="323"/>
      <c r="B402" s="324"/>
      <c r="C402" s="324"/>
      <c r="D402" s="324"/>
      <c r="E402" s="324"/>
      <c r="F402" s="324"/>
      <c r="G402" s="324"/>
      <c r="H402" s="324"/>
      <c r="I402" s="324"/>
      <c r="J402" s="324"/>
      <c r="K402" s="324"/>
      <c r="L402" s="324"/>
      <c r="M402" s="324"/>
      <c r="N402" s="324"/>
      <c r="O402" s="324"/>
      <c r="P402" s="324"/>
      <c r="Q402" s="324"/>
      <c r="R402" s="324"/>
      <c r="S402" s="324"/>
      <c r="T402" s="324"/>
      <c r="U402" s="324"/>
      <c r="V402" s="324"/>
      <c r="W402" s="324"/>
    </row>
    <row r="403">
      <c r="A403" s="323"/>
      <c r="B403" s="324"/>
      <c r="C403" s="324"/>
      <c r="D403" s="324"/>
      <c r="E403" s="324"/>
      <c r="F403" s="324"/>
      <c r="G403" s="324"/>
      <c r="H403" s="324"/>
      <c r="I403" s="324"/>
      <c r="J403" s="324"/>
      <c r="K403" s="324"/>
      <c r="L403" s="324"/>
      <c r="M403" s="324"/>
      <c r="N403" s="324"/>
      <c r="O403" s="324"/>
      <c r="P403" s="324"/>
      <c r="Q403" s="324"/>
      <c r="R403" s="324"/>
      <c r="S403" s="324"/>
      <c r="T403" s="324"/>
      <c r="U403" s="324"/>
      <c r="V403" s="324"/>
      <c r="W403" s="324"/>
    </row>
    <row r="404">
      <c r="A404" s="323"/>
      <c r="B404" s="324"/>
      <c r="C404" s="324"/>
      <c r="D404" s="324"/>
      <c r="E404" s="324"/>
      <c r="F404" s="324"/>
      <c r="G404" s="324"/>
      <c r="H404" s="324"/>
      <c r="I404" s="324"/>
      <c r="J404" s="324"/>
      <c r="K404" s="324"/>
      <c r="L404" s="324"/>
      <c r="M404" s="324"/>
      <c r="N404" s="324"/>
      <c r="O404" s="324"/>
      <c r="P404" s="324"/>
      <c r="Q404" s="324"/>
      <c r="R404" s="324"/>
      <c r="S404" s="324"/>
      <c r="T404" s="324"/>
      <c r="U404" s="324"/>
      <c r="V404" s="324"/>
      <c r="W404" s="324"/>
    </row>
    <row r="405">
      <c r="A405" s="323"/>
      <c r="B405" s="324"/>
      <c r="C405" s="324"/>
      <c r="D405" s="324"/>
      <c r="E405" s="324"/>
      <c r="F405" s="324"/>
      <c r="G405" s="324"/>
      <c r="H405" s="324"/>
      <c r="I405" s="324"/>
      <c r="J405" s="324"/>
      <c r="K405" s="324"/>
      <c r="L405" s="324"/>
      <c r="M405" s="324"/>
      <c r="N405" s="324"/>
      <c r="O405" s="324"/>
      <c r="P405" s="324"/>
      <c r="Q405" s="324"/>
      <c r="R405" s="324"/>
      <c r="S405" s="324"/>
      <c r="T405" s="324"/>
      <c r="U405" s="324"/>
      <c r="V405" s="324"/>
      <c r="W405" s="324"/>
    </row>
    <row r="406">
      <c r="A406" s="323"/>
      <c r="B406" s="324"/>
      <c r="C406" s="324"/>
      <c r="D406" s="324"/>
      <c r="E406" s="324"/>
      <c r="F406" s="324"/>
      <c r="G406" s="324"/>
      <c r="H406" s="324"/>
      <c r="I406" s="324"/>
      <c r="J406" s="324"/>
      <c r="K406" s="324"/>
      <c r="L406" s="324"/>
      <c r="M406" s="324"/>
      <c r="N406" s="324"/>
      <c r="O406" s="324"/>
      <c r="P406" s="324"/>
      <c r="Q406" s="324"/>
      <c r="R406" s="324"/>
      <c r="S406" s="324"/>
      <c r="T406" s="324"/>
      <c r="U406" s="324"/>
      <c r="V406" s="324"/>
      <c r="W406" s="324"/>
    </row>
    <row r="407">
      <c r="A407" s="323"/>
      <c r="B407" s="324"/>
      <c r="C407" s="324"/>
      <c r="D407" s="324"/>
      <c r="E407" s="324"/>
      <c r="F407" s="324"/>
      <c r="G407" s="324"/>
      <c r="H407" s="324"/>
      <c r="I407" s="324"/>
      <c r="J407" s="324"/>
      <c r="K407" s="324"/>
      <c r="L407" s="324"/>
      <c r="M407" s="324"/>
      <c r="N407" s="324"/>
      <c r="O407" s="324"/>
      <c r="P407" s="324"/>
      <c r="Q407" s="324"/>
      <c r="R407" s="324"/>
      <c r="S407" s="324"/>
      <c r="T407" s="324"/>
      <c r="U407" s="324"/>
      <c r="V407" s="324"/>
      <c r="W407" s="324"/>
    </row>
    <row r="408">
      <c r="A408" s="323"/>
      <c r="B408" s="324"/>
      <c r="C408" s="324"/>
      <c r="D408" s="324"/>
      <c r="E408" s="324"/>
      <c r="F408" s="324"/>
      <c r="G408" s="324"/>
      <c r="H408" s="324"/>
      <c r="I408" s="324"/>
      <c r="J408" s="324"/>
      <c r="K408" s="324"/>
      <c r="L408" s="324"/>
      <c r="M408" s="324"/>
      <c r="N408" s="324"/>
      <c r="O408" s="324"/>
      <c r="P408" s="324"/>
      <c r="Q408" s="324"/>
      <c r="R408" s="324"/>
      <c r="S408" s="324"/>
      <c r="T408" s="324"/>
      <c r="U408" s="324"/>
      <c r="V408" s="324"/>
      <c r="W408" s="324"/>
    </row>
    <row r="409">
      <c r="A409" s="323"/>
      <c r="B409" s="324"/>
      <c r="C409" s="324"/>
      <c r="D409" s="324"/>
      <c r="E409" s="324"/>
      <c r="F409" s="324"/>
      <c r="G409" s="324"/>
      <c r="H409" s="324"/>
      <c r="I409" s="324"/>
      <c r="J409" s="324"/>
      <c r="K409" s="324"/>
      <c r="L409" s="324"/>
      <c r="M409" s="324"/>
      <c r="N409" s="324"/>
      <c r="O409" s="324"/>
      <c r="P409" s="324"/>
      <c r="Q409" s="324"/>
      <c r="R409" s="324"/>
      <c r="S409" s="324"/>
      <c r="T409" s="324"/>
      <c r="U409" s="324"/>
      <c r="V409" s="324"/>
      <c r="W409" s="324"/>
    </row>
    <row r="410">
      <c r="A410" s="323"/>
      <c r="B410" s="324"/>
      <c r="C410" s="324"/>
      <c r="D410" s="324"/>
      <c r="E410" s="324"/>
      <c r="F410" s="324"/>
      <c r="G410" s="324"/>
      <c r="H410" s="324"/>
      <c r="I410" s="324"/>
      <c r="J410" s="324"/>
      <c r="K410" s="324"/>
      <c r="L410" s="324"/>
      <c r="M410" s="324"/>
      <c r="N410" s="324"/>
      <c r="O410" s="324"/>
      <c r="P410" s="324"/>
      <c r="Q410" s="324"/>
      <c r="R410" s="324"/>
      <c r="S410" s="324"/>
      <c r="T410" s="324"/>
      <c r="U410" s="324"/>
      <c r="V410" s="324"/>
      <c r="W410" s="324"/>
    </row>
    <row r="411">
      <c r="A411" s="323"/>
      <c r="B411" s="324"/>
      <c r="C411" s="324"/>
      <c r="D411" s="324"/>
      <c r="E411" s="324"/>
      <c r="F411" s="324"/>
      <c r="G411" s="324"/>
      <c r="H411" s="324"/>
      <c r="I411" s="324"/>
      <c r="J411" s="324"/>
      <c r="K411" s="324"/>
      <c r="L411" s="324"/>
      <c r="M411" s="324"/>
      <c r="N411" s="324"/>
      <c r="O411" s="324"/>
      <c r="P411" s="324"/>
      <c r="Q411" s="324"/>
      <c r="R411" s="324"/>
      <c r="S411" s="324"/>
      <c r="T411" s="324"/>
      <c r="U411" s="324"/>
      <c r="V411" s="324"/>
      <c r="W411" s="324"/>
    </row>
    <row r="412">
      <c r="A412" s="323"/>
      <c r="B412" s="324"/>
      <c r="C412" s="324"/>
      <c r="D412" s="324"/>
      <c r="E412" s="324"/>
      <c r="F412" s="324"/>
      <c r="G412" s="324"/>
      <c r="H412" s="324"/>
      <c r="I412" s="324"/>
      <c r="J412" s="324"/>
      <c r="K412" s="324"/>
      <c r="L412" s="324"/>
      <c r="M412" s="324"/>
      <c r="N412" s="324"/>
      <c r="O412" s="324"/>
      <c r="P412" s="324"/>
      <c r="Q412" s="324"/>
      <c r="R412" s="324"/>
      <c r="S412" s="324"/>
      <c r="T412" s="324"/>
      <c r="U412" s="324"/>
      <c r="V412" s="324"/>
      <c r="W412" s="324"/>
    </row>
    <row r="413">
      <c r="A413" s="323"/>
      <c r="B413" s="324"/>
      <c r="C413" s="324"/>
      <c r="D413" s="324"/>
      <c r="E413" s="324"/>
      <c r="F413" s="324"/>
      <c r="G413" s="324"/>
      <c r="H413" s="324"/>
      <c r="I413" s="324"/>
      <c r="J413" s="324"/>
      <c r="K413" s="324"/>
      <c r="L413" s="324"/>
      <c r="M413" s="324"/>
      <c r="N413" s="324"/>
      <c r="O413" s="324"/>
      <c r="P413" s="324"/>
      <c r="Q413" s="324"/>
      <c r="R413" s="324"/>
      <c r="S413" s="324"/>
      <c r="T413" s="324"/>
      <c r="U413" s="324"/>
      <c r="V413" s="324"/>
      <c r="W413" s="324"/>
    </row>
    <row r="414">
      <c r="A414" s="323"/>
      <c r="B414" s="324"/>
      <c r="C414" s="324"/>
      <c r="D414" s="324"/>
      <c r="E414" s="324"/>
      <c r="F414" s="324"/>
      <c r="G414" s="324"/>
      <c r="H414" s="324"/>
      <c r="I414" s="324"/>
      <c r="J414" s="324"/>
      <c r="K414" s="324"/>
      <c r="L414" s="324"/>
      <c r="M414" s="324"/>
      <c r="N414" s="324"/>
      <c r="O414" s="324"/>
      <c r="P414" s="324"/>
      <c r="Q414" s="324"/>
      <c r="R414" s="324"/>
      <c r="S414" s="324"/>
      <c r="T414" s="324"/>
      <c r="U414" s="324"/>
      <c r="V414" s="324"/>
      <c r="W414" s="324"/>
    </row>
    <row r="415">
      <c r="A415" s="323"/>
      <c r="B415" s="324"/>
      <c r="C415" s="324"/>
      <c r="D415" s="324"/>
      <c r="E415" s="324"/>
      <c r="F415" s="324"/>
      <c r="G415" s="324"/>
      <c r="H415" s="324"/>
      <c r="I415" s="324"/>
      <c r="J415" s="324"/>
      <c r="K415" s="324"/>
      <c r="L415" s="324"/>
      <c r="M415" s="324"/>
      <c r="N415" s="324"/>
      <c r="O415" s="324"/>
      <c r="P415" s="324"/>
      <c r="Q415" s="324"/>
      <c r="R415" s="324"/>
      <c r="S415" s="324"/>
      <c r="T415" s="324"/>
      <c r="U415" s="324"/>
      <c r="V415" s="324"/>
      <c r="W415" s="324"/>
    </row>
    <row r="416">
      <c r="A416" s="323"/>
      <c r="B416" s="324"/>
      <c r="C416" s="324"/>
      <c r="D416" s="324"/>
      <c r="E416" s="324"/>
      <c r="F416" s="324"/>
      <c r="G416" s="324"/>
      <c r="H416" s="324"/>
      <c r="I416" s="324"/>
      <c r="J416" s="324"/>
      <c r="K416" s="324"/>
      <c r="L416" s="324"/>
      <c r="M416" s="324"/>
      <c r="N416" s="324"/>
      <c r="O416" s="324"/>
      <c r="P416" s="324"/>
      <c r="Q416" s="324"/>
      <c r="R416" s="324"/>
      <c r="S416" s="324"/>
      <c r="T416" s="324"/>
      <c r="U416" s="324"/>
      <c r="V416" s="324"/>
      <c r="W416" s="324"/>
    </row>
    <row r="417">
      <c r="A417" s="323"/>
      <c r="B417" s="324"/>
      <c r="C417" s="324"/>
      <c r="D417" s="324"/>
      <c r="E417" s="324"/>
      <c r="F417" s="324"/>
      <c r="G417" s="324"/>
      <c r="H417" s="324"/>
      <c r="I417" s="324"/>
      <c r="J417" s="324"/>
      <c r="K417" s="324"/>
      <c r="L417" s="324"/>
      <c r="M417" s="324"/>
      <c r="N417" s="324"/>
      <c r="O417" s="324"/>
      <c r="P417" s="324"/>
      <c r="Q417" s="324"/>
      <c r="R417" s="324"/>
      <c r="S417" s="324"/>
      <c r="T417" s="324"/>
      <c r="U417" s="324"/>
      <c r="V417" s="324"/>
      <c r="W417" s="324"/>
    </row>
    <row r="418">
      <c r="A418" s="323"/>
      <c r="B418" s="324"/>
      <c r="C418" s="324"/>
      <c r="D418" s="324"/>
      <c r="E418" s="324"/>
      <c r="F418" s="324"/>
      <c r="G418" s="324"/>
      <c r="H418" s="324"/>
      <c r="I418" s="324"/>
      <c r="J418" s="324"/>
      <c r="K418" s="324"/>
      <c r="L418" s="324"/>
      <c r="M418" s="324"/>
      <c r="N418" s="324"/>
      <c r="O418" s="324"/>
      <c r="P418" s="324"/>
      <c r="Q418" s="324"/>
      <c r="R418" s="324"/>
      <c r="S418" s="324"/>
      <c r="T418" s="324"/>
      <c r="U418" s="324"/>
      <c r="V418" s="324"/>
      <c r="W418" s="324"/>
    </row>
    <row r="419">
      <c r="A419" s="323"/>
      <c r="B419" s="324"/>
      <c r="C419" s="324"/>
      <c r="D419" s="324"/>
      <c r="E419" s="324"/>
      <c r="F419" s="324"/>
      <c r="G419" s="324"/>
      <c r="H419" s="324"/>
      <c r="I419" s="324"/>
      <c r="J419" s="324"/>
      <c r="K419" s="324"/>
      <c r="L419" s="324"/>
      <c r="M419" s="324"/>
      <c r="N419" s="324"/>
      <c r="O419" s="324"/>
      <c r="P419" s="324"/>
      <c r="Q419" s="324"/>
      <c r="R419" s="324"/>
      <c r="S419" s="324"/>
      <c r="T419" s="324"/>
      <c r="U419" s="324"/>
      <c r="V419" s="324"/>
      <c r="W419" s="324"/>
    </row>
    <row r="420">
      <c r="A420" s="323"/>
      <c r="B420" s="324"/>
      <c r="C420" s="324"/>
      <c r="D420" s="324"/>
      <c r="E420" s="324"/>
      <c r="F420" s="324"/>
      <c r="G420" s="324"/>
      <c r="H420" s="324"/>
      <c r="I420" s="324"/>
      <c r="J420" s="324"/>
      <c r="K420" s="324"/>
      <c r="L420" s="324"/>
      <c r="M420" s="324"/>
      <c r="N420" s="324"/>
      <c r="O420" s="324"/>
      <c r="P420" s="324"/>
      <c r="Q420" s="324"/>
      <c r="R420" s="324"/>
      <c r="S420" s="324"/>
      <c r="T420" s="324"/>
      <c r="U420" s="324"/>
      <c r="V420" s="324"/>
      <c r="W420" s="324"/>
    </row>
    <row r="421">
      <c r="A421" s="323"/>
      <c r="B421" s="324"/>
      <c r="C421" s="324"/>
      <c r="D421" s="324"/>
      <c r="E421" s="324"/>
      <c r="F421" s="324"/>
      <c r="G421" s="324"/>
      <c r="H421" s="324"/>
      <c r="I421" s="324"/>
      <c r="J421" s="324"/>
      <c r="K421" s="324"/>
      <c r="L421" s="324"/>
      <c r="M421" s="324"/>
      <c r="N421" s="324"/>
      <c r="O421" s="324"/>
      <c r="P421" s="324"/>
      <c r="Q421" s="324"/>
      <c r="R421" s="324"/>
      <c r="S421" s="324"/>
      <c r="T421" s="324"/>
      <c r="U421" s="324"/>
      <c r="V421" s="324"/>
      <c r="W421" s="324"/>
    </row>
    <row r="422">
      <c r="A422" s="323"/>
      <c r="B422" s="324"/>
      <c r="C422" s="324"/>
      <c r="D422" s="324"/>
      <c r="E422" s="324"/>
      <c r="F422" s="324"/>
      <c r="G422" s="324"/>
      <c r="H422" s="324"/>
      <c r="I422" s="324"/>
      <c r="J422" s="324"/>
      <c r="K422" s="324"/>
      <c r="L422" s="324"/>
      <c r="M422" s="324"/>
      <c r="N422" s="324"/>
      <c r="O422" s="324"/>
      <c r="P422" s="324"/>
      <c r="Q422" s="324"/>
      <c r="R422" s="324"/>
      <c r="S422" s="324"/>
      <c r="T422" s="324"/>
      <c r="U422" s="324"/>
      <c r="V422" s="324"/>
      <c r="W422" s="324"/>
    </row>
    <row r="423">
      <c r="A423" s="323"/>
      <c r="B423" s="324"/>
      <c r="C423" s="324"/>
      <c r="D423" s="324"/>
      <c r="E423" s="324"/>
      <c r="F423" s="324"/>
      <c r="G423" s="324"/>
      <c r="H423" s="324"/>
      <c r="I423" s="324"/>
      <c r="J423" s="324"/>
      <c r="K423" s="324"/>
      <c r="L423" s="324"/>
      <c r="M423" s="324"/>
      <c r="N423" s="324"/>
      <c r="O423" s="324"/>
      <c r="P423" s="324"/>
      <c r="Q423" s="324"/>
      <c r="R423" s="324"/>
      <c r="S423" s="324"/>
      <c r="T423" s="324"/>
      <c r="U423" s="324"/>
      <c r="V423" s="324"/>
      <c r="W423" s="324"/>
    </row>
    <row r="424">
      <c r="A424" s="323"/>
      <c r="B424" s="324"/>
      <c r="C424" s="324"/>
      <c r="D424" s="324"/>
      <c r="E424" s="324"/>
      <c r="F424" s="324"/>
      <c r="G424" s="324"/>
      <c r="H424" s="324"/>
      <c r="I424" s="324"/>
      <c r="J424" s="324"/>
      <c r="K424" s="324"/>
      <c r="L424" s="324"/>
      <c r="M424" s="324"/>
      <c r="N424" s="324"/>
      <c r="O424" s="324"/>
      <c r="P424" s="324"/>
      <c r="Q424" s="324"/>
      <c r="R424" s="324"/>
      <c r="S424" s="324"/>
      <c r="T424" s="324"/>
      <c r="U424" s="324"/>
      <c r="V424" s="324"/>
      <c r="W424" s="324"/>
    </row>
    <row r="425">
      <c r="A425" s="323"/>
      <c r="B425" s="324"/>
      <c r="C425" s="324"/>
      <c r="D425" s="324"/>
      <c r="E425" s="324"/>
      <c r="F425" s="324"/>
      <c r="G425" s="324"/>
      <c r="H425" s="324"/>
      <c r="I425" s="324"/>
      <c r="J425" s="324"/>
      <c r="K425" s="324"/>
      <c r="L425" s="324"/>
      <c r="M425" s="324"/>
      <c r="N425" s="324"/>
      <c r="O425" s="324"/>
      <c r="P425" s="324"/>
      <c r="Q425" s="324"/>
      <c r="R425" s="324"/>
      <c r="S425" s="324"/>
      <c r="T425" s="324"/>
      <c r="U425" s="324"/>
      <c r="V425" s="324"/>
      <c r="W425" s="324"/>
    </row>
    <row r="426">
      <c r="A426" s="323"/>
      <c r="B426" s="324"/>
      <c r="C426" s="324"/>
      <c r="D426" s="324"/>
      <c r="E426" s="324"/>
      <c r="F426" s="324"/>
      <c r="G426" s="324"/>
      <c r="H426" s="324"/>
      <c r="I426" s="324"/>
      <c r="J426" s="324"/>
      <c r="K426" s="324"/>
      <c r="L426" s="324"/>
      <c r="M426" s="324"/>
      <c r="N426" s="324"/>
      <c r="O426" s="324"/>
      <c r="P426" s="324"/>
      <c r="Q426" s="324"/>
      <c r="R426" s="324"/>
      <c r="S426" s="324"/>
      <c r="T426" s="324"/>
      <c r="U426" s="324"/>
      <c r="V426" s="324"/>
      <c r="W426" s="324"/>
    </row>
    <row r="427">
      <c r="A427" s="323"/>
      <c r="B427" s="324"/>
      <c r="C427" s="324"/>
      <c r="D427" s="324"/>
      <c r="E427" s="324"/>
      <c r="F427" s="324"/>
      <c r="G427" s="324"/>
      <c r="H427" s="324"/>
      <c r="I427" s="324"/>
      <c r="J427" s="324"/>
      <c r="K427" s="324"/>
      <c r="L427" s="324"/>
      <c r="M427" s="324"/>
      <c r="N427" s="324"/>
      <c r="O427" s="324"/>
      <c r="P427" s="324"/>
      <c r="Q427" s="324"/>
      <c r="R427" s="324"/>
      <c r="S427" s="324"/>
      <c r="T427" s="324"/>
      <c r="U427" s="324"/>
      <c r="V427" s="324"/>
      <c r="W427" s="324"/>
    </row>
    <row r="428">
      <c r="A428" s="323"/>
      <c r="B428" s="324"/>
      <c r="C428" s="324"/>
      <c r="D428" s="324"/>
      <c r="E428" s="324"/>
      <c r="F428" s="324"/>
      <c r="G428" s="324"/>
      <c r="H428" s="324"/>
      <c r="I428" s="324"/>
      <c r="J428" s="324"/>
      <c r="K428" s="324"/>
      <c r="L428" s="324"/>
      <c r="M428" s="324"/>
      <c r="N428" s="324"/>
      <c r="O428" s="324"/>
      <c r="P428" s="324"/>
      <c r="Q428" s="324"/>
      <c r="R428" s="324"/>
      <c r="S428" s="324"/>
      <c r="T428" s="324"/>
      <c r="U428" s="324"/>
      <c r="V428" s="324"/>
      <c r="W428" s="324"/>
    </row>
    <row r="429">
      <c r="A429" s="323"/>
      <c r="B429" s="324"/>
      <c r="C429" s="324"/>
      <c r="D429" s="324"/>
      <c r="E429" s="324"/>
      <c r="F429" s="324"/>
      <c r="G429" s="324"/>
      <c r="H429" s="324"/>
      <c r="I429" s="324"/>
      <c r="J429" s="324"/>
      <c r="K429" s="324"/>
      <c r="L429" s="324"/>
      <c r="M429" s="324"/>
      <c r="N429" s="324"/>
      <c r="O429" s="324"/>
      <c r="P429" s="324"/>
      <c r="Q429" s="324"/>
      <c r="R429" s="324"/>
      <c r="S429" s="324"/>
      <c r="T429" s="324"/>
      <c r="U429" s="324"/>
      <c r="V429" s="324"/>
      <c r="W429" s="324"/>
    </row>
    <row r="430">
      <c r="A430" s="323"/>
      <c r="B430" s="324"/>
      <c r="C430" s="324"/>
      <c r="D430" s="324"/>
      <c r="E430" s="324"/>
      <c r="F430" s="324"/>
      <c r="G430" s="324"/>
      <c r="H430" s="324"/>
      <c r="I430" s="324"/>
      <c r="J430" s="324"/>
      <c r="K430" s="324"/>
      <c r="L430" s="324"/>
      <c r="M430" s="324"/>
      <c r="N430" s="324"/>
      <c r="O430" s="324"/>
      <c r="P430" s="324"/>
      <c r="Q430" s="324"/>
      <c r="R430" s="324"/>
      <c r="S430" s="324"/>
      <c r="T430" s="324"/>
      <c r="U430" s="324"/>
      <c r="V430" s="324"/>
      <c r="W430" s="324"/>
    </row>
    <row r="431">
      <c r="A431" s="323"/>
      <c r="B431" s="324"/>
      <c r="C431" s="324"/>
      <c r="D431" s="324"/>
      <c r="E431" s="324"/>
      <c r="F431" s="324"/>
      <c r="G431" s="324"/>
      <c r="H431" s="324"/>
      <c r="I431" s="324"/>
      <c r="J431" s="324"/>
      <c r="K431" s="324"/>
      <c r="L431" s="324"/>
      <c r="M431" s="324"/>
      <c r="N431" s="324"/>
      <c r="O431" s="324"/>
      <c r="P431" s="324"/>
      <c r="Q431" s="324"/>
      <c r="R431" s="324"/>
      <c r="S431" s="324"/>
      <c r="T431" s="324"/>
      <c r="U431" s="324"/>
      <c r="V431" s="324"/>
      <c r="W431" s="324"/>
    </row>
    <row r="432">
      <c r="A432" s="323"/>
      <c r="B432" s="324"/>
      <c r="C432" s="324"/>
      <c r="D432" s="324"/>
      <c r="E432" s="324"/>
      <c r="F432" s="324"/>
      <c r="G432" s="324"/>
      <c r="H432" s="324"/>
      <c r="I432" s="324"/>
      <c r="J432" s="324"/>
      <c r="K432" s="324"/>
      <c r="L432" s="324"/>
      <c r="M432" s="324"/>
      <c r="N432" s="324"/>
      <c r="O432" s="324"/>
      <c r="P432" s="324"/>
      <c r="Q432" s="324"/>
      <c r="R432" s="324"/>
      <c r="S432" s="324"/>
      <c r="T432" s="324"/>
      <c r="U432" s="324"/>
      <c r="V432" s="324"/>
      <c r="W432" s="324"/>
    </row>
    <row r="433">
      <c r="A433" s="323"/>
      <c r="B433" s="324"/>
      <c r="C433" s="324"/>
      <c r="D433" s="324"/>
      <c r="E433" s="324"/>
      <c r="F433" s="324"/>
      <c r="G433" s="324"/>
      <c r="H433" s="324"/>
      <c r="I433" s="324"/>
      <c r="J433" s="324"/>
      <c r="K433" s="324"/>
      <c r="L433" s="324"/>
      <c r="M433" s="324"/>
      <c r="N433" s="324"/>
      <c r="O433" s="324"/>
      <c r="P433" s="324"/>
      <c r="Q433" s="324"/>
      <c r="R433" s="324"/>
      <c r="S433" s="324"/>
      <c r="T433" s="324"/>
      <c r="U433" s="324"/>
      <c r="V433" s="324"/>
      <c r="W433" s="324"/>
    </row>
    <row r="434">
      <c r="A434" s="323"/>
      <c r="B434" s="324"/>
      <c r="C434" s="324"/>
      <c r="D434" s="324"/>
      <c r="E434" s="324"/>
      <c r="F434" s="324"/>
      <c r="G434" s="324"/>
      <c r="H434" s="324"/>
      <c r="I434" s="324"/>
      <c r="J434" s="324"/>
      <c r="K434" s="324"/>
      <c r="L434" s="324"/>
      <c r="M434" s="324"/>
      <c r="N434" s="324"/>
      <c r="O434" s="324"/>
      <c r="P434" s="324"/>
      <c r="Q434" s="324"/>
      <c r="R434" s="324"/>
      <c r="S434" s="324"/>
      <c r="T434" s="324"/>
      <c r="U434" s="324"/>
      <c r="V434" s="324"/>
      <c r="W434" s="324"/>
    </row>
    <row r="435">
      <c r="A435" s="323"/>
      <c r="B435" s="324"/>
      <c r="C435" s="324"/>
      <c r="D435" s="324"/>
      <c r="E435" s="324"/>
      <c r="F435" s="324"/>
      <c r="G435" s="324"/>
      <c r="H435" s="324"/>
      <c r="I435" s="324"/>
      <c r="J435" s="324"/>
      <c r="K435" s="324"/>
      <c r="L435" s="324"/>
      <c r="M435" s="324"/>
      <c r="N435" s="324"/>
      <c r="O435" s="324"/>
      <c r="P435" s="324"/>
      <c r="Q435" s="324"/>
      <c r="R435" s="324"/>
      <c r="S435" s="324"/>
      <c r="T435" s="324"/>
      <c r="U435" s="324"/>
      <c r="V435" s="324"/>
      <c r="W435" s="324"/>
    </row>
    <row r="436">
      <c r="A436" s="323"/>
      <c r="B436" s="324"/>
      <c r="C436" s="324"/>
      <c r="D436" s="324"/>
      <c r="E436" s="324"/>
      <c r="F436" s="324"/>
      <c r="G436" s="324"/>
      <c r="H436" s="324"/>
      <c r="I436" s="324"/>
      <c r="J436" s="324"/>
      <c r="K436" s="324"/>
      <c r="L436" s="324"/>
      <c r="M436" s="324"/>
      <c r="N436" s="324"/>
      <c r="O436" s="324"/>
      <c r="P436" s="324"/>
      <c r="Q436" s="324"/>
      <c r="R436" s="324"/>
      <c r="S436" s="324"/>
      <c r="T436" s="324"/>
      <c r="U436" s="324"/>
      <c r="V436" s="324"/>
      <c r="W436" s="324"/>
    </row>
    <row r="437">
      <c r="A437" s="323"/>
      <c r="B437" s="324"/>
      <c r="C437" s="324"/>
      <c r="D437" s="324"/>
      <c r="E437" s="324"/>
      <c r="F437" s="324"/>
      <c r="G437" s="324"/>
      <c r="H437" s="324"/>
      <c r="I437" s="324"/>
      <c r="J437" s="324"/>
      <c r="K437" s="324"/>
      <c r="L437" s="324"/>
      <c r="M437" s="324"/>
      <c r="N437" s="324"/>
      <c r="O437" s="324"/>
      <c r="P437" s="324"/>
      <c r="Q437" s="324"/>
      <c r="R437" s="324"/>
      <c r="S437" s="324"/>
      <c r="T437" s="324"/>
      <c r="U437" s="324"/>
      <c r="V437" s="324"/>
      <c r="W437" s="324"/>
    </row>
    <row r="438">
      <c r="A438" s="323"/>
      <c r="B438" s="324"/>
      <c r="C438" s="324"/>
      <c r="D438" s="324"/>
      <c r="E438" s="324"/>
      <c r="F438" s="324"/>
      <c r="G438" s="324"/>
      <c r="H438" s="324"/>
      <c r="I438" s="324"/>
      <c r="J438" s="324"/>
      <c r="K438" s="324"/>
      <c r="L438" s="324"/>
      <c r="M438" s="324"/>
      <c r="N438" s="324"/>
      <c r="O438" s="324"/>
      <c r="P438" s="324"/>
      <c r="Q438" s="324"/>
      <c r="R438" s="324"/>
      <c r="S438" s="324"/>
      <c r="T438" s="324"/>
      <c r="U438" s="324"/>
      <c r="V438" s="324"/>
      <c r="W438" s="324"/>
    </row>
    <row r="439">
      <c r="A439" s="323"/>
      <c r="B439" s="324"/>
      <c r="C439" s="324"/>
      <c r="D439" s="324"/>
      <c r="E439" s="324"/>
      <c r="F439" s="324"/>
      <c r="G439" s="324"/>
      <c r="H439" s="324"/>
      <c r="I439" s="324"/>
      <c r="J439" s="324"/>
      <c r="K439" s="324"/>
      <c r="L439" s="324"/>
      <c r="M439" s="324"/>
      <c r="N439" s="324"/>
      <c r="O439" s="324"/>
      <c r="P439" s="324"/>
      <c r="Q439" s="324"/>
      <c r="R439" s="324"/>
      <c r="S439" s="324"/>
      <c r="T439" s="324"/>
      <c r="U439" s="324"/>
      <c r="V439" s="324"/>
      <c r="W439" s="324"/>
    </row>
    <row r="440">
      <c r="A440" s="323"/>
      <c r="B440" s="324"/>
      <c r="C440" s="324"/>
      <c r="D440" s="324"/>
      <c r="E440" s="324"/>
      <c r="F440" s="324"/>
      <c r="G440" s="324"/>
      <c r="H440" s="324"/>
      <c r="I440" s="324"/>
      <c r="J440" s="324"/>
      <c r="K440" s="324"/>
      <c r="L440" s="324"/>
      <c r="M440" s="324"/>
      <c r="N440" s="324"/>
      <c r="O440" s="324"/>
      <c r="P440" s="324"/>
      <c r="Q440" s="324"/>
      <c r="R440" s="324"/>
      <c r="S440" s="324"/>
      <c r="T440" s="324"/>
      <c r="U440" s="324"/>
      <c r="V440" s="324"/>
      <c r="W440" s="324"/>
    </row>
    <row r="441">
      <c r="A441" s="323"/>
      <c r="B441" s="324"/>
      <c r="C441" s="324"/>
      <c r="D441" s="324"/>
      <c r="E441" s="324"/>
      <c r="F441" s="324"/>
      <c r="G441" s="324"/>
      <c r="H441" s="324"/>
      <c r="I441" s="324"/>
      <c r="J441" s="324"/>
      <c r="K441" s="324"/>
      <c r="L441" s="324"/>
      <c r="M441" s="324"/>
      <c r="N441" s="324"/>
      <c r="O441" s="324"/>
      <c r="P441" s="324"/>
      <c r="Q441" s="324"/>
      <c r="R441" s="324"/>
      <c r="S441" s="324"/>
      <c r="T441" s="324"/>
      <c r="U441" s="324"/>
      <c r="V441" s="324"/>
      <c r="W441" s="324"/>
    </row>
    <row r="442">
      <c r="A442" s="323"/>
      <c r="B442" s="324"/>
      <c r="C442" s="324"/>
      <c r="D442" s="324"/>
      <c r="E442" s="324"/>
      <c r="F442" s="324"/>
      <c r="G442" s="324"/>
      <c r="H442" s="324"/>
      <c r="I442" s="324"/>
      <c r="J442" s="324"/>
      <c r="K442" s="324"/>
      <c r="L442" s="324"/>
      <c r="M442" s="324"/>
      <c r="N442" s="324"/>
      <c r="O442" s="324"/>
      <c r="P442" s="324"/>
      <c r="Q442" s="324"/>
      <c r="R442" s="324"/>
      <c r="S442" s="324"/>
      <c r="T442" s="324"/>
      <c r="U442" s="324"/>
      <c r="V442" s="324"/>
      <c r="W442" s="324"/>
    </row>
    <row r="443">
      <c r="A443" s="323"/>
      <c r="B443" s="324"/>
      <c r="C443" s="324"/>
      <c r="D443" s="324"/>
      <c r="E443" s="324"/>
      <c r="F443" s="324"/>
      <c r="G443" s="324"/>
      <c r="H443" s="324"/>
      <c r="I443" s="324"/>
      <c r="J443" s="324"/>
      <c r="K443" s="324"/>
      <c r="L443" s="324"/>
      <c r="M443" s="324"/>
      <c r="N443" s="324"/>
      <c r="O443" s="324"/>
      <c r="P443" s="324"/>
      <c r="Q443" s="324"/>
      <c r="R443" s="324"/>
      <c r="S443" s="324"/>
      <c r="T443" s="324"/>
      <c r="U443" s="324"/>
      <c r="V443" s="324"/>
      <c r="W443" s="324"/>
    </row>
    <row r="444">
      <c r="A444" s="323"/>
      <c r="B444" s="324"/>
      <c r="C444" s="324"/>
      <c r="D444" s="324"/>
      <c r="E444" s="324"/>
      <c r="F444" s="324"/>
      <c r="G444" s="324"/>
      <c r="H444" s="324"/>
      <c r="I444" s="324"/>
      <c r="J444" s="324"/>
      <c r="K444" s="324"/>
      <c r="L444" s="324"/>
      <c r="M444" s="324"/>
      <c r="N444" s="324"/>
      <c r="O444" s="324"/>
      <c r="P444" s="324"/>
      <c r="Q444" s="324"/>
      <c r="R444" s="324"/>
      <c r="S444" s="324"/>
      <c r="T444" s="324"/>
      <c r="U444" s="324"/>
      <c r="V444" s="324"/>
      <c r="W444" s="324"/>
    </row>
    <row r="445">
      <c r="A445" s="323"/>
      <c r="B445" s="324"/>
      <c r="C445" s="324"/>
      <c r="D445" s="324"/>
      <c r="E445" s="324"/>
      <c r="F445" s="324"/>
      <c r="G445" s="324"/>
      <c r="H445" s="324"/>
      <c r="I445" s="324"/>
      <c r="J445" s="324"/>
      <c r="K445" s="324"/>
      <c r="L445" s="324"/>
      <c r="M445" s="324"/>
      <c r="N445" s="324"/>
      <c r="O445" s="324"/>
      <c r="P445" s="324"/>
      <c r="Q445" s="324"/>
      <c r="R445" s="324"/>
      <c r="S445" s="324"/>
      <c r="T445" s="324"/>
      <c r="U445" s="324"/>
      <c r="V445" s="324"/>
      <c r="W445" s="324"/>
    </row>
    <row r="446">
      <c r="A446" s="323"/>
      <c r="B446" s="324"/>
      <c r="C446" s="324"/>
      <c r="D446" s="324"/>
      <c r="E446" s="324"/>
      <c r="F446" s="324"/>
      <c r="G446" s="324"/>
      <c r="H446" s="324"/>
      <c r="I446" s="324"/>
      <c r="J446" s="324"/>
      <c r="K446" s="324"/>
      <c r="L446" s="324"/>
      <c r="M446" s="324"/>
      <c r="N446" s="324"/>
      <c r="O446" s="324"/>
      <c r="P446" s="324"/>
      <c r="Q446" s="324"/>
      <c r="R446" s="324"/>
      <c r="S446" s="324"/>
      <c r="T446" s="324"/>
      <c r="U446" s="324"/>
      <c r="V446" s="324"/>
      <c r="W446" s="324"/>
    </row>
    <row r="447">
      <c r="A447" s="323"/>
      <c r="B447" s="324"/>
      <c r="C447" s="324"/>
      <c r="D447" s="324"/>
      <c r="E447" s="324"/>
      <c r="F447" s="324"/>
      <c r="G447" s="324"/>
      <c r="H447" s="324"/>
      <c r="I447" s="324"/>
      <c r="J447" s="324"/>
      <c r="K447" s="324"/>
      <c r="L447" s="324"/>
      <c r="M447" s="324"/>
      <c r="N447" s="324"/>
      <c r="O447" s="324"/>
      <c r="P447" s="324"/>
      <c r="Q447" s="324"/>
      <c r="R447" s="324"/>
      <c r="S447" s="324"/>
      <c r="T447" s="324"/>
      <c r="U447" s="324"/>
      <c r="V447" s="324"/>
      <c r="W447" s="324"/>
    </row>
    <row r="448">
      <c r="A448" s="323"/>
      <c r="B448" s="324"/>
      <c r="C448" s="324"/>
      <c r="D448" s="324"/>
      <c r="E448" s="324"/>
      <c r="F448" s="324"/>
      <c r="G448" s="324"/>
      <c r="H448" s="324"/>
      <c r="I448" s="324"/>
      <c r="J448" s="324"/>
      <c r="K448" s="324"/>
      <c r="L448" s="324"/>
      <c r="M448" s="324"/>
      <c r="N448" s="324"/>
      <c r="O448" s="324"/>
      <c r="P448" s="324"/>
      <c r="Q448" s="324"/>
      <c r="R448" s="324"/>
      <c r="S448" s="324"/>
      <c r="T448" s="324"/>
      <c r="U448" s="324"/>
      <c r="V448" s="324"/>
      <c r="W448" s="324"/>
    </row>
    <row r="449">
      <c r="A449" s="323"/>
      <c r="B449" s="324"/>
      <c r="C449" s="324"/>
      <c r="D449" s="324"/>
      <c r="E449" s="324"/>
      <c r="F449" s="324"/>
      <c r="G449" s="324"/>
      <c r="H449" s="324"/>
      <c r="I449" s="324"/>
      <c r="J449" s="324"/>
      <c r="K449" s="324"/>
      <c r="L449" s="324"/>
      <c r="M449" s="324"/>
      <c r="N449" s="324"/>
      <c r="O449" s="324"/>
      <c r="P449" s="324"/>
      <c r="Q449" s="324"/>
      <c r="R449" s="324"/>
      <c r="S449" s="324"/>
      <c r="T449" s="324"/>
      <c r="U449" s="324"/>
      <c r="V449" s="324"/>
      <c r="W449" s="324"/>
    </row>
    <row r="450">
      <c r="A450" s="323"/>
      <c r="B450" s="324"/>
      <c r="C450" s="324"/>
      <c r="D450" s="324"/>
      <c r="E450" s="324"/>
      <c r="F450" s="324"/>
      <c r="G450" s="324"/>
      <c r="H450" s="324"/>
      <c r="I450" s="324"/>
      <c r="J450" s="324"/>
      <c r="K450" s="324"/>
      <c r="L450" s="324"/>
      <c r="M450" s="324"/>
      <c r="N450" s="324"/>
      <c r="O450" s="324"/>
      <c r="P450" s="324"/>
      <c r="Q450" s="324"/>
      <c r="R450" s="324"/>
      <c r="S450" s="324"/>
      <c r="T450" s="324"/>
      <c r="U450" s="324"/>
      <c r="V450" s="324"/>
      <c r="W450" s="324"/>
    </row>
    <row r="451">
      <c r="A451" s="323"/>
      <c r="B451" s="324"/>
      <c r="C451" s="324"/>
      <c r="D451" s="324"/>
      <c r="E451" s="324"/>
      <c r="F451" s="324"/>
      <c r="G451" s="324"/>
      <c r="H451" s="324"/>
      <c r="I451" s="324"/>
      <c r="J451" s="324"/>
      <c r="K451" s="324"/>
      <c r="L451" s="324"/>
      <c r="M451" s="324"/>
      <c r="N451" s="324"/>
      <c r="O451" s="324"/>
      <c r="P451" s="324"/>
      <c r="Q451" s="324"/>
      <c r="R451" s="324"/>
      <c r="S451" s="324"/>
      <c r="T451" s="324"/>
      <c r="U451" s="324"/>
      <c r="V451" s="324"/>
      <c r="W451" s="324"/>
    </row>
    <row r="452">
      <c r="A452" s="323"/>
      <c r="B452" s="324"/>
      <c r="C452" s="324"/>
      <c r="D452" s="324"/>
      <c r="E452" s="324"/>
      <c r="F452" s="324"/>
      <c r="G452" s="324"/>
      <c r="H452" s="324"/>
      <c r="I452" s="324"/>
      <c r="J452" s="324"/>
      <c r="K452" s="324"/>
      <c r="L452" s="324"/>
      <c r="M452" s="324"/>
      <c r="N452" s="324"/>
      <c r="O452" s="324"/>
      <c r="P452" s="324"/>
      <c r="Q452" s="324"/>
      <c r="R452" s="324"/>
      <c r="S452" s="324"/>
      <c r="T452" s="324"/>
      <c r="U452" s="324"/>
      <c r="V452" s="324"/>
      <c r="W452" s="324"/>
    </row>
    <row r="453">
      <c r="A453" s="323"/>
      <c r="B453" s="324"/>
      <c r="C453" s="324"/>
      <c r="D453" s="324"/>
      <c r="E453" s="324"/>
      <c r="F453" s="324"/>
      <c r="G453" s="324"/>
      <c r="H453" s="324"/>
      <c r="I453" s="324"/>
      <c r="J453" s="324"/>
      <c r="K453" s="324"/>
      <c r="L453" s="324"/>
      <c r="M453" s="324"/>
      <c r="N453" s="324"/>
      <c r="O453" s="324"/>
      <c r="P453" s="324"/>
      <c r="Q453" s="324"/>
      <c r="R453" s="324"/>
      <c r="S453" s="324"/>
      <c r="T453" s="324"/>
      <c r="U453" s="324"/>
      <c r="V453" s="324"/>
      <c r="W453" s="324"/>
    </row>
    <row r="454">
      <c r="A454" s="323"/>
      <c r="B454" s="324"/>
      <c r="C454" s="324"/>
      <c r="D454" s="324"/>
      <c r="E454" s="324"/>
      <c r="F454" s="324"/>
      <c r="G454" s="324"/>
      <c r="H454" s="324"/>
      <c r="I454" s="324"/>
      <c r="J454" s="324"/>
      <c r="K454" s="324"/>
      <c r="L454" s="324"/>
      <c r="M454" s="324"/>
      <c r="N454" s="324"/>
      <c r="O454" s="324"/>
      <c r="P454" s="324"/>
      <c r="Q454" s="324"/>
      <c r="R454" s="324"/>
      <c r="S454" s="324"/>
      <c r="T454" s="324"/>
      <c r="U454" s="324"/>
      <c r="V454" s="324"/>
      <c r="W454" s="324"/>
    </row>
    <row r="455">
      <c r="A455" s="323"/>
      <c r="B455" s="324"/>
      <c r="C455" s="324"/>
      <c r="D455" s="324"/>
      <c r="E455" s="324"/>
      <c r="F455" s="324"/>
      <c r="G455" s="324"/>
      <c r="H455" s="324"/>
      <c r="I455" s="324"/>
      <c r="J455" s="324"/>
      <c r="K455" s="324"/>
      <c r="L455" s="324"/>
      <c r="M455" s="324"/>
      <c r="N455" s="324"/>
      <c r="O455" s="324"/>
      <c r="P455" s="324"/>
      <c r="Q455" s="324"/>
      <c r="R455" s="324"/>
      <c r="S455" s="324"/>
      <c r="T455" s="324"/>
      <c r="U455" s="324"/>
      <c r="V455" s="324"/>
      <c r="W455" s="324"/>
    </row>
    <row r="456">
      <c r="A456" s="323"/>
      <c r="B456" s="324"/>
      <c r="C456" s="324"/>
      <c r="D456" s="324"/>
      <c r="E456" s="324"/>
      <c r="F456" s="324"/>
      <c r="G456" s="324"/>
      <c r="H456" s="324"/>
      <c r="I456" s="324"/>
      <c r="J456" s="324"/>
      <c r="K456" s="324"/>
      <c r="L456" s="324"/>
      <c r="M456" s="324"/>
      <c r="N456" s="324"/>
      <c r="O456" s="324"/>
      <c r="P456" s="324"/>
      <c r="Q456" s="324"/>
      <c r="R456" s="324"/>
      <c r="S456" s="324"/>
      <c r="T456" s="324"/>
      <c r="U456" s="324"/>
      <c r="V456" s="324"/>
      <c r="W456" s="324"/>
    </row>
    <row r="457">
      <c r="A457" s="323"/>
      <c r="B457" s="324"/>
      <c r="C457" s="324"/>
      <c r="D457" s="324"/>
      <c r="E457" s="324"/>
      <c r="F457" s="324"/>
      <c r="G457" s="324"/>
      <c r="H457" s="324"/>
      <c r="I457" s="324"/>
      <c r="J457" s="324"/>
      <c r="K457" s="324"/>
      <c r="L457" s="324"/>
      <c r="M457" s="324"/>
      <c r="N457" s="324"/>
      <c r="O457" s="324"/>
      <c r="P457" s="324"/>
      <c r="Q457" s="324"/>
      <c r="R457" s="324"/>
      <c r="S457" s="324"/>
      <c r="T457" s="324"/>
      <c r="U457" s="324"/>
      <c r="V457" s="324"/>
      <c r="W457" s="324"/>
    </row>
    <row r="458">
      <c r="A458" s="323"/>
      <c r="B458" s="324"/>
      <c r="C458" s="324"/>
      <c r="D458" s="324"/>
      <c r="E458" s="324"/>
      <c r="F458" s="324"/>
      <c r="G458" s="324"/>
      <c r="H458" s="324"/>
      <c r="I458" s="324"/>
      <c r="J458" s="324"/>
      <c r="K458" s="324"/>
      <c r="L458" s="324"/>
      <c r="M458" s="324"/>
      <c r="N458" s="324"/>
      <c r="O458" s="324"/>
      <c r="P458" s="324"/>
      <c r="Q458" s="324"/>
      <c r="R458" s="324"/>
      <c r="S458" s="324"/>
      <c r="T458" s="324"/>
      <c r="U458" s="324"/>
      <c r="V458" s="324"/>
      <c r="W458" s="324"/>
    </row>
    <row r="459">
      <c r="A459" s="323"/>
      <c r="B459" s="324"/>
      <c r="C459" s="324"/>
      <c r="D459" s="324"/>
      <c r="E459" s="324"/>
      <c r="F459" s="324"/>
      <c r="G459" s="324"/>
      <c r="H459" s="324"/>
      <c r="I459" s="324"/>
      <c r="J459" s="324"/>
      <c r="K459" s="324"/>
      <c r="L459" s="324"/>
      <c r="M459" s="324"/>
      <c r="N459" s="324"/>
      <c r="O459" s="324"/>
      <c r="P459" s="324"/>
      <c r="Q459" s="324"/>
      <c r="R459" s="324"/>
      <c r="S459" s="324"/>
      <c r="T459" s="324"/>
      <c r="U459" s="324"/>
      <c r="V459" s="324"/>
      <c r="W459" s="324"/>
    </row>
    <row r="460">
      <c r="A460" s="323"/>
      <c r="B460" s="324"/>
      <c r="C460" s="324"/>
      <c r="D460" s="324"/>
      <c r="E460" s="324"/>
      <c r="F460" s="324"/>
      <c r="G460" s="324"/>
      <c r="H460" s="324"/>
      <c r="I460" s="324"/>
      <c r="J460" s="324"/>
      <c r="K460" s="324"/>
      <c r="L460" s="324"/>
      <c r="M460" s="324"/>
      <c r="N460" s="324"/>
      <c r="O460" s="324"/>
      <c r="P460" s="324"/>
      <c r="Q460" s="324"/>
      <c r="R460" s="324"/>
      <c r="S460" s="324"/>
      <c r="T460" s="324"/>
      <c r="U460" s="324"/>
      <c r="V460" s="324"/>
      <c r="W460" s="324"/>
    </row>
    <row r="461">
      <c r="A461" s="323"/>
      <c r="B461" s="324"/>
      <c r="C461" s="324"/>
      <c r="D461" s="324"/>
      <c r="E461" s="324"/>
      <c r="F461" s="324"/>
      <c r="G461" s="324"/>
      <c r="H461" s="324"/>
      <c r="I461" s="324"/>
      <c r="J461" s="324"/>
      <c r="K461" s="324"/>
      <c r="L461" s="324"/>
      <c r="M461" s="324"/>
      <c r="N461" s="324"/>
      <c r="O461" s="324"/>
      <c r="P461" s="324"/>
      <c r="Q461" s="324"/>
      <c r="R461" s="324"/>
      <c r="S461" s="324"/>
      <c r="T461" s="324"/>
      <c r="U461" s="324"/>
      <c r="V461" s="324"/>
      <c r="W461" s="324"/>
    </row>
    <row r="462">
      <c r="A462" s="323"/>
      <c r="B462" s="324"/>
      <c r="C462" s="324"/>
      <c r="D462" s="324"/>
      <c r="E462" s="324"/>
      <c r="F462" s="324"/>
      <c r="G462" s="324"/>
      <c r="H462" s="324"/>
      <c r="I462" s="324"/>
      <c r="J462" s="324"/>
      <c r="K462" s="324"/>
      <c r="L462" s="324"/>
      <c r="M462" s="324"/>
      <c r="N462" s="324"/>
      <c r="O462" s="324"/>
      <c r="P462" s="324"/>
      <c r="Q462" s="324"/>
      <c r="R462" s="324"/>
      <c r="S462" s="324"/>
      <c r="T462" s="324"/>
      <c r="U462" s="324"/>
      <c r="V462" s="324"/>
      <c r="W462" s="324"/>
    </row>
    <row r="463">
      <c r="A463" s="323"/>
      <c r="B463" s="324"/>
      <c r="C463" s="324"/>
      <c r="D463" s="324"/>
      <c r="E463" s="324"/>
      <c r="F463" s="324"/>
      <c r="G463" s="324"/>
      <c r="H463" s="324"/>
      <c r="I463" s="324"/>
      <c r="J463" s="324"/>
      <c r="K463" s="324"/>
      <c r="L463" s="324"/>
      <c r="M463" s="324"/>
      <c r="N463" s="324"/>
      <c r="O463" s="324"/>
      <c r="P463" s="324"/>
      <c r="Q463" s="324"/>
      <c r="R463" s="324"/>
      <c r="S463" s="324"/>
      <c r="T463" s="324"/>
      <c r="U463" s="324"/>
      <c r="V463" s="324"/>
      <c r="W463" s="324"/>
    </row>
    <row r="464">
      <c r="A464" s="323"/>
      <c r="B464" s="324"/>
      <c r="C464" s="324"/>
      <c r="D464" s="324"/>
      <c r="E464" s="324"/>
      <c r="F464" s="324"/>
      <c r="G464" s="324"/>
      <c r="H464" s="324"/>
      <c r="I464" s="324"/>
      <c r="J464" s="324"/>
      <c r="K464" s="324"/>
      <c r="L464" s="324"/>
      <c r="M464" s="324"/>
      <c r="N464" s="324"/>
      <c r="O464" s="324"/>
      <c r="P464" s="324"/>
      <c r="Q464" s="324"/>
      <c r="R464" s="324"/>
      <c r="S464" s="324"/>
      <c r="T464" s="324"/>
      <c r="U464" s="324"/>
      <c r="V464" s="324"/>
      <c r="W464" s="324"/>
    </row>
    <row r="465">
      <c r="A465" s="323"/>
      <c r="B465" s="324"/>
      <c r="C465" s="324"/>
      <c r="D465" s="324"/>
      <c r="E465" s="324"/>
      <c r="F465" s="324"/>
      <c r="G465" s="324"/>
      <c r="H465" s="324"/>
      <c r="I465" s="324"/>
      <c r="J465" s="324"/>
      <c r="K465" s="324"/>
      <c r="L465" s="324"/>
      <c r="M465" s="324"/>
      <c r="N465" s="324"/>
      <c r="O465" s="324"/>
      <c r="P465" s="324"/>
      <c r="Q465" s="324"/>
      <c r="R465" s="324"/>
      <c r="S465" s="324"/>
      <c r="T465" s="324"/>
      <c r="U465" s="324"/>
      <c r="V465" s="324"/>
      <c r="W465" s="324"/>
    </row>
    <row r="466">
      <c r="A466" s="323"/>
      <c r="B466" s="324"/>
      <c r="C466" s="324"/>
      <c r="D466" s="324"/>
      <c r="E466" s="324"/>
      <c r="F466" s="324"/>
      <c r="G466" s="324"/>
      <c r="H466" s="324"/>
      <c r="I466" s="324"/>
      <c r="J466" s="324"/>
      <c r="K466" s="324"/>
      <c r="L466" s="324"/>
      <c r="M466" s="324"/>
      <c r="N466" s="324"/>
      <c r="O466" s="324"/>
      <c r="P466" s="324"/>
      <c r="Q466" s="324"/>
      <c r="R466" s="324"/>
      <c r="S466" s="324"/>
      <c r="T466" s="324"/>
      <c r="U466" s="324"/>
      <c r="V466" s="324"/>
      <c r="W466" s="324"/>
    </row>
    <row r="467">
      <c r="A467" s="323"/>
      <c r="B467" s="324"/>
      <c r="C467" s="324"/>
      <c r="D467" s="324"/>
      <c r="E467" s="324"/>
      <c r="F467" s="324"/>
      <c r="G467" s="324"/>
      <c r="H467" s="324"/>
      <c r="I467" s="324"/>
      <c r="J467" s="324"/>
      <c r="K467" s="324"/>
      <c r="L467" s="324"/>
      <c r="M467" s="324"/>
      <c r="N467" s="324"/>
      <c r="O467" s="324"/>
      <c r="P467" s="324"/>
      <c r="Q467" s="324"/>
      <c r="R467" s="324"/>
      <c r="S467" s="324"/>
      <c r="T467" s="324"/>
      <c r="U467" s="324"/>
      <c r="V467" s="324"/>
      <c r="W467" s="324"/>
    </row>
    <row r="468">
      <c r="A468" s="323"/>
      <c r="B468" s="324"/>
      <c r="C468" s="324"/>
      <c r="D468" s="324"/>
      <c r="E468" s="324"/>
      <c r="F468" s="324"/>
      <c r="G468" s="324"/>
      <c r="H468" s="324"/>
      <c r="I468" s="324"/>
      <c r="J468" s="324"/>
      <c r="K468" s="324"/>
      <c r="L468" s="324"/>
      <c r="M468" s="324"/>
      <c r="N468" s="324"/>
      <c r="O468" s="324"/>
      <c r="P468" s="324"/>
      <c r="Q468" s="324"/>
      <c r="R468" s="324"/>
      <c r="S468" s="324"/>
      <c r="T468" s="324"/>
      <c r="U468" s="324"/>
      <c r="V468" s="324"/>
      <c r="W468" s="324"/>
    </row>
    <row r="469">
      <c r="A469" s="323"/>
      <c r="B469" s="324"/>
      <c r="C469" s="324"/>
      <c r="D469" s="324"/>
      <c r="E469" s="324"/>
      <c r="F469" s="324"/>
      <c r="G469" s="324"/>
      <c r="H469" s="324"/>
      <c r="I469" s="324"/>
      <c r="J469" s="324"/>
      <c r="K469" s="324"/>
      <c r="L469" s="324"/>
      <c r="M469" s="324"/>
      <c r="N469" s="324"/>
      <c r="O469" s="324"/>
      <c r="P469" s="324"/>
      <c r="Q469" s="324"/>
      <c r="R469" s="324"/>
      <c r="S469" s="324"/>
      <c r="T469" s="324"/>
      <c r="U469" s="324"/>
      <c r="V469" s="324"/>
      <c r="W469" s="324"/>
    </row>
    <row r="470">
      <c r="A470" s="323"/>
      <c r="B470" s="324"/>
      <c r="C470" s="324"/>
      <c r="D470" s="324"/>
      <c r="E470" s="324"/>
      <c r="F470" s="324"/>
      <c r="G470" s="324"/>
      <c r="H470" s="324"/>
      <c r="I470" s="324"/>
      <c r="J470" s="324"/>
      <c r="K470" s="324"/>
      <c r="L470" s="324"/>
      <c r="M470" s="324"/>
      <c r="N470" s="324"/>
      <c r="O470" s="324"/>
      <c r="P470" s="324"/>
      <c r="Q470" s="324"/>
      <c r="R470" s="324"/>
      <c r="S470" s="324"/>
      <c r="T470" s="324"/>
      <c r="U470" s="324"/>
      <c r="V470" s="324"/>
      <c r="W470" s="324"/>
    </row>
    <row r="471">
      <c r="A471" s="323"/>
      <c r="B471" s="324"/>
      <c r="C471" s="324"/>
      <c r="D471" s="324"/>
      <c r="E471" s="324"/>
      <c r="F471" s="324"/>
      <c r="G471" s="324"/>
      <c r="H471" s="324"/>
      <c r="I471" s="324"/>
      <c r="J471" s="324"/>
      <c r="K471" s="324"/>
      <c r="L471" s="324"/>
      <c r="M471" s="324"/>
      <c r="N471" s="324"/>
      <c r="O471" s="324"/>
      <c r="P471" s="324"/>
      <c r="Q471" s="324"/>
      <c r="R471" s="324"/>
      <c r="S471" s="324"/>
      <c r="T471" s="324"/>
      <c r="U471" s="324"/>
      <c r="V471" s="324"/>
      <c r="W471" s="324"/>
    </row>
    <row r="472">
      <c r="A472" s="323"/>
      <c r="B472" s="324"/>
      <c r="C472" s="324"/>
      <c r="D472" s="324"/>
      <c r="E472" s="324"/>
      <c r="F472" s="324"/>
      <c r="G472" s="324"/>
      <c r="H472" s="324"/>
      <c r="I472" s="324"/>
      <c r="J472" s="324"/>
      <c r="K472" s="324"/>
      <c r="L472" s="324"/>
      <c r="M472" s="324"/>
      <c r="N472" s="324"/>
      <c r="O472" s="324"/>
      <c r="P472" s="324"/>
      <c r="Q472" s="324"/>
      <c r="R472" s="324"/>
      <c r="S472" s="324"/>
      <c r="T472" s="324"/>
      <c r="U472" s="324"/>
      <c r="V472" s="324"/>
      <c r="W472" s="324"/>
    </row>
    <row r="473">
      <c r="A473" s="323"/>
      <c r="B473" s="324"/>
      <c r="C473" s="324"/>
      <c r="D473" s="324"/>
      <c r="E473" s="324"/>
      <c r="F473" s="324"/>
      <c r="G473" s="324"/>
      <c r="H473" s="324"/>
      <c r="I473" s="324"/>
      <c r="J473" s="324"/>
      <c r="K473" s="324"/>
      <c r="L473" s="324"/>
      <c r="M473" s="324"/>
      <c r="N473" s="324"/>
      <c r="O473" s="324"/>
      <c r="P473" s="324"/>
      <c r="Q473" s="324"/>
      <c r="R473" s="324"/>
      <c r="S473" s="324"/>
      <c r="T473" s="324"/>
      <c r="U473" s="324"/>
      <c r="V473" s="324"/>
      <c r="W473" s="324"/>
    </row>
    <row r="474">
      <c r="A474" s="323"/>
      <c r="B474" s="324"/>
      <c r="C474" s="324"/>
      <c r="D474" s="324"/>
      <c r="E474" s="324"/>
      <c r="F474" s="324"/>
      <c r="G474" s="324"/>
      <c r="H474" s="324"/>
      <c r="I474" s="324"/>
      <c r="J474" s="324"/>
      <c r="K474" s="324"/>
      <c r="L474" s="324"/>
      <c r="M474" s="324"/>
      <c r="N474" s="324"/>
      <c r="O474" s="324"/>
      <c r="P474" s="324"/>
      <c r="Q474" s="324"/>
      <c r="R474" s="324"/>
      <c r="S474" s="324"/>
      <c r="T474" s="324"/>
      <c r="U474" s="324"/>
      <c r="V474" s="324"/>
      <c r="W474" s="324"/>
    </row>
    <row r="475">
      <c r="A475" s="323"/>
      <c r="B475" s="324"/>
      <c r="C475" s="324"/>
      <c r="D475" s="324"/>
      <c r="E475" s="324"/>
      <c r="F475" s="324"/>
      <c r="G475" s="324"/>
      <c r="H475" s="324"/>
      <c r="I475" s="324"/>
      <c r="J475" s="324"/>
      <c r="K475" s="324"/>
      <c r="L475" s="324"/>
      <c r="M475" s="324"/>
      <c r="N475" s="324"/>
      <c r="O475" s="324"/>
      <c r="P475" s="324"/>
      <c r="Q475" s="324"/>
      <c r="R475" s="324"/>
      <c r="S475" s="324"/>
      <c r="T475" s="324"/>
      <c r="U475" s="324"/>
      <c r="V475" s="324"/>
      <c r="W475" s="324"/>
    </row>
    <row r="476">
      <c r="A476" s="323"/>
      <c r="B476" s="324"/>
      <c r="C476" s="324"/>
      <c r="D476" s="324"/>
      <c r="E476" s="324"/>
      <c r="F476" s="324"/>
      <c r="G476" s="324"/>
      <c r="H476" s="324"/>
      <c r="I476" s="324"/>
      <c r="J476" s="324"/>
      <c r="K476" s="324"/>
      <c r="L476" s="324"/>
      <c r="M476" s="324"/>
      <c r="N476" s="324"/>
      <c r="O476" s="324"/>
      <c r="P476" s="324"/>
      <c r="Q476" s="324"/>
      <c r="R476" s="324"/>
      <c r="S476" s="324"/>
      <c r="T476" s="324"/>
      <c r="U476" s="324"/>
      <c r="V476" s="324"/>
      <c r="W476" s="324"/>
    </row>
    <row r="477">
      <c r="A477" s="323"/>
      <c r="B477" s="324"/>
      <c r="C477" s="324"/>
      <c r="D477" s="324"/>
      <c r="E477" s="324"/>
      <c r="F477" s="324"/>
      <c r="G477" s="324"/>
      <c r="H477" s="324"/>
      <c r="I477" s="324"/>
      <c r="J477" s="324"/>
      <c r="K477" s="324"/>
      <c r="L477" s="324"/>
      <c r="M477" s="324"/>
      <c r="N477" s="324"/>
      <c r="O477" s="324"/>
      <c r="P477" s="324"/>
      <c r="Q477" s="324"/>
      <c r="R477" s="324"/>
      <c r="S477" s="324"/>
      <c r="T477" s="324"/>
      <c r="U477" s="324"/>
      <c r="V477" s="324"/>
      <c r="W477" s="324"/>
    </row>
    <row r="478">
      <c r="A478" s="323"/>
      <c r="B478" s="324"/>
      <c r="C478" s="324"/>
      <c r="D478" s="324"/>
      <c r="E478" s="324"/>
      <c r="F478" s="324"/>
      <c r="G478" s="324"/>
      <c r="H478" s="324"/>
      <c r="I478" s="324"/>
      <c r="J478" s="324"/>
      <c r="K478" s="324"/>
      <c r="L478" s="324"/>
      <c r="M478" s="324"/>
      <c r="N478" s="324"/>
      <c r="O478" s="324"/>
      <c r="P478" s="324"/>
      <c r="Q478" s="324"/>
      <c r="R478" s="324"/>
      <c r="S478" s="324"/>
      <c r="T478" s="324"/>
      <c r="U478" s="324"/>
      <c r="V478" s="324"/>
      <c r="W478" s="324"/>
    </row>
    <row r="479">
      <c r="A479" s="323"/>
      <c r="B479" s="324"/>
      <c r="C479" s="324"/>
      <c r="D479" s="324"/>
      <c r="E479" s="324"/>
      <c r="F479" s="324"/>
      <c r="G479" s="324"/>
      <c r="H479" s="324"/>
      <c r="I479" s="324"/>
      <c r="J479" s="324"/>
      <c r="K479" s="324"/>
      <c r="L479" s="324"/>
      <c r="M479" s="324"/>
      <c r="N479" s="324"/>
      <c r="O479" s="324"/>
      <c r="P479" s="324"/>
      <c r="Q479" s="324"/>
      <c r="R479" s="324"/>
      <c r="S479" s="324"/>
      <c r="T479" s="324"/>
      <c r="U479" s="324"/>
      <c r="V479" s="324"/>
      <c r="W479" s="324"/>
    </row>
    <row r="480">
      <c r="A480" s="323"/>
      <c r="B480" s="324"/>
      <c r="C480" s="324"/>
      <c r="D480" s="324"/>
      <c r="E480" s="324"/>
      <c r="F480" s="324"/>
      <c r="G480" s="324"/>
      <c r="H480" s="324"/>
      <c r="I480" s="324"/>
      <c r="J480" s="324"/>
      <c r="K480" s="324"/>
      <c r="L480" s="324"/>
      <c r="M480" s="324"/>
      <c r="N480" s="324"/>
      <c r="O480" s="324"/>
      <c r="P480" s="324"/>
      <c r="Q480" s="324"/>
      <c r="R480" s="324"/>
      <c r="S480" s="324"/>
      <c r="T480" s="324"/>
      <c r="U480" s="324"/>
      <c r="V480" s="324"/>
      <c r="W480" s="324"/>
    </row>
    <row r="481">
      <c r="A481" s="323"/>
      <c r="B481" s="324"/>
      <c r="C481" s="324"/>
      <c r="D481" s="324"/>
      <c r="E481" s="324"/>
      <c r="F481" s="324"/>
      <c r="G481" s="324"/>
      <c r="H481" s="324"/>
      <c r="I481" s="324"/>
      <c r="J481" s="324"/>
      <c r="K481" s="324"/>
      <c r="L481" s="324"/>
      <c r="M481" s="324"/>
      <c r="N481" s="324"/>
      <c r="O481" s="324"/>
      <c r="P481" s="324"/>
      <c r="Q481" s="324"/>
      <c r="R481" s="324"/>
      <c r="S481" s="324"/>
      <c r="T481" s="324"/>
      <c r="U481" s="324"/>
      <c r="V481" s="324"/>
      <c r="W481" s="324"/>
    </row>
    <row r="482">
      <c r="A482" s="323"/>
      <c r="B482" s="324"/>
      <c r="C482" s="324"/>
      <c r="D482" s="324"/>
      <c r="E482" s="324"/>
      <c r="F482" s="324"/>
      <c r="G482" s="324"/>
      <c r="H482" s="324"/>
      <c r="I482" s="324"/>
      <c r="J482" s="324"/>
      <c r="K482" s="324"/>
      <c r="L482" s="324"/>
      <c r="M482" s="324"/>
      <c r="N482" s="324"/>
      <c r="O482" s="324"/>
      <c r="P482" s="324"/>
      <c r="Q482" s="324"/>
      <c r="R482" s="324"/>
      <c r="S482" s="324"/>
      <c r="T482" s="324"/>
      <c r="U482" s="324"/>
      <c r="V482" s="324"/>
      <c r="W482" s="324"/>
    </row>
    <row r="483">
      <c r="A483" s="323"/>
      <c r="B483" s="324"/>
      <c r="C483" s="324"/>
      <c r="D483" s="324"/>
      <c r="E483" s="324"/>
      <c r="F483" s="324"/>
      <c r="G483" s="324"/>
      <c r="H483" s="324"/>
      <c r="I483" s="324"/>
      <c r="J483" s="324"/>
      <c r="K483" s="324"/>
      <c r="L483" s="324"/>
      <c r="M483" s="324"/>
      <c r="N483" s="324"/>
      <c r="O483" s="324"/>
      <c r="P483" s="324"/>
      <c r="Q483" s="324"/>
      <c r="R483" s="324"/>
      <c r="S483" s="324"/>
      <c r="T483" s="324"/>
      <c r="U483" s="324"/>
      <c r="V483" s="324"/>
      <c r="W483" s="324"/>
    </row>
    <row r="484">
      <c r="A484" s="323"/>
      <c r="B484" s="324"/>
      <c r="C484" s="324"/>
      <c r="D484" s="324"/>
      <c r="E484" s="324"/>
      <c r="F484" s="324"/>
      <c r="G484" s="324"/>
      <c r="H484" s="324"/>
      <c r="I484" s="324"/>
      <c r="J484" s="324"/>
      <c r="K484" s="324"/>
      <c r="L484" s="324"/>
      <c r="M484" s="324"/>
      <c r="N484" s="324"/>
      <c r="O484" s="324"/>
      <c r="P484" s="324"/>
      <c r="Q484" s="324"/>
      <c r="R484" s="324"/>
      <c r="S484" s="324"/>
      <c r="T484" s="324"/>
      <c r="U484" s="324"/>
      <c r="V484" s="324"/>
      <c r="W484" s="324"/>
    </row>
    <row r="485">
      <c r="A485" s="323"/>
      <c r="B485" s="324"/>
      <c r="C485" s="324"/>
      <c r="D485" s="324"/>
      <c r="E485" s="324"/>
      <c r="F485" s="324"/>
      <c r="G485" s="324"/>
      <c r="H485" s="324"/>
      <c r="I485" s="324"/>
      <c r="J485" s="324"/>
      <c r="K485" s="324"/>
      <c r="L485" s="324"/>
      <c r="M485" s="324"/>
      <c r="N485" s="324"/>
      <c r="O485" s="324"/>
      <c r="P485" s="324"/>
      <c r="Q485" s="324"/>
      <c r="R485" s="324"/>
      <c r="S485" s="324"/>
      <c r="T485" s="324"/>
      <c r="U485" s="324"/>
      <c r="V485" s="324"/>
      <c r="W485" s="324"/>
    </row>
    <row r="486">
      <c r="A486" s="323"/>
      <c r="B486" s="324"/>
      <c r="C486" s="324"/>
      <c r="D486" s="324"/>
      <c r="E486" s="324"/>
      <c r="F486" s="324"/>
      <c r="G486" s="324"/>
      <c r="H486" s="324"/>
      <c r="I486" s="324"/>
      <c r="J486" s="324"/>
      <c r="K486" s="324"/>
      <c r="L486" s="324"/>
      <c r="M486" s="324"/>
      <c r="N486" s="324"/>
      <c r="O486" s="324"/>
      <c r="P486" s="324"/>
      <c r="Q486" s="324"/>
      <c r="R486" s="324"/>
      <c r="S486" s="324"/>
      <c r="T486" s="324"/>
      <c r="U486" s="324"/>
      <c r="V486" s="324"/>
      <c r="W486" s="324"/>
    </row>
    <row r="487">
      <c r="A487" s="323"/>
      <c r="B487" s="324"/>
      <c r="C487" s="324"/>
      <c r="D487" s="324"/>
      <c r="E487" s="324"/>
      <c r="F487" s="324"/>
      <c r="G487" s="324"/>
      <c r="H487" s="324"/>
      <c r="I487" s="324"/>
      <c r="J487" s="324"/>
      <c r="K487" s="324"/>
      <c r="L487" s="324"/>
      <c r="M487" s="324"/>
      <c r="N487" s="324"/>
      <c r="O487" s="324"/>
      <c r="P487" s="324"/>
      <c r="Q487" s="324"/>
      <c r="R487" s="324"/>
      <c r="S487" s="324"/>
      <c r="T487" s="324"/>
      <c r="U487" s="324"/>
      <c r="V487" s="324"/>
      <c r="W487" s="324"/>
    </row>
    <row r="488">
      <c r="A488" s="323"/>
      <c r="B488" s="324"/>
      <c r="C488" s="324"/>
      <c r="D488" s="324"/>
      <c r="E488" s="324"/>
      <c r="F488" s="324"/>
      <c r="G488" s="324"/>
      <c r="H488" s="324"/>
      <c r="I488" s="324"/>
      <c r="J488" s="324"/>
      <c r="K488" s="324"/>
      <c r="L488" s="324"/>
      <c r="M488" s="324"/>
      <c r="N488" s="324"/>
      <c r="O488" s="324"/>
      <c r="P488" s="324"/>
      <c r="Q488" s="324"/>
      <c r="R488" s="324"/>
      <c r="S488" s="324"/>
      <c r="T488" s="324"/>
      <c r="U488" s="324"/>
      <c r="V488" s="324"/>
      <c r="W488" s="324"/>
    </row>
    <row r="489">
      <c r="A489" s="323"/>
      <c r="B489" s="324"/>
      <c r="C489" s="324"/>
      <c r="D489" s="324"/>
      <c r="E489" s="324"/>
      <c r="F489" s="324"/>
      <c r="G489" s="324"/>
      <c r="H489" s="324"/>
      <c r="I489" s="324"/>
      <c r="J489" s="324"/>
      <c r="K489" s="324"/>
      <c r="L489" s="324"/>
      <c r="M489" s="324"/>
      <c r="N489" s="324"/>
      <c r="O489" s="324"/>
      <c r="P489" s="324"/>
      <c r="Q489" s="324"/>
      <c r="R489" s="324"/>
      <c r="S489" s="324"/>
      <c r="T489" s="324"/>
      <c r="U489" s="324"/>
      <c r="V489" s="324"/>
      <c r="W489" s="324"/>
    </row>
    <row r="490">
      <c r="A490" s="323"/>
      <c r="B490" s="324"/>
      <c r="C490" s="324"/>
      <c r="D490" s="324"/>
      <c r="E490" s="324"/>
      <c r="F490" s="324"/>
      <c r="G490" s="324"/>
      <c r="H490" s="324"/>
      <c r="I490" s="324"/>
      <c r="J490" s="324"/>
      <c r="K490" s="324"/>
      <c r="L490" s="324"/>
      <c r="M490" s="324"/>
      <c r="N490" s="324"/>
      <c r="O490" s="324"/>
      <c r="P490" s="324"/>
      <c r="Q490" s="324"/>
      <c r="R490" s="324"/>
      <c r="S490" s="324"/>
      <c r="T490" s="324"/>
      <c r="U490" s="324"/>
      <c r="V490" s="324"/>
      <c r="W490" s="324"/>
    </row>
    <row r="491">
      <c r="A491" s="323"/>
      <c r="B491" s="324"/>
      <c r="C491" s="324"/>
      <c r="D491" s="324"/>
      <c r="E491" s="324"/>
      <c r="F491" s="324"/>
      <c r="G491" s="324"/>
      <c r="H491" s="324"/>
      <c r="I491" s="324"/>
      <c r="J491" s="324"/>
      <c r="K491" s="324"/>
      <c r="L491" s="324"/>
      <c r="M491" s="324"/>
      <c r="N491" s="324"/>
      <c r="O491" s="324"/>
      <c r="P491" s="324"/>
      <c r="Q491" s="324"/>
      <c r="R491" s="324"/>
      <c r="S491" s="324"/>
      <c r="T491" s="324"/>
      <c r="U491" s="324"/>
      <c r="V491" s="324"/>
      <c r="W491" s="324"/>
    </row>
    <row r="492">
      <c r="A492" s="323"/>
      <c r="B492" s="324"/>
      <c r="C492" s="324"/>
      <c r="D492" s="324"/>
      <c r="E492" s="324"/>
      <c r="F492" s="324"/>
      <c r="G492" s="324"/>
      <c r="H492" s="324"/>
      <c r="I492" s="324"/>
      <c r="J492" s="324"/>
      <c r="K492" s="324"/>
      <c r="L492" s="324"/>
      <c r="M492" s="324"/>
      <c r="N492" s="324"/>
      <c r="O492" s="324"/>
      <c r="P492" s="324"/>
      <c r="Q492" s="324"/>
      <c r="R492" s="324"/>
      <c r="S492" s="324"/>
      <c r="T492" s="324"/>
      <c r="U492" s="324"/>
      <c r="V492" s="324"/>
      <c r="W492" s="324"/>
    </row>
    <row r="493">
      <c r="A493" s="323"/>
      <c r="B493" s="324"/>
      <c r="C493" s="324"/>
      <c r="D493" s="324"/>
      <c r="E493" s="324"/>
      <c r="F493" s="324"/>
      <c r="G493" s="324"/>
      <c r="H493" s="324"/>
      <c r="I493" s="324"/>
      <c r="J493" s="324"/>
      <c r="K493" s="324"/>
      <c r="L493" s="324"/>
      <c r="M493" s="324"/>
      <c r="N493" s="324"/>
      <c r="O493" s="324"/>
      <c r="P493" s="324"/>
      <c r="Q493" s="324"/>
      <c r="R493" s="324"/>
      <c r="S493" s="324"/>
      <c r="T493" s="324"/>
      <c r="U493" s="324"/>
      <c r="V493" s="324"/>
      <c r="W493" s="324"/>
    </row>
    <row r="494">
      <c r="A494" s="323"/>
      <c r="B494" s="324"/>
      <c r="C494" s="324"/>
      <c r="D494" s="324"/>
      <c r="E494" s="324"/>
      <c r="F494" s="324"/>
      <c r="G494" s="324"/>
      <c r="H494" s="324"/>
      <c r="I494" s="324"/>
      <c r="J494" s="324"/>
      <c r="K494" s="324"/>
      <c r="L494" s="324"/>
      <c r="M494" s="324"/>
      <c r="N494" s="324"/>
      <c r="O494" s="324"/>
      <c r="P494" s="324"/>
      <c r="Q494" s="324"/>
      <c r="R494" s="324"/>
      <c r="S494" s="324"/>
      <c r="T494" s="324"/>
      <c r="U494" s="324"/>
      <c r="V494" s="324"/>
      <c r="W494" s="324"/>
    </row>
    <row r="495">
      <c r="A495" s="323"/>
      <c r="B495" s="324"/>
      <c r="C495" s="324"/>
      <c r="D495" s="324"/>
      <c r="E495" s="324"/>
      <c r="F495" s="324"/>
      <c r="G495" s="324"/>
      <c r="H495" s="324"/>
      <c r="I495" s="324"/>
      <c r="J495" s="324"/>
      <c r="K495" s="324"/>
      <c r="L495" s="324"/>
      <c r="M495" s="324"/>
      <c r="N495" s="324"/>
      <c r="O495" s="324"/>
      <c r="P495" s="324"/>
      <c r="Q495" s="324"/>
      <c r="R495" s="324"/>
      <c r="S495" s="324"/>
      <c r="T495" s="324"/>
      <c r="U495" s="324"/>
      <c r="V495" s="324"/>
      <c r="W495" s="324"/>
    </row>
    <row r="496">
      <c r="A496" s="323"/>
      <c r="B496" s="324"/>
      <c r="C496" s="324"/>
      <c r="D496" s="324"/>
      <c r="E496" s="324"/>
      <c r="F496" s="324"/>
      <c r="G496" s="324"/>
      <c r="H496" s="324"/>
      <c r="I496" s="324"/>
      <c r="J496" s="324"/>
      <c r="K496" s="324"/>
      <c r="L496" s="324"/>
      <c r="M496" s="324"/>
      <c r="N496" s="324"/>
      <c r="O496" s="324"/>
      <c r="P496" s="324"/>
      <c r="Q496" s="324"/>
      <c r="R496" s="324"/>
      <c r="S496" s="324"/>
      <c r="T496" s="324"/>
      <c r="U496" s="324"/>
      <c r="V496" s="324"/>
      <c r="W496" s="324"/>
    </row>
    <row r="497">
      <c r="A497" s="323"/>
      <c r="B497" s="324"/>
      <c r="C497" s="324"/>
      <c r="D497" s="324"/>
      <c r="E497" s="324"/>
      <c r="F497" s="324"/>
      <c r="G497" s="324"/>
      <c r="H497" s="324"/>
      <c r="I497" s="324"/>
      <c r="J497" s="324"/>
      <c r="K497" s="324"/>
      <c r="L497" s="324"/>
      <c r="M497" s="324"/>
      <c r="N497" s="324"/>
      <c r="O497" s="324"/>
      <c r="P497" s="324"/>
      <c r="Q497" s="324"/>
      <c r="R497" s="324"/>
      <c r="S497" s="324"/>
      <c r="T497" s="324"/>
      <c r="U497" s="324"/>
      <c r="V497" s="324"/>
      <c r="W497" s="324"/>
    </row>
    <row r="498">
      <c r="A498" s="323"/>
      <c r="B498" s="324"/>
      <c r="C498" s="324"/>
      <c r="D498" s="324"/>
      <c r="E498" s="324"/>
      <c r="F498" s="324"/>
      <c r="G498" s="324"/>
      <c r="H498" s="324"/>
      <c r="I498" s="324"/>
      <c r="J498" s="324"/>
      <c r="K498" s="324"/>
      <c r="L498" s="324"/>
      <c r="M498" s="324"/>
      <c r="N498" s="324"/>
      <c r="O498" s="324"/>
      <c r="P498" s="324"/>
      <c r="Q498" s="324"/>
      <c r="R498" s="324"/>
      <c r="S498" s="324"/>
      <c r="T498" s="324"/>
      <c r="U498" s="324"/>
      <c r="V498" s="324"/>
      <c r="W498" s="324"/>
    </row>
    <row r="499">
      <c r="A499" s="323"/>
      <c r="B499" s="324"/>
      <c r="C499" s="324"/>
      <c r="D499" s="324"/>
      <c r="E499" s="324"/>
      <c r="F499" s="324"/>
      <c r="G499" s="324"/>
      <c r="H499" s="324"/>
      <c r="I499" s="324"/>
      <c r="J499" s="324"/>
      <c r="K499" s="324"/>
      <c r="L499" s="324"/>
      <c r="M499" s="324"/>
      <c r="N499" s="324"/>
      <c r="O499" s="324"/>
      <c r="P499" s="324"/>
      <c r="Q499" s="324"/>
      <c r="R499" s="324"/>
      <c r="S499" s="324"/>
      <c r="T499" s="324"/>
      <c r="U499" s="324"/>
      <c r="V499" s="324"/>
      <c r="W499" s="324"/>
    </row>
    <row r="500">
      <c r="A500" s="323"/>
      <c r="B500" s="324"/>
      <c r="C500" s="324"/>
      <c r="D500" s="324"/>
      <c r="E500" s="324"/>
      <c r="F500" s="324"/>
      <c r="G500" s="324"/>
      <c r="H500" s="324"/>
      <c r="I500" s="324"/>
      <c r="J500" s="324"/>
      <c r="K500" s="324"/>
      <c r="L500" s="324"/>
      <c r="M500" s="324"/>
      <c r="N500" s="324"/>
      <c r="O500" s="324"/>
      <c r="P500" s="324"/>
      <c r="Q500" s="324"/>
      <c r="R500" s="324"/>
      <c r="S500" s="324"/>
      <c r="T500" s="324"/>
      <c r="U500" s="324"/>
      <c r="V500" s="324"/>
      <c r="W500" s="324"/>
    </row>
    <row r="501">
      <c r="A501" s="323"/>
      <c r="B501" s="324"/>
      <c r="C501" s="324"/>
      <c r="D501" s="324"/>
      <c r="E501" s="324"/>
      <c r="F501" s="324"/>
      <c r="G501" s="324"/>
      <c r="H501" s="324"/>
      <c r="I501" s="324"/>
      <c r="J501" s="324"/>
      <c r="K501" s="324"/>
      <c r="L501" s="324"/>
      <c r="M501" s="324"/>
      <c r="N501" s="324"/>
      <c r="O501" s="324"/>
      <c r="P501" s="324"/>
      <c r="Q501" s="324"/>
      <c r="R501" s="324"/>
      <c r="S501" s="324"/>
      <c r="T501" s="324"/>
      <c r="U501" s="324"/>
      <c r="V501" s="324"/>
      <c r="W501" s="324"/>
    </row>
    <row r="502">
      <c r="A502" s="323"/>
      <c r="B502" s="324"/>
      <c r="C502" s="324"/>
      <c r="D502" s="324"/>
      <c r="E502" s="324"/>
      <c r="F502" s="324"/>
      <c r="G502" s="324"/>
      <c r="H502" s="324"/>
      <c r="I502" s="324"/>
      <c r="J502" s="324"/>
      <c r="K502" s="324"/>
      <c r="L502" s="324"/>
      <c r="M502" s="324"/>
      <c r="N502" s="324"/>
      <c r="O502" s="324"/>
      <c r="P502" s="324"/>
      <c r="Q502" s="324"/>
      <c r="R502" s="324"/>
      <c r="S502" s="324"/>
      <c r="T502" s="324"/>
      <c r="U502" s="324"/>
      <c r="V502" s="324"/>
      <c r="W502" s="324"/>
    </row>
    <row r="503">
      <c r="A503" s="323"/>
      <c r="B503" s="324"/>
      <c r="C503" s="324"/>
      <c r="D503" s="324"/>
      <c r="E503" s="324"/>
      <c r="F503" s="324"/>
      <c r="G503" s="324"/>
      <c r="H503" s="324"/>
      <c r="I503" s="324"/>
      <c r="J503" s="324"/>
      <c r="K503" s="324"/>
      <c r="L503" s="324"/>
      <c r="M503" s="324"/>
      <c r="N503" s="324"/>
      <c r="O503" s="324"/>
      <c r="P503" s="324"/>
      <c r="Q503" s="324"/>
      <c r="R503" s="324"/>
      <c r="S503" s="324"/>
      <c r="T503" s="324"/>
      <c r="U503" s="324"/>
      <c r="V503" s="324"/>
      <c r="W503" s="324"/>
    </row>
    <row r="504">
      <c r="A504" s="323"/>
      <c r="B504" s="324"/>
      <c r="C504" s="324"/>
      <c r="D504" s="324"/>
      <c r="E504" s="324"/>
      <c r="F504" s="324"/>
      <c r="G504" s="324"/>
      <c r="H504" s="324"/>
      <c r="I504" s="324"/>
      <c r="J504" s="324"/>
      <c r="K504" s="324"/>
      <c r="L504" s="324"/>
      <c r="M504" s="324"/>
      <c r="N504" s="324"/>
      <c r="O504" s="324"/>
      <c r="P504" s="324"/>
      <c r="Q504" s="324"/>
      <c r="R504" s="324"/>
      <c r="S504" s="324"/>
      <c r="T504" s="324"/>
      <c r="U504" s="324"/>
      <c r="V504" s="324"/>
      <c r="W504" s="324"/>
    </row>
    <row r="505">
      <c r="A505" s="323"/>
      <c r="B505" s="324"/>
      <c r="C505" s="324"/>
      <c r="D505" s="324"/>
      <c r="E505" s="324"/>
      <c r="F505" s="324"/>
      <c r="G505" s="324"/>
      <c r="H505" s="324"/>
      <c r="I505" s="324"/>
      <c r="J505" s="324"/>
      <c r="K505" s="324"/>
      <c r="L505" s="324"/>
      <c r="M505" s="324"/>
      <c r="N505" s="324"/>
      <c r="O505" s="324"/>
      <c r="P505" s="324"/>
      <c r="Q505" s="324"/>
      <c r="R505" s="324"/>
      <c r="S505" s="324"/>
      <c r="T505" s="324"/>
      <c r="U505" s="324"/>
      <c r="V505" s="324"/>
      <c r="W505" s="324"/>
    </row>
    <row r="506">
      <c r="A506" s="323"/>
      <c r="B506" s="324"/>
      <c r="C506" s="324"/>
      <c r="D506" s="324"/>
      <c r="E506" s="324"/>
      <c r="F506" s="324"/>
      <c r="G506" s="324"/>
      <c r="H506" s="324"/>
      <c r="I506" s="324"/>
      <c r="J506" s="324"/>
      <c r="K506" s="324"/>
      <c r="L506" s="324"/>
      <c r="M506" s="324"/>
      <c r="N506" s="324"/>
      <c r="O506" s="324"/>
      <c r="P506" s="324"/>
      <c r="Q506" s="324"/>
      <c r="R506" s="324"/>
      <c r="S506" s="324"/>
      <c r="T506" s="324"/>
      <c r="U506" s="324"/>
      <c r="V506" s="324"/>
      <c r="W506" s="324"/>
    </row>
    <row r="507">
      <c r="A507" s="323"/>
      <c r="B507" s="324"/>
      <c r="C507" s="324"/>
      <c r="D507" s="324"/>
      <c r="E507" s="324"/>
      <c r="F507" s="324"/>
      <c r="G507" s="324"/>
      <c r="H507" s="324"/>
      <c r="I507" s="324"/>
      <c r="J507" s="324"/>
      <c r="K507" s="324"/>
      <c r="L507" s="324"/>
      <c r="M507" s="324"/>
      <c r="N507" s="324"/>
      <c r="O507" s="324"/>
      <c r="P507" s="324"/>
      <c r="Q507" s="324"/>
      <c r="R507" s="324"/>
      <c r="S507" s="324"/>
      <c r="T507" s="324"/>
      <c r="U507" s="324"/>
      <c r="V507" s="324"/>
      <c r="W507" s="324"/>
    </row>
    <row r="508">
      <c r="A508" s="323"/>
      <c r="B508" s="324"/>
      <c r="C508" s="324"/>
      <c r="D508" s="324"/>
      <c r="E508" s="324"/>
      <c r="F508" s="324"/>
      <c r="G508" s="324"/>
      <c r="H508" s="324"/>
      <c r="I508" s="324"/>
      <c r="J508" s="324"/>
      <c r="K508" s="324"/>
      <c r="L508" s="324"/>
      <c r="M508" s="324"/>
      <c r="N508" s="324"/>
      <c r="O508" s="324"/>
      <c r="P508" s="324"/>
      <c r="Q508" s="324"/>
      <c r="R508" s="324"/>
      <c r="S508" s="324"/>
      <c r="T508" s="324"/>
      <c r="U508" s="324"/>
      <c r="V508" s="324"/>
      <c r="W508" s="324"/>
    </row>
    <row r="509">
      <c r="A509" s="323"/>
      <c r="B509" s="324"/>
      <c r="C509" s="324"/>
      <c r="D509" s="324"/>
      <c r="E509" s="324"/>
      <c r="F509" s="324"/>
      <c r="G509" s="324"/>
      <c r="H509" s="324"/>
      <c r="I509" s="324"/>
      <c r="J509" s="324"/>
      <c r="K509" s="324"/>
      <c r="L509" s="324"/>
      <c r="M509" s="324"/>
      <c r="N509" s="324"/>
      <c r="O509" s="324"/>
      <c r="P509" s="324"/>
      <c r="Q509" s="324"/>
      <c r="R509" s="324"/>
      <c r="S509" s="324"/>
      <c r="T509" s="324"/>
      <c r="U509" s="324"/>
      <c r="V509" s="324"/>
      <c r="W509" s="324"/>
    </row>
    <row r="510">
      <c r="A510" s="323"/>
      <c r="B510" s="324"/>
      <c r="C510" s="324"/>
      <c r="D510" s="324"/>
      <c r="E510" s="324"/>
      <c r="F510" s="324"/>
      <c r="G510" s="324"/>
      <c r="H510" s="324"/>
      <c r="I510" s="324"/>
      <c r="J510" s="324"/>
      <c r="K510" s="324"/>
      <c r="L510" s="324"/>
      <c r="M510" s="324"/>
      <c r="N510" s="324"/>
      <c r="O510" s="324"/>
      <c r="P510" s="324"/>
      <c r="Q510" s="324"/>
      <c r="R510" s="324"/>
      <c r="S510" s="324"/>
      <c r="T510" s="324"/>
      <c r="U510" s="324"/>
      <c r="V510" s="324"/>
      <c r="W510" s="324"/>
    </row>
    <row r="511">
      <c r="A511" s="323"/>
      <c r="B511" s="324"/>
      <c r="C511" s="324"/>
      <c r="D511" s="324"/>
      <c r="E511" s="324"/>
      <c r="F511" s="324"/>
      <c r="G511" s="324"/>
      <c r="H511" s="324"/>
      <c r="I511" s="324"/>
      <c r="J511" s="324"/>
      <c r="K511" s="324"/>
      <c r="L511" s="324"/>
      <c r="M511" s="324"/>
      <c r="N511" s="324"/>
      <c r="O511" s="324"/>
      <c r="P511" s="324"/>
      <c r="Q511" s="324"/>
      <c r="R511" s="324"/>
      <c r="S511" s="324"/>
      <c r="T511" s="324"/>
      <c r="U511" s="324"/>
      <c r="V511" s="324"/>
      <c r="W511" s="324"/>
    </row>
    <row r="512">
      <c r="A512" s="323"/>
      <c r="B512" s="324"/>
      <c r="C512" s="324"/>
      <c r="D512" s="324"/>
      <c r="E512" s="324"/>
      <c r="F512" s="324"/>
      <c r="G512" s="324"/>
      <c r="H512" s="324"/>
      <c r="I512" s="324"/>
      <c r="J512" s="324"/>
      <c r="K512" s="324"/>
      <c r="L512" s="324"/>
      <c r="M512" s="324"/>
      <c r="N512" s="324"/>
      <c r="O512" s="324"/>
      <c r="P512" s="324"/>
      <c r="Q512" s="324"/>
      <c r="R512" s="324"/>
      <c r="S512" s="324"/>
      <c r="T512" s="324"/>
      <c r="U512" s="324"/>
      <c r="V512" s="324"/>
      <c r="W512" s="324"/>
    </row>
    <row r="513">
      <c r="A513" s="323"/>
      <c r="B513" s="324"/>
      <c r="C513" s="324"/>
      <c r="D513" s="324"/>
      <c r="E513" s="324"/>
      <c r="F513" s="324"/>
      <c r="G513" s="324"/>
      <c r="H513" s="324"/>
      <c r="I513" s="324"/>
      <c r="J513" s="324"/>
      <c r="K513" s="324"/>
      <c r="L513" s="324"/>
      <c r="M513" s="324"/>
      <c r="N513" s="324"/>
      <c r="O513" s="324"/>
      <c r="P513" s="324"/>
      <c r="Q513" s="324"/>
      <c r="R513" s="324"/>
      <c r="S513" s="324"/>
      <c r="T513" s="324"/>
      <c r="U513" s="324"/>
      <c r="V513" s="324"/>
      <c r="W513" s="324"/>
    </row>
    <row r="514">
      <c r="A514" s="323"/>
      <c r="B514" s="324"/>
      <c r="C514" s="324"/>
      <c r="D514" s="324"/>
      <c r="E514" s="324"/>
      <c r="F514" s="324"/>
      <c r="G514" s="324"/>
      <c r="H514" s="324"/>
      <c r="I514" s="324"/>
      <c r="J514" s="324"/>
      <c r="K514" s="324"/>
      <c r="L514" s="324"/>
      <c r="M514" s="324"/>
      <c r="N514" s="324"/>
      <c r="O514" s="324"/>
      <c r="P514" s="324"/>
      <c r="Q514" s="324"/>
      <c r="R514" s="324"/>
      <c r="S514" s="324"/>
      <c r="T514" s="324"/>
      <c r="U514" s="324"/>
      <c r="V514" s="324"/>
      <c r="W514" s="324"/>
    </row>
    <row r="515">
      <c r="A515" s="323"/>
      <c r="B515" s="324"/>
      <c r="C515" s="324"/>
      <c r="D515" s="324"/>
      <c r="E515" s="324"/>
      <c r="F515" s="324"/>
      <c r="G515" s="324"/>
      <c r="H515" s="324"/>
      <c r="I515" s="324"/>
      <c r="J515" s="324"/>
      <c r="K515" s="324"/>
      <c r="L515" s="324"/>
      <c r="M515" s="324"/>
      <c r="N515" s="324"/>
      <c r="O515" s="324"/>
      <c r="P515" s="324"/>
      <c r="Q515" s="324"/>
      <c r="R515" s="324"/>
      <c r="S515" s="324"/>
      <c r="T515" s="324"/>
      <c r="U515" s="324"/>
      <c r="V515" s="324"/>
      <c r="W515" s="324"/>
    </row>
    <row r="516">
      <c r="A516" s="323"/>
      <c r="B516" s="324"/>
      <c r="C516" s="324"/>
      <c r="D516" s="324"/>
      <c r="E516" s="324"/>
      <c r="F516" s="324"/>
      <c r="G516" s="324"/>
      <c r="H516" s="324"/>
      <c r="I516" s="324"/>
      <c r="J516" s="324"/>
      <c r="K516" s="324"/>
      <c r="L516" s="324"/>
      <c r="M516" s="324"/>
      <c r="N516" s="324"/>
      <c r="O516" s="324"/>
      <c r="P516" s="324"/>
      <c r="Q516" s="324"/>
      <c r="R516" s="324"/>
      <c r="S516" s="324"/>
      <c r="T516" s="324"/>
      <c r="U516" s="324"/>
      <c r="V516" s="324"/>
      <c r="W516" s="324"/>
    </row>
    <row r="517">
      <c r="A517" s="323"/>
      <c r="B517" s="324"/>
      <c r="C517" s="324"/>
      <c r="D517" s="324"/>
      <c r="E517" s="324"/>
      <c r="F517" s="324"/>
      <c r="G517" s="324"/>
      <c r="H517" s="324"/>
      <c r="I517" s="324"/>
      <c r="J517" s="324"/>
      <c r="K517" s="324"/>
      <c r="L517" s="324"/>
      <c r="M517" s="324"/>
      <c r="N517" s="324"/>
      <c r="O517" s="324"/>
      <c r="P517" s="324"/>
      <c r="Q517" s="324"/>
      <c r="R517" s="324"/>
      <c r="S517" s="324"/>
      <c r="T517" s="324"/>
      <c r="U517" s="324"/>
      <c r="V517" s="324"/>
      <c r="W517" s="324"/>
    </row>
    <row r="518">
      <c r="A518" s="323"/>
      <c r="B518" s="324"/>
      <c r="C518" s="324"/>
      <c r="D518" s="324"/>
      <c r="E518" s="324"/>
      <c r="F518" s="324"/>
      <c r="G518" s="324"/>
      <c r="H518" s="324"/>
      <c r="I518" s="324"/>
      <c r="J518" s="324"/>
      <c r="K518" s="324"/>
      <c r="L518" s="324"/>
      <c r="M518" s="324"/>
      <c r="N518" s="324"/>
      <c r="O518" s="324"/>
      <c r="P518" s="324"/>
      <c r="Q518" s="324"/>
      <c r="R518" s="324"/>
      <c r="S518" s="324"/>
      <c r="T518" s="324"/>
      <c r="U518" s="324"/>
      <c r="V518" s="324"/>
      <c r="W518" s="324"/>
    </row>
    <row r="519">
      <c r="A519" s="323"/>
      <c r="B519" s="324"/>
      <c r="C519" s="324"/>
      <c r="D519" s="324"/>
      <c r="E519" s="324"/>
      <c r="F519" s="324"/>
      <c r="G519" s="324"/>
      <c r="H519" s="324"/>
      <c r="I519" s="324"/>
      <c r="J519" s="324"/>
      <c r="K519" s="324"/>
      <c r="L519" s="324"/>
      <c r="M519" s="324"/>
      <c r="N519" s="324"/>
      <c r="O519" s="324"/>
      <c r="P519" s="324"/>
      <c r="Q519" s="324"/>
      <c r="R519" s="324"/>
      <c r="S519" s="324"/>
      <c r="T519" s="324"/>
      <c r="U519" s="324"/>
      <c r="V519" s="324"/>
      <c r="W519" s="324"/>
    </row>
    <row r="520">
      <c r="A520" s="323"/>
      <c r="B520" s="324"/>
      <c r="C520" s="324"/>
      <c r="D520" s="324"/>
      <c r="E520" s="324"/>
      <c r="F520" s="324"/>
      <c r="G520" s="324"/>
      <c r="H520" s="324"/>
      <c r="I520" s="324"/>
      <c r="J520" s="324"/>
      <c r="K520" s="324"/>
      <c r="L520" s="324"/>
      <c r="M520" s="324"/>
      <c r="N520" s="324"/>
      <c r="O520" s="324"/>
      <c r="P520" s="324"/>
      <c r="Q520" s="324"/>
      <c r="R520" s="324"/>
      <c r="S520" s="324"/>
      <c r="T520" s="324"/>
      <c r="U520" s="324"/>
      <c r="V520" s="324"/>
      <c r="W520" s="324"/>
    </row>
    <row r="521">
      <c r="A521" s="323"/>
      <c r="B521" s="324"/>
      <c r="C521" s="324"/>
      <c r="D521" s="324"/>
      <c r="E521" s="324"/>
      <c r="F521" s="324"/>
      <c r="G521" s="324"/>
      <c r="H521" s="324"/>
      <c r="I521" s="324"/>
      <c r="J521" s="324"/>
      <c r="K521" s="324"/>
      <c r="L521" s="324"/>
      <c r="M521" s="324"/>
      <c r="N521" s="324"/>
      <c r="O521" s="324"/>
      <c r="P521" s="324"/>
      <c r="Q521" s="324"/>
      <c r="R521" s="324"/>
      <c r="S521" s="324"/>
      <c r="T521" s="324"/>
      <c r="U521" s="324"/>
      <c r="V521" s="324"/>
      <c r="W521" s="324"/>
    </row>
    <row r="522">
      <c r="A522" s="323"/>
      <c r="B522" s="324"/>
      <c r="C522" s="324"/>
      <c r="D522" s="324"/>
      <c r="E522" s="324"/>
      <c r="F522" s="324"/>
      <c r="G522" s="324"/>
      <c r="H522" s="324"/>
      <c r="I522" s="324"/>
      <c r="J522" s="324"/>
      <c r="K522" s="324"/>
      <c r="L522" s="324"/>
      <c r="M522" s="324"/>
      <c r="N522" s="324"/>
      <c r="O522" s="324"/>
      <c r="P522" s="324"/>
      <c r="Q522" s="324"/>
      <c r="R522" s="324"/>
      <c r="S522" s="324"/>
      <c r="T522" s="324"/>
      <c r="U522" s="324"/>
      <c r="V522" s="324"/>
      <c r="W522" s="324"/>
    </row>
    <row r="523">
      <c r="A523" s="323"/>
      <c r="B523" s="324"/>
      <c r="C523" s="324"/>
      <c r="D523" s="324"/>
      <c r="E523" s="324"/>
      <c r="F523" s="324"/>
      <c r="G523" s="324"/>
      <c r="H523" s="324"/>
      <c r="I523" s="324"/>
      <c r="J523" s="324"/>
      <c r="K523" s="324"/>
      <c r="L523" s="324"/>
      <c r="M523" s="324"/>
      <c r="N523" s="324"/>
      <c r="O523" s="324"/>
      <c r="P523" s="324"/>
      <c r="Q523" s="324"/>
      <c r="R523" s="324"/>
      <c r="S523" s="324"/>
      <c r="T523" s="324"/>
      <c r="U523" s="324"/>
      <c r="V523" s="324"/>
      <c r="W523" s="324"/>
    </row>
    <row r="524">
      <c r="A524" s="323"/>
      <c r="B524" s="324"/>
      <c r="C524" s="324"/>
      <c r="D524" s="324"/>
      <c r="E524" s="324"/>
      <c r="F524" s="324"/>
      <c r="G524" s="324"/>
      <c r="H524" s="324"/>
      <c r="I524" s="324"/>
      <c r="J524" s="324"/>
      <c r="K524" s="324"/>
      <c r="L524" s="324"/>
      <c r="M524" s="324"/>
      <c r="N524" s="324"/>
      <c r="O524" s="324"/>
      <c r="P524" s="324"/>
      <c r="Q524" s="324"/>
      <c r="R524" s="324"/>
      <c r="S524" s="324"/>
      <c r="T524" s="324"/>
      <c r="U524" s="324"/>
      <c r="V524" s="324"/>
      <c r="W524" s="324"/>
    </row>
    <row r="525">
      <c r="A525" s="323"/>
      <c r="B525" s="324"/>
      <c r="C525" s="324"/>
      <c r="D525" s="324"/>
      <c r="E525" s="324"/>
      <c r="F525" s="324"/>
      <c r="G525" s="324"/>
      <c r="H525" s="324"/>
      <c r="I525" s="324"/>
      <c r="J525" s="324"/>
      <c r="K525" s="324"/>
      <c r="L525" s="324"/>
      <c r="M525" s="324"/>
      <c r="N525" s="324"/>
      <c r="O525" s="324"/>
      <c r="P525" s="324"/>
      <c r="Q525" s="324"/>
      <c r="R525" s="324"/>
      <c r="S525" s="324"/>
      <c r="T525" s="324"/>
      <c r="U525" s="324"/>
      <c r="V525" s="324"/>
      <c r="W525" s="324"/>
    </row>
    <row r="526">
      <c r="A526" s="323"/>
      <c r="B526" s="324"/>
      <c r="C526" s="324"/>
      <c r="D526" s="324"/>
      <c r="E526" s="324"/>
      <c r="F526" s="324"/>
      <c r="G526" s="324"/>
      <c r="H526" s="324"/>
      <c r="I526" s="324"/>
      <c r="J526" s="324"/>
      <c r="K526" s="324"/>
      <c r="L526" s="324"/>
      <c r="M526" s="324"/>
      <c r="N526" s="324"/>
      <c r="O526" s="324"/>
      <c r="P526" s="324"/>
      <c r="Q526" s="324"/>
      <c r="R526" s="324"/>
      <c r="S526" s="324"/>
      <c r="T526" s="324"/>
      <c r="U526" s="324"/>
      <c r="V526" s="324"/>
      <c r="W526" s="324"/>
    </row>
    <row r="527">
      <c r="A527" s="323"/>
      <c r="B527" s="324"/>
      <c r="C527" s="324"/>
      <c r="D527" s="324"/>
      <c r="E527" s="324"/>
      <c r="F527" s="324"/>
      <c r="G527" s="324"/>
      <c r="H527" s="324"/>
      <c r="I527" s="324"/>
      <c r="J527" s="324"/>
      <c r="K527" s="324"/>
      <c r="L527" s="324"/>
      <c r="M527" s="324"/>
      <c r="N527" s="324"/>
      <c r="O527" s="324"/>
      <c r="P527" s="324"/>
      <c r="Q527" s="324"/>
      <c r="R527" s="324"/>
      <c r="S527" s="324"/>
      <c r="T527" s="324"/>
      <c r="U527" s="324"/>
      <c r="V527" s="324"/>
      <c r="W527" s="324"/>
    </row>
    <row r="528">
      <c r="A528" s="323"/>
      <c r="B528" s="324"/>
      <c r="C528" s="324"/>
      <c r="D528" s="324"/>
      <c r="E528" s="324"/>
      <c r="F528" s="324"/>
      <c r="G528" s="324"/>
      <c r="H528" s="324"/>
      <c r="I528" s="324"/>
      <c r="J528" s="324"/>
      <c r="K528" s="324"/>
      <c r="L528" s="324"/>
      <c r="M528" s="324"/>
      <c r="N528" s="324"/>
      <c r="O528" s="324"/>
      <c r="P528" s="324"/>
      <c r="Q528" s="324"/>
      <c r="R528" s="324"/>
      <c r="S528" s="324"/>
      <c r="T528" s="324"/>
      <c r="U528" s="324"/>
      <c r="V528" s="324"/>
      <c r="W528" s="324"/>
    </row>
    <row r="529">
      <c r="A529" s="323"/>
      <c r="B529" s="324"/>
      <c r="C529" s="324"/>
      <c r="D529" s="324"/>
      <c r="E529" s="324"/>
      <c r="F529" s="324"/>
      <c r="G529" s="324"/>
      <c r="H529" s="324"/>
      <c r="I529" s="324"/>
      <c r="J529" s="324"/>
      <c r="K529" s="324"/>
      <c r="L529" s="324"/>
      <c r="M529" s="324"/>
      <c r="N529" s="324"/>
      <c r="O529" s="324"/>
      <c r="P529" s="324"/>
      <c r="Q529" s="324"/>
      <c r="R529" s="324"/>
      <c r="S529" s="324"/>
      <c r="T529" s="324"/>
      <c r="U529" s="324"/>
      <c r="V529" s="324"/>
      <c r="W529" s="324"/>
    </row>
    <row r="530">
      <c r="A530" s="323"/>
      <c r="B530" s="324"/>
      <c r="C530" s="324"/>
      <c r="D530" s="324"/>
      <c r="E530" s="324"/>
      <c r="F530" s="324"/>
      <c r="G530" s="324"/>
      <c r="H530" s="324"/>
      <c r="I530" s="324"/>
      <c r="J530" s="324"/>
      <c r="K530" s="324"/>
      <c r="L530" s="324"/>
      <c r="M530" s="324"/>
      <c r="N530" s="324"/>
      <c r="O530" s="324"/>
      <c r="P530" s="324"/>
      <c r="Q530" s="324"/>
      <c r="R530" s="324"/>
      <c r="S530" s="324"/>
      <c r="T530" s="324"/>
      <c r="U530" s="324"/>
      <c r="V530" s="324"/>
      <c r="W530" s="324"/>
    </row>
    <row r="531">
      <c r="A531" s="323"/>
      <c r="B531" s="324"/>
      <c r="C531" s="324"/>
      <c r="D531" s="324"/>
      <c r="E531" s="324"/>
      <c r="F531" s="324"/>
      <c r="G531" s="324"/>
      <c r="H531" s="324"/>
      <c r="I531" s="324"/>
      <c r="J531" s="324"/>
      <c r="K531" s="324"/>
      <c r="L531" s="324"/>
      <c r="M531" s="324"/>
      <c r="N531" s="324"/>
      <c r="O531" s="324"/>
      <c r="P531" s="324"/>
      <c r="Q531" s="324"/>
      <c r="R531" s="324"/>
      <c r="S531" s="324"/>
      <c r="T531" s="324"/>
      <c r="U531" s="324"/>
      <c r="V531" s="324"/>
      <c r="W531" s="324"/>
    </row>
    <row r="532">
      <c r="A532" s="323"/>
      <c r="B532" s="324"/>
      <c r="C532" s="324"/>
      <c r="D532" s="324"/>
      <c r="E532" s="324"/>
      <c r="F532" s="324"/>
      <c r="G532" s="324"/>
      <c r="H532" s="324"/>
      <c r="I532" s="324"/>
      <c r="J532" s="324"/>
      <c r="K532" s="324"/>
      <c r="L532" s="324"/>
      <c r="M532" s="324"/>
      <c r="N532" s="324"/>
      <c r="O532" s="324"/>
      <c r="P532" s="324"/>
      <c r="Q532" s="324"/>
      <c r="R532" s="324"/>
      <c r="S532" s="324"/>
      <c r="T532" s="324"/>
      <c r="U532" s="324"/>
      <c r="V532" s="324"/>
      <c r="W532" s="324"/>
    </row>
    <row r="533">
      <c r="A533" s="323"/>
      <c r="B533" s="324"/>
      <c r="C533" s="324"/>
      <c r="D533" s="324"/>
      <c r="E533" s="324"/>
      <c r="F533" s="324"/>
      <c r="G533" s="324"/>
      <c r="H533" s="324"/>
      <c r="I533" s="324"/>
      <c r="J533" s="324"/>
      <c r="K533" s="324"/>
      <c r="L533" s="324"/>
      <c r="M533" s="324"/>
      <c r="N533" s="324"/>
      <c r="O533" s="324"/>
      <c r="P533" s="324"/>
      <c r="Q533" s="324"/>
      <c r="R533" s="324"/>
      <c r="S533" s="324"/>
      <c r="T533" s="324"/>
      <c r="U533" s="324"/>
      <c r="V533" s="324"/>
      <c r="W533" s="324"/>
    </row>
    <row r="534">
      <c r="A534" s="323"/>
      <c r="B534" s="324"/>
      <c r="C534" s="324"/>
      <c r="D534" s="324"/>
      <c r="E534" s="324"/>
      <c r="F534" s="324"/>
      <c r="G534" s="324"/>
      <c r="H534" s="324"/>
      <c r="I534" s="324"/>
      <c r="J534" s="324"/>
      <c r="K534" s="324"/>
      <c r="L534" s="324"/>
      <c r="M534" s="324"/>
      <c r="N534" s="324"/>
      <c r="O534" s="324"/>
      <c r="P534" s="324"/>
      <c r="Q534" s="324"/>
      <c r="R534" s="324"/>
      <c r="S534" s="324"/>
      <c r="T534" s="324"/>
      <c r="U534" s="324"/>
      <c r="V534" s="324"/>
      <c r="W534" s="324"/>
    </row>
    <row r="535">
      <c r="A535" s="323"/>
      <c r="B535" s="324"/>
      <c r="C535" s="324"/>
      <c r="D535" s="324"/>
      <c r="E535" s="324"/>
      <c r="F535" s="324"/>
      <c r="G535" s="324"/>
      <c r="H535" s="324"/>
      <c r="I535" s="324"/>
      <c r="J535" s="324"/>
      <c r="K535" s="324"/>
      <c r="L535" s="324"/>
      <c r="M535" s="324"/>
      <c r="N535" s="324"/>
      <c r="O535" s="324"/>
      <c r="P535" s="324"/>
      <c r="Q535" s="324"/>
      <c r="R535" s="324"/>
      <c r="S535" s="324"/>
      <c r="T535" s="324"/>
      <c r="U535" s="324"/>
      <c r="V535" s="324"/>
      <c r="W535" s="324"/>
    </row>
    <row r="536">
      <c r="A536" s="323"/>
      <c r="B536" s="324"/>
      <c r="C536" s="324"/>
      <c r="D536" s="324"/>
      <c r="E536" s="324"/>
      <c r="F536" s="324"/>
      <c r="G536" s="324"/>
      <c r="H536" s="324"/>
      <c r="I536" s="324"/>
      <c r="J536" s="324"/>
      <c r="K536" s="324"/>
      <c r="L536" s="324"/>
      <c r="M536" s="324"/>
      <c r="N536" s="324"/>
      <c r="O536" s="324"/>
      <c r="P536" s="324"/>
      <c r="Q536" s="324"/>
      <c r="R536" s="324"/>
      <c r="S536" s="324"/>
      <c r="T536" s="324"/>
      <c r="U536" s="324"/>
      <c r="V536" s="324"/>
      <c r="W536" s="324"/>
    </row>
    <row r="537">
      <c r="A537" s="323"/>
      <c r="B537" s="324"/>
      <c r="C537" s="324"/>
      <c r="D537" s="324"/>
      <c r="E537" s="324"/>
      <c r="F537" s="324"/>
      <c r="G537" s="324"/>
      <c r="H537" s="324"/>
      <c r="I537" s="324"/>
      <c r="J537" s="324"/>
      <c r="K537" s="324"/>
      <c r="L537" s="324"/>
      <c r="M537" s="324"/>
      <c r="N537" s="324"/>
      <c r="O537" s="324"/>
      <c r="P537" s="324"/>
      <c r="Q537" s="324"/>
      <c r="R537" s="324"/>
      <c r="S537" s="324"/>
      <c r="T537" s="324"/>
      <c r="U537" s="324"/>
      <c r="V537" s="324"/>
      <c r="W537" s="324"/>
    </row>
    <row r="538">
      <c r="A538" s="323"/>
      <c r="B538" s="324"/>
      <c r="C538" s="324"/>
      <c r="D538" s="324"/>
      <c r="E538" s="324"/>
      <c r="F538" s="324"/>
      <c r="G538" s="324"/>
      <c r="H538" s="324"/>
      <c r="I538" s="324"/>
      <c r="J538" s="324"/>
      <c r="K538" s="324"/>
      <c r="L538" s="324"/>
      <c r="M538" s="324"/>
      <c r="N538" s="324"/>
      <c r="O538" s="324"/>
      <c r="P538" s="324"/>
      <c r="Q538" s="324"/>
      <c r="R538" s="324"/>
      <c r="S538" s="324"/>
      <c r="T538" s="324"/>
      <c r="U538" s="324"/>
      <c r="V538" s="324"/>
      <c r="W538" s="324"/>
    </row>
    <row r="539">
      <c r="A539" s="323"/>
      <c r="B539" s="324"/>
      <c r="C539" s="324"/>
      <c r="D539" s="324"/>
      <c r="E539" s="324"/>
      <c r="F539" s="324"/>
      <c r="G539" s="324"/>
      <c r="H539" s="324"/>
      <c r="I539" s="324"/>
      <c r="J539" s="324"/>
      <c r="K539" s="324"/>
      <c r="L539" s="324"/>
      <c r="M539" s="324"/>
      <c r="N539" s="324"/>
      <c r="O539" s="324"/>
      <c r="P539" s="324"/>
      <c r="Q539" s="324"/>
      <c r="R539" s="324"/>
      <c r="S539" s="324"/>
      <c r="T539" s="324"/>
      <c r="U539" s="324"/>
      <c r="V539" s="324"/>
      <c r="W539" s="324"/>
    </row>
    <row r="540">
      <c r="A540" s="323"/>
      <c r="B540" s="324"/>
      <c r="C540" s="324"/>
      <c r="D540" s="324"/>
      <c r="E540" s="324"/>
      <c r="F540" s="324"/>
      <c r="G540" s="324"/>
      <c r="H540" s="324"/>
      <c r="I540" s="324"/>
      <c r="J540" s="324"/>
      <c r="K540" s="324"/>
      <c r="L540" s="324"/>
      <c r="M540" s="324"/>
      <c r="N540" s="324"/>
      <c r="O540" s="324"/>
      <c r="P540" s="324"/>
      <c r="Q540" s="324"/>
      <c r="R540" s="324"/>
      <c r="S540" s="324"/>
      <c r="T540" s="324"/>
      <c r="U540" s="324"/>
      <c r="V540" s="324"/>
      <c r="W540" s="324"/>
    </row>
    <row r="541">
      <c r="A541" s="323"/>
      <c r="B541" s="324"/>
      <c r="C541" s="324"/>
      <c r="D541" s="324"/>
      <c r="E541" s="324"/>
      <c r="F541" s="324"/>
      <c r="G541" s="324"/>
      <c r="H541" s="324"/>
      <c r="I541" s="324"/>
      <c r="J541" s="324"/>
      <c r="K541" s="324"/>
      <c r="L541" s="324"/>
      <c r="M541" s="324"/>
      <c r="N541" s="324"/>
      <c r="O541" s="324"/>
      <c r="P541" s="324"/>
      <c r="Q541" s="324"/>
      <c r="R541" s="324"/>
      <c r="S541" s="324"/>
      <c r="T541" s="324"/>
      <c r="U541" s="324"/>
      <c r="V541" s="324"/>
      <c r="W541" s="324"/>
    </row>
    <row r="542">
      <c r="A542" s="323"/>
      <c r="B542" s="324"/>
      <c r="C542" s="324"/>
      <c r="D542" s="324"/>
      <c r="E542" s="324"/>
      <c r="F542" s="324"/>
      <c r="G542" s="324"/>
      <c r="H542" s="324"/>
      <c r="I542" s="324"/>
      <c r="J542" s="324"/>
      <c r="K542" s="324"/>
      <c r="L542" s="324"/>
      <c r="M542" s="324"/>
      <c r="N542" s="324"/>
      <c r="O542" s="324"/>
      <c r="P542" s="324"/>
      <c r="Q542" s="324"/>
      <c r="R542" s="324"/>
      <c r="S542" s="324"/>
      <c r="T542" s="324"/>
      <c r="U542" s="324"/>
      <c r="V542" s="324"/>
      <c r="W542" s="324"/>
    </row>
    <row r="543">
      <c r="A543" s="323"/>
      <c r="B543" s="324"/>
      <c r="C543" s="324"/>
      <c r="D543" s="324"/>
      <c r="E543" s="324"/>
      <c r="F543" s="324"/>
      <c r="G543" s="324"/>
      <c r="H543" s="324"/>
      <c r="I543" s="324"/>
      <c r="J543" s="324"/>
      <c r="K543" s="324"/>
      <c r="L543" s="324"/>
      <c r="M543" s="324"/>
      <c r="N543" s="324"/>
      <c r="O543" s="324"/>
      <c r="P543" s="324"/>
      <c r="Q543" s="324"/>
      <c r="R543" s="324"/>
      <c r="S543" s="324"/>
      <c r="T543" s="324"/>
      <c r="U543" s="324"/>
      <c r="V543" s="324"/>
      <c r="W543" s="324"/>
    </row>
    <row r="544">
      <c r="A544" s="323"/>
      <c r="B544" s="324"/>
      <c r="C544" s="324"/>
      <c r="D544" s="324"/>
      <c r="E544" s="324"/>
      <c r="F544" s="324"/>
      <c r="G544" s="324"/>
      <c r="H544" s="324"/>
      <c r="I544" s="324"/>
      <c r="J544" s="324"/>
      <c r="K544" s="324"/>
      <c r="L544" s="324"/>
      <c r="M544" s="324"/>
      <c r="N544" s="324"/>
      <c r="O544" s="324"/>
      <c r="P544" s="324"/>
      <c r="Q544" s="324"/>
      <c r="R544" s="324"/>
      <c r="S544" s="324"/>
      <c r="T544" s="324"/>
      <c r="U544" s="324"/>
      <c r="V544" s="324"/>
      <c r="W544" s="324"/>
    </row>
    <row r="545">
      <c r="A545" s="323"/>
      <c r="B545" s="324"/>
      <c r="C545" s="324"/>
      <c r="D545" s="324"/>
      <c r="E545" s="324"/>
      <c r="F545" s="324"/>
      <c r="G545" s="324"/>
      <c r="H545" s="324"/>
      <c r="I545" s="324"/>
      <c r="J545" s="324"/>
      <c r="K545" s="324"/>
      <c r="L545" s="324"/>
      <c r="M545" s="324"/>
      <c r="N545" s="324"/>
      <c r="O545" s="324"/>
      <c r="P545" s="324"/>
      <c r="Q545" s="324"/>
      <c r="R545" s="324"/>
      <c r="S545" s="324"/>
      <c r="T545" s="324"/>
      <c r="U545" s="324"/>
      <c r="V545" s="324"/>
      <c r="W545" s="324"/>
    </row>
    <row r="546">
      <c r="A546" s="323"/>
      <c r="B546" s="324"/>
      <c r="C546" s="324"/>
      <c r="D546" s="324"/>
      <c r="E546" s="324"/>
      <c r="F546" s="324"/>
      <c r="G546" s="324"/>
      <c r="H546" s="324"/>
      <c r="I546" s="324"/>
      <c r="J546" s="324"/>
      <c r="K546" s="324"/>
      <c r="L546" s="324"/>
      <c r="M546" s="324"/>
      <c r="N546" s="324"/>
      <c r="O546" s="324"/>
      <c r="P546" s="324"/>
      <c r="Q546" s="324"/>
      <c r="R546" s="324"/>
      <c r="S546" s="324"/>
      <c r="T546" s="324"/>
      <c r="U546" s="324"/>
      <c r="V546" s="324"/>
      <c r="W546" s="324"/>
    </row>
    <row r="547">
      <c r="A547" s="323"/>
      <c r="B547" s="324"/>
      <c r="C547" s="324"/>
      <c r="D547" s="324"/>
      <c r="E547" s="324"/>
      <c r="F547" s="324"/>
      <c r="G547" s="324"/>
      <c r="H547" s="324"/>
      <c r="I547" s="324"/>
      <c r="J547" s="324"/>
      <c r="K547" s="324"/>
      <c r="L547" s="324"/>
      <c r="M547" s="324"/>
      <c r="N547" s="324"/>
      <c r="O547" s="324"/>
      <c r="P547" s="324"/>
      <c r="Q547" s="324"/>
      <c r="R547" s="324"/>
      <c r="S547" s="324"/>
      <c r="T547" s="324"/>
      <c r="U547" s="324"/>
      <c r="V547" s="324"/>
      <c r="W547" s="324"/>
    </row>
    <row r="548">
      <c r="A548" s="323"/>
      <c r="B548" s="324"/>
      <c r="C548" s="324"/>
      <c r="D548" s="324"/>
      <c r="E548" s="324"/>
      <c r="F548" s="324"/>
      <c r="G548" s="324"/>
      <c r="H548" s="324"/>
      <c r="I548" s="324"/>
      <c r="J548" s="324"/>
      <c r="K548" s="324"/>
      <c r="L548" s="324"/>
      <c r="M548" s="324"/>
      <c r="N548" s="324"/>
      <c r="O548" s="324"/>
      <c r="P548" s="324"/>
      <c r="Q548" s="324"/>
      <c r="R548" s="324"/>
      <c r="S548" s="324"/>
      <c r="T548" s="324"/>
      <c r="U548" s="324"/>
      <c r="V548" s="324"/>
      <c r="W548" s="324"/>
    </row>
    <row r="549">
      <c r="A549" s="323"/>
      <c r="B549" s="324"/>
      <c r="C549" s="324"/>
      <c r="D549" s="324"/>
      <c r="E549" s="324"/>
      <c r="F549" s="324"/>
      <c r="G549" s="324"/>
      <c r="H549" s="324"/>
      <c r="I549" s="324"/>
      <c r="J549" s="324"/>
      <c r="K549" s="324"/>
      <c r="L549" s="324"/>
      <c r="M549" s="324"/>
      <c r="N549" s="324"/>
      <c r="O549" s="324"/>
      <c r="P549" s="324"/>
      <c r="Q549" s="324"/>
      <c r="R549" s="324"/>
      <c r="S549" s="324"/>
      <c r="T549" s="324"/>
      <c r="U549" s="324"/>
      <c r="V549" s="324"/>
      <c r="W549" s="324"/>
    </row>
    <row r="550">
      <c r="A550" s="323"/>
      <c r="B550" s="324"/>
      <c r="C550" s="324"/>
      <c r="D550" s="324"/>
      <c r="E550" s="324"/>
      <c r="F550" s="324"/>
      <c r="G550" s="324"/>
      <c r="H550" s="324"/>
      <c r="I550" s="324"/>
      <c r="J550" s="324"/>
      <c r="K550" s="324"/>
      <c r="L550" s="324"/>
      <c r="M550" s="324"/>
      <c r="N550" s="324"/>
      <c r="O550" s="324"/>
      <c r="P550" s="324"/>
      <c r="Q550" s="324"/>
      <c r="R550" s="324"/>
      <c r="S550" s="324"/>
      <c r="T550" s="324"/>
      <c r="U550" s="324"/>
      <c r="V550" s="324"/>
      <c r="W550" s="324"/>
    </row>
    <row r="551">
      <c r="A551" s="323"/>
      <c r="B551" s="324"/>
      <c r="C551" s="324"/>
      <c r="D551" s="324"/>
      <c r="E551" s="324"/>
      <c r="F551" s="324"/>
      <c r="G551" s="324"/>
      <c r="H551" s="324"/>
      <c r="I551" s="324"/>
      <c r="J551" s="324"/>
      <c r="K551" s="324"/>
      <c r="L551" s="324"/>
      <c r="M551" s="324"/>
      <c r="N551" s="324"/>
      <c r="O551" s="324"/>
      <c r="P551" s="324"/>
      <c r="Q551" s="324"/>
      <c r="R551" s="324"/>
      <c r="S551" s="324"/>
      <c r="T551" s="324"/>
      <c r="U551" s="324"/>
      <c r="V551" s="324"/>
      <c r="W551" s="324"/>
    </row>
    <row r="552">
      <c r="A552" s="323"/>
      <c r="B552" s="324"/>
      <c r="C552" s="324"/>
      <c r="D552" s="324"/>
      <c r="E552" s="324"/>
      <c r="F552" s="324"/>
      <c r="G552" s="324"/>
      <c r="H552" s="324"/>
      <c r="I552" s="324"/>
      <c r="J552" s="324"/>
      <c r="K552" s="324"/>
      <c r="L552" s="324"/>
      <c r="M552" s="324"/>
      <c r="N552" s="324"/>
      <c r="O552" s="324"/>
      <c r="P552" s="324"/>
      <c r="Q552" s="324"/>
      <c r="R552" s="324"/>
      <c r="S552" s="324"/>
      <c r="T552" s="324"/>
      <c r="U552" s="324"/>
      <c r="V552" s="324"/>
      <c r="W552" s="324"/>
    </row>
    <row r="553">
      <c r="A553" s="323"/>
      <c r="B553" s="324"/>
      <c r="C553" s="324"/>
      <c r="D553" s="324"/>
      <c r="E553" s="324"/>
      <c r="F553" s="324"/>
      <c r="G553" s="324"/>
      <c r="H553" s="324"/>
      <c r="I553" s="324"/>
      <c r="J553" s="324"/>
      <c r="K553" s="324"/>
      <c r="L553" s="324"/>
      <c r="M553" s="324"/>
      <c r="N553" s="324"/>
      <c r="O553" s="324"/>
      <c r="P553" s="324"/>
      <c r="Q553" s="324"/>
      <c r="R553" s="324"/>
      <c r="S553" s="324"/>
      <c r="T553" s="324"/>
      <c r="U553" s="324"/>
      <c r="V553" s="324"/>
      <c r="W553" s="324"/>
    </row>
    <row r="554">
      <c r="A554" s="323"/>
      <c r="B554" s="324"/>
      <c r="C554" s="324"/>
      <c r="D554" s="324"/>
      <c r="E554" s="324"/>
      <c r="F554" s="324"/>
      <c r="G554" s="324"/>
      <c r="H554" s="324"/>
      <c r="I554" s="324"/>
      <c r="J554" s="324"/>
      <c r="K554" s="324"/>
      <c r="L554" s="324"/>
      <c r="M554" s="324"/>
      <c r="N554" s="324"/>
      <c r="O554" s="324"/>
      <c r="P554" s="324"/>
      <c r="Q554" s="324"/>
      <c r="R554" s="324"/>
      <c r="S554" s="324"/>
      <c r="T554" s="324"/>
      <c r="U554" s="324"/>
      <c r="V554" s="324"/>
      <c r="W554" s="324"/>
    </row>
    <row r="555">
      <c r="A555" s="323"/>
      <c r="B555" s="324"/>
      <c r="C555" s="324"/>
      <c r="D555" s="324"/>
      <c r="E555" s="324"/>
      <c r="F555" s="324"/>
      <c r="G555" s="324"/>
      <c r="H555" s="324"/>
      <c r="I555" s="324"/>
      <c r="J555" s="324"/>
      <c r="K555" s="324"/>
      <c r="L555" s="324"/>
      <c r="M555" s="324"/>
      <c r="N555" s="324"/>
      <c r="O555" s="324"/>
      <c r="P555" s="324"/>
      <c r="Q555" s="324"/>
      <c r="R555" s="324"/>
      <c r="S555" s="324"/>
      <c r="T555" s="324"/>
      <c r="U555" s="324"/>
      <c r="V555" s="324"/>
      <c r="W555" s="324"/>
    </row>
    <row r="556">
      <c r="A556" s="323"/>
      <c r="B556" s="324"/>
      <c r="C556" s="324"/>
      <c r="D556" s="324"/>
      <c r="E556" s="324"/>
      <c r="F556" s="324"/>
      <c r="G556" s="324"/>
      <c r="H556" s="324"/>
      <c r="I556" s="324"/>
      <c r="J556" s="324"/>
      <c r="K556" s="324"/>
      <c r="L556" s="324"/>
      <c r="M556" s="324"/>
      <c r="N556" s="324"/>
      <c r="O556" s="324"/>
      <c r="P556" s="324"/>
      <c r="Q556" s="324"/>
      <c r="R556" s="324"/>
      <c r="S556" s="324"/>
      <c r="T556" s="324"/>
      <c r="U556" s="324"/>
      <c r="V556" s="324"/>
      <c r="W556" s="324"/>
    </row>
    <row r="557">
      <c r="A557" s="323"/>
      <c r="B557" s="324"/>
      <c r="C557" s="324"/>
      <c r="D557" s="324"/>
      <c r="E557" s="324"/>
      <c r="F557" s="324"/>
      <c r="G557" s="324"/>
      <c r="H557" s="324"/>
      <c r="I557" s="324"/>
      <c r="J557" s="324"/>
      <c r="K557" s="324"/>
      <c r="L557" s="324"/>
      <c r="M557" s="324"/>
      <c r="N557" s="324"/>
      <c r="O557" s="324"/>
      <c r="P557" s="324"/>
      <c r="Q557" s="324"/>
      <c r="R557" s="324"/>
      <c r="S557" s="324"/>
      <c r="T557" s="324"/>
      <c r="U557" s="324"/>
      <c r="V557" s="324"/>
      <c r="W557" s="324"/>
    </row>
    <row r="558">
      <c r="A558" s="323"/>
      <c r="B558" s="324"/>
      <c r="C558" s="324"/>
      <c r="D558" s="324"/>
      <c r="E558" s="324"/>
      <c r="F558" s="324"/>
      <c r="G558" s="324"/>
      <c r="H558" s="324"/>
      <c r="I558" s="324"/>
      <c r="J558" s="324"/>
      <c r="K558" s="324"/>
      <c r="L558" s="324"/>
      <c r="M558" s="324"/>
      <c r="N558" s="324"/>
      <c r="O558" s="324"/>
      <c r="P558" s="324"/>
      <c r="Q558" s="324"/>
      <c r="R558" s="324"/>
      <c r="S558" s="324"/>
      <c r="T558" s="324"/>
      <c r="U558" s="324"/>
      <c r="V558" s="324"/>
      <c r="W558" s="324"/>
    </row>
    <row r="559">
      <c r="A559" s="323"/>
      <c r="B559" s="324"/>
      <c r="C559" s="324"/>
      <c r="D559" s="324"/>
      <c r="E559" s="324"/>
      <c r="F559" s="324"/>
      <c r="G559" s="324"/>
      <c r="H559" s="324"/>
      <c r="I559" s="324"/>
      <c r="J559" s="324"/>
      <c r="K559" s="324"/>
      <c r="L559" s="324"/>
      <c r="M559" s="324"/>
      <c r="N559" s="324"/>
      <c r="O559" s="324"/>
      <c r="P559" s="324"/>
      <c r="Q559" s="324"/>
      <c r="R559" s="324"/>
      <c r="S559" s="324"/>
      <c r="T559" s="324"/>
      <c r="U559" s="324"/>
      <c r="V559" s="324"/>
      <c r="W559" s="324"/>
    </row>
    <row r="560">
      <c r="A560" s="323"/>
      <c r="B560" s="324"/>
      <c r="C560" s="324"/>
      <c r="D560" s="324"/>
      <c r="E560" s="324"/>
      <c r="F560" s="324"/>
      <c r="G560" s="324"/>
      <c r="H560" s="324"/>
      <c r="I560" s="324"/>
      <c r="J560" s="324"/>
      <c r="K560" s="324"/>
      <c r="L560" s="324"/>
      <c r="M560" s="324"/>
      <c r="N560" s="324"/>
      <c r="O560" s="324"/>
      <c r="P560" s="324"/>
      <c r="Q560" s="324"/>
      <c r="R560" s="324"/>
      <c r="S560" s="324"/>
      <c r="T560" s="324"/>
      <c r="U560" s="324"/>
      <c r="V560" s="324"/>
      <c r="W560" s="324"/>
    </row>
    <row r="561">
      <c r="A561" s="323"/>
      <c r="B561" s="324"/>
      <c r="C561" s="324"/>
      <c r="D561" s="324"/>
      <c r="E561" s="324"/>
      <c r="F561" s="324"/>
      <c r="G561" s="324"/>
      <c r="H561" s="324"/>
      <c r="I561" s="324"/>
      <c r="J561" s="324"/>
      <c r="K561" s="324"/>
      <c r="L561" s="324"/>
      <c r="M561" s="324"/>
      <c r="N561" s="324"/>
      <c r="O561" s="324"/>
      <c r="P561" s="324"/>
      <c r="Q561" s="324"/>
      <c r="R561" s="324"/>
      <c r="S561" s="324"/>
      <c r="T561" s="324"/>
      <c r="U561" s="324"/>
      <c r="V561" s="324"/>
      <c r="W561" s="324"/>
    </row>
    <row r="562">
      <c r="A562" s="323"/>
      <c r="B562" s="324"/>
      <c r="C562" s="324"/>
      <c r="D562" s="324"/>
      <c r="E562" s="324"/>
      <c r="F562" s="324"/>
      <c r="G562" s="324"/>
      <c r="H562" s="324"/>
      <c r="I562" s="324"/>
      <c r="J562" s="324"/>
      <c r="K562" s="324"/>
      <c r="L562" s="324"/>
      <c r="M562" s="324"/>
      <c r="N562" s="324"/>
      <c r="O562" s="324"/>
      <c r="P562" s="324"/>
      <c r="Q562" s="324"/>
      <c r="R562" s="324"/>
      <c r="S562" s="324"/>
      <c r="T562" s="324"/>
      <c r="U562" s="324"/>
      <c r="V562" s="324"/>
      <c r="W562" s="324"/>
    </row>
    <row r="563">
      <c r="A563" s="323"/>
      <c r="B563" s="324"/>
      <c r="C563" s="324"/>
      <c r="D563" s="324"/>
      <c r="E563" s="324"/>
      <c r="F563" s="324"/>
      <c r="G563" s="324"/>
      <c r="H563" s="324"/>
      <c r="I563" s="324"/>
      <c r="J563" s="324"/>
      <c r="K563" s="324"/>
      <c r="L563" s="324"/>
      <c r="M563" s="324"/>
      <c r="N563" s="324"/>
      <c r="O563" s="324"/>
      <c r="P563" s="324"/>
      <c r="Q563" s="324"/>
      <c r="R563" s="324"/>
      <c r="S563" s="324"/>
      <c r="T563" s="324"/>
      <c r="U563" s="324"/>
      <c r="V563" s="324"/>
      <c r="W563" s="324"/>
    </row>
    <row r="564">
      <c r="A564" s="323"/>
      <c r="B564" s="324"/>
      <c r="C564" s="324"/>
      <c r="D564" s="324"/>
      <c r="E564" s="324"/>
      <c r="F564" s="324"/>
      <c r="G564" s="324"/>
      <c r="H564" s="324"/>
      <c r="I564" s="324"/>
      <c r="J564" s="324"/>
      <c r="K564" s="324"/>
      <c r="L564" s="324"/>
      <c r="M564" s="324"/>
      <c r="N564" s="324"/>
      <c r="O564" s="324"/>
      <c r="P564" s="324"/>
      <c r="Q564" s="324"/>
      <c r="R564" s="324"/>
      <c r="S564" s="324"/>
      <c r="T564" s="324"/>
      <c r="U564" s="324"/>
      <c r="V564" s="324"/>
      <c r="W564" s="324"/>
    </row>
    <row r="565">
      <c r="A565" s="323"/>
      <c r="B565" s="324"/>
      <c r="C565" s="324"/>
      <c r="D565" s="324"/>
      <c r="E565" s="324"/>
      <c r="F565" s="324"/>
      <c r="G565" s="324"/>
      <c r="H565" s="324"/>
      <c r="I565" s="324"/>
      <c r="J565" s="324"/>
      <c r="K565" s="324"/>
      <c r="L565" s="324"/>
      <c r="M565" s="324"/>
      <c r="N565" s="324"/>
      <c r="O565" s="324"/>
      <c r="P565" s="324"/>
      <c r="Q565" s="324"/>
      <c r="R565" s="324"/>
      <c r="S565" s="324"/>
      <c r="T565" s="324"/>
      <c r="U565" s="324"/>
      <c r="V565" s="324"/>
      <c r="W565" s="324"/>
    </row>
    <row r="566">
      <c r="A566" s="323"/>
      <c r="B566" s="324"/>
      <c r="C566" s="324"/>
      <c r="D566" s="324"/>
      <c r="E566" s="324"/>
      <c r="F566" s="324"/>
      <c r="G566" s="324"/>
      <c r="H566" s="324"/>
      <c r="I566" s="324"/>
      <c r="J566" s="324"/>
      <c r="K566" s="324"/>
      <c r="L566" s="324"/>
      <c r="M566" s="324"/>
      <c r="N566" s="324"/>
      <c r="O566" s="324"/>
      <c r="P566" s="324"/>
      <c r="Q566" s="324"/>
      <c r="R566" s="324"/>
      <c r="S566" s="324"/>
      <c r="T566" s="324"/>
      <c r="U566" s="324"/>
      <c r="V566" s="324"/>
      <c r="W566" s="324"/>
    </row>
    <row r="567">
      <c r="A567" s="323"/>
      <c r="B567" s="324"/>
      <c r="C567" s="324"/>
      <c r="D567" s="324"/>
      <c r="E567" s="324"/>
      <c r="F567" s="324"/>
      <c r="G567" s="324"/>
      <c r="H567" s="324"/>
      <c r="I567" s="324"/>
      <c r="J567" s="324"/>
      <c r="K567" s="324"/>
      <c r="L567" s="324"/>
      <c r="M567" s="324"/>
      <c r="N567" s="324"/>
      <c r="O567" s="324"/>
      <c r="P567" s="324"/>
      <c r="Q567" s="324"/>
      <c r="R567" s="324"/>
      <c r="S567" s="324"/>
      <c r="T567" s="324"/>
      <c r="U567" s="324"/>
      <c r="V567" s="324"/>
      <c r="W567" s="324"/>
    </row>
    <row r="568">
      <c r="A568" s="323"/>
      <c r="B568" s="324"/>
      <c r="C568" s="324"/>
      <c r="D568" s="324"/>
      <c r="E568" s="324"/>
      <c r="F568" s="324"/>
      <c r="G568" s="324"/>
      <c r="H568" s="324"/>
      <c r="I568" s="324"/>
      <c r="J568" s="324"/>
      <c r="K568" s="324"/>
      <c r="L568" s="324"/>
      <c r="M568" s="324"/>
      <c r="N568" s="324"/>
      <c r="O568" s="324"/>
      <c r="P568" s="324"/>
      <c r="Q568" s="324"/>
      <c r="R568" s="324"/>
      <c r="S568" s="324"/>
      <c r="T568" s="324"/>
      <c r="U568" s="324"/>
      <c r="V568" s="324"/>
      <c r="W568" s="324"/>
    </row>
    <row r="569">
      <c r="A569" s="323"/>
      <c r="B569" s="324"/>
      <c r="C569" s="324"/>
      <c r="D569" s="324"/>
      <c r="E569" s="324"/>
      <c r="F569" s="324"/>
      <c r="G569" s="324"/>
      <c r="H569" s="324"/>
      <c r="I569" s="324"/>
      <c r="J569" s="324"/>
      <c r="K569" s="324"/>
      <c r="L569" s="324"/>
      <c r="M569" s="324"/>
      <c r="N569" s="324"/>
      <c r="O569" s="324"/>
      <c r="P569" s="324"/>
      <c r="Q569" s="324"/>
      <c r="R569" s="324"/>
      <c r="S569" s="324"/>
      <c r="T569" s="324"/>
      <c r="U569" s="324"/>
      <c r="V569" s="324"/>
      <c r="W569" s="324"/>
    </row>
    <row r="570">
      <c r="A570" s="323"/>
      <c r="B570" s="324"/>
      <c r="C570" s="324"/>
      <c r="D570" s="324"/>
      <c r="E570" s="324"/>
      <c r="F570" s="324"/>
      <c r="G570" s="324"/>
      <c r="H570" s="324"/>
      <c r="I570" s="324"/>
      <c r="J570" s="324"/>
      <c r="K570" s="324"/>
      <c r="L570" s="324"/>
      <c r="M570" s="324"/>
      <c r="N570" s="324"/>
      <c r="O570" s="324"/>
      <c r="P570" s="324"/>
      <c r="Q570" s="324"/>
      <c r="R570" s="324"/>
      <c r="S570" s="324"/>
      <c r="T570" s="324"/>
      <c r="U570" s="324"/>
      <c r="V570" s="324"/>
      <c r="W570" s="324"/>
    </row>
    <row r="571">
      <c r="A571" s="323"/>
      <c r="B571" s="324"/>
      <c r="C571" s="324"/>
      <c r="D571" s="324"/>
      <c r="E571" s="324"/>
      <c r="F571" s="324"/>
      <c r="G571" s="324"/>
      <c r="H571" s="324"/>
      <c r="I571" s="324"/>
      <c r="J571" s="324"/>
      <c r="K571" s="324"/>
      <c r="L571" s="324"/>
      <c r="M571" s="324"/>
      <c r="N571" s="324"/>
      <c r="O571" s="324"/>
      <c r="P571" s="324"/>
      <c r="Q571" s="324"/>
      <c r="R571" s="324"/>
      <c r="S571" s="324"/>
      <c r="T571" s="324"/>
      <c r="U571" s="324"/>
      <c r="V571" s="324"/>
      <c r="W571" s="324"/>
    </row>
    <row r="572">
      <c r="A572" s="323"/>
      <c r="B572" s="324"/>
      <c r="C572" s="324"/>
      <c r="D572" s="324"/>
      <c r="E572" s="324"/>
      <c r="F572" s="324"/>
      <c r="G572" s="324"/>
      <c r="H572" s="324"/>
      <c r="I572" s="324"/>
      <c r="J572" s="324"/>
      <c r="K572" s="324"/>
      <c r="L572" s="324"/>
      <c r="M572" s="324"/>
      <c r="N572" s="324"/>
      <c r="O572" s="324"/>
      <c r="P572" s="324"/>
      <c r="Q572" s="324"/>
      <c r="R572" s="324"/>
      <c r="S572" s="324"/>
      <c r="T572" s="324"/>
      <c r="U572" s="324"/>
      <c r="V572" s="324"/>
      <c r="W572" s="324"/>
    </row>
    <row r="573">
      <c r="A573" s="323"/>
      <c r="B573" s="324"/>
      <c r="C573" s="324"/>
      <c r="D573" s="324"/>
      <c r="E573" s="324"/>
      <c r="F573" s="324"/>
      <c r="G573" s="324"/>
      <c r="H573" s="324"/>
      <c r="I573" s="324"/>
      <c r="J573" s="324"/>
      <c r="K573" s="324"/>
      <c r="L573" s="324"/>
      <c r="M573" s="324"/>
      <c r="N573" s="324"/>
      <c r="O573" s="324"/>
      <c r="P573" s="324"/>
      <c r="Q573" s="324"/>
      <c r="R573" s="324"/>
      <c r="S573" s="324"/>
      <c r="T573" s="324"/>
      <c r="U573" s="324"/>
      <c r="V573" s="324"/>
      <c r="W573" s="324"/>
    </row>
    <row r="574">
      <c r="A574" s="323"/>
      <c r="B574" s="324"/>
      <c r="C574" s="324"/>
      <c r="D574" s="324"/>
      <c r="E574" s="324"/>
      <c r="F574" s="324"/>
      <c r="G574" s="324"/>
      <c r="H574" s="324"/>
      <c r="I574" s="324"/>
      <c r="J574" s="324"/>
      <c r="K574" s="324"/>
      <c r="L574" s="324"/>
      <c r="M574" s="324"/>
      <c r="N574" s="324"/>
      <c r="O574" s="324"/>
      <c r="P574" s="324"/>
      <c r="Q574" s="324"/>
      <c r="R574" s="324"/>
      <c r="S574" s="324"/>
      <c r="T574" s="324"/>
      <c r="U574" s="324"/>
      <c r="V574" s="324"/>
      <c r="W574" s="324"/>
    </row>
    <row r="575">
      <c r="A575" s="323"/>
      <c r="B575" s="324"/>
      <c r="C575" s="324"/>
      <c r="D575" s="324"/>
      <c r="E575" s="324"/>
      <c r="F575" s="324"/>
      <c r="G575" s="324"/>
      <c r="H575" s="324"/>
      <c r="I575" s="324"/>
      <c r="J575" s="324"/>
      <c r="K575" s="324"/>
      <c r="L575" s="324"/>
      <c r="M575" s="324"/>
      <c r="N575" s="324"/>
      <c r="O575" s="324"/>
      <c r="P575" s="324"/>
      <c r="Q575" s="324"/>
      <c r="R575" s="324"/>
      <c r="S575" s="324"/>
      <c r="T575" s="324"/>
      <c r="U575" s="324"/>
      <c r="V575" s="324"/>
      <c r="W575" s="324"/>
    </row>
    <row r="576">
      <c r="A576" s="323"/>
      <c r="B576" s="324"/>
      <c r="C576" s="324"/>
      <c r="D576" s="324"/>
      <c r="E576" s="324"/>
      <c r="F576" s="324"/>
      <c r="G576" s="324"/>
      <c r="H576" s="324"/>
      <c r="I576" s="324"/>
      <c r="J576" s="324"/>
      <c r="K576" s="324"/>
      <c r="L576" s="324"/>
      <c r="M576" s="324"/>
      <c r="N576" s="324"/>
      <c r="O576" s="324"/>
      <c r="P576" s="324"/>
      <c r="Q576" s="324"/>
      <c r="R576" s="324"/>
      <c r="S576" s="324"/>
      <c r="T576" s="324"/>
      <c r="U576" s="324"/>
      <c r="V576" s="324"/>
      <c r="W576" s="324"/>
    </row>
    <row r="577">
      <c r="A577" s="323"/>
      <c r="B577" s="324"/>
      <c r="C577" s="324"/>
      <c r="D577" s="324"/>
      <c r="E577" s="324"/>
      <c r="F577" s="324"/>
      <c r="G577" s="324"/>
      <c r="H577" s="324"/>
      <c r="I577" s="324"/>
      <c r="J577" s="324"/>
      <c r="K577" s="324"/>
      <c r="L577" s="324"/>
      <c r="M577" s="324"/>
      <c r="N577" s="324"/>
      <c r="O577" s="324"/>
      <c r="P577" s="324"/>
      <c r="Q577" s="324"/>
      <c r="R577" s="324"/>
      <c r="S577" s="324"/>
      <c r="T577" s="324"/>
      <c r="U577" s="324"/>
      <c r="V577" s="324"/>
      <c r="W577" s="324"/>
    </row>
    <row r="578">
      <c r="A578" s="323"/>
      <c r="B578" s="324"/>
      <c r="C578" s="324"/>
      <c r="D578" s="324"/>
      <c r="E578" s="324"/>
      <c r="F578" s="324"/>
      <c r="G578" s="324"/>
      <c r="H578" s="324"/>
      <c r="I578" s="324"/>
      <c r="J578" s="324"/>
      <c r="K578" s="324"/>
      <c r="L578" s="324"/>
      <c r="M578" s="324"/>
      <c r="N578" s="324"/>
      <c r="O578" s="324"/>
      <c r="P578" s="324"/>
      <c r="Q578" s="324"/>
      <c r="R578" s="324"/>
      <c r="S578" s="324"/>
      <c r="T578" s="324"/>
      <c r="U578" s="324"/>
      <c r="V578" s="324"/>
      <c r="W578" s="324"/>
    </row>
    <row r="579">
      <c r="A579" s="323"/>
      <c r="B579" s="324"/>
      <c r="C579" s="324"/>
      <c r="D579" s="324"/>
      <c r="E579" s="324"/>
      <c r="F579" s="324"/>
      <c r="G579" s="324"/>
      <c r="H579" s="324"/>
      <c r="I579" s="324"/>
      <c r="J579" s="324"/>
      <c r="K579" s="324"/>
      <c r="L579" s="324"/>
      <c r="M579" s="324"/>
      <c r="N579" s="324"/>
      <c r="O579" s="324"/>
      <c r="P579" s="324"/>
      <c r="Q579" s="324"/>
      <c r="R579" s="324"/>
      <c r="S579" s="324"/>
      <c r="T579" s="324"/>
      <c r="U579" s="324"/>
      <c r="V579" s="324"/>
      <c r="W579" s="324"/>
    </row>
    <row r="580">
      <c r="A580" s="323"/>
      <c r="B580" s="324"/>
      <c r="C580" s="324"/>
      <c r="D580" s="324"/>
      <c r="E580" s="324"/>
      <c r="F580" s="324"/>
      <c r="G580" s="324"/>
      <c r="H580" s="324"/>
      <c r="I580" s="324"/>
      <c r="J580" s="324"/>
      <c r="K580" s="324"/>
      <c r="L580" s="324"/>
      <c r="M580" s="324"/>
      <c r="N580" s="324"/>
      <c r="O580" s="324"/>
      <c r="P580" s="324"/>
      <c r="Q580" s="324"/>
      <c r="R580" s="324"/>
      <c r="S580" s="324"/>
      <c r="T580" s="324"/>
      <c r="U580" s="324"/>
      <c r="V580" s="324"/>
      <c r="W580" s="324"/>
    </row>
    <row r="581">
      <c r="A581" s="323"/>
      <c r="B581" s="324"/>
      <c r="C581" s="324"/>
      <c r="D581" s="324"/>
      <c r="E581" s="324"/>
      <c r="F581" s="324"/>
      <c r="G581" s="324"/>
      <c r="H581" s="324"/>
      <c r="I581" s="324"/>
      <c r="J581" s="324"/>
      <c r="K581" s="324"/>
      <c r="L581" s="324"/>
      <c r="M581" s="324"/>
      <c r="N581" s="324"/>
      <c r="O581" s="324"/>
      <c r="P581" s="324"/>
      <c r="Q581" s="324"/>
      <c r="R581" s="324"/>
      <c r="S581" s="324"/>
      <c r="T581" s="324"/>
      <c r="U581" s="324"/>
      <c r="V581" s="324"/>
      <c r="W581" s="324"/>
    </row>
    <row r="582">
      <c r="A582" s="323"/>
      <c r="B582" s="324"/>
      <c r="C582" s="324"/>
      <c r="D582" s="324"/>
      <c r="E582" s="324"/>
      <c r="F582" s="324"/>
      <c r="G582" s="324"/>
      <c r="H582" s="324"/>
      <c r="I582" s="324"/>
      <c r="J582" s="324"/>
      <c r="K582" s="324"/>
      <c r="L582" s="324"/>
      <c r="M582" s="324"/>
      <c r="N582" s="324"/>
      <c r="O582" s="324"/>
      <c r="P582" s="324"/>
      <c r="Q582" s="324"/>
      <c r="R582" s="324"/>
      <c r="S582" s="324"/>
      <c r="T582" s="324"/>
      <c r="U582" s="324"/>
      <c r="V582" s="324"/>
      <c r="W582" s="324"/>
    </row>
    <row r="583">
      <c r="A583" s="323"/>
      <c r="B583" s="324"/>
      <c r="C583" s="324"/>
      <c r="D583" s="324"/>
      <c r="E583" s="324"/>
      <c r="F583" s="324"/>
      <c r="G583" s="324"/>
      <c r="H583" s="324"/>
      <c r="I583" s="324"/>
      <c r="J583" s="324"/>
      <c r="K583" s="324"/>
      <c r="L583" s="324"/>
      <c r="M583" s="324"/>
      <c r="N583" s="324"/>
      <c r="O583" s="324"/>
      <c r="P583" s="324"/>
      <c r="Q583" s="324"/>
      <c r="R583" s="324"/>
      <c r="S583" s="324"/>
      <c r="T583" s="324"/>
      <c r="U583" s="324"/>
      <c r="V583" s="324"/>
      <c r="W583" s="324"/>
    </row>
    <row r="584">
      <c r="A584" s="323"/>
      <c r="B584" s="324"/>
      <c r="C584" s="324"/>
      <c r="D584" s="324"/>
      <c r="E584" s="324"/>
      <c r="F584" s="324"/>
      <c r="G584" s="324"/>
      <c r="H584" s="324"/>
      <c r="I584" s="324"/>
      <c r="J584" s="324"/>
      <c r="K584" s="324"/>
      <c r="L584" s="324"/>
      <c r="M584" s="324"/>
      <c r="N584" s="324"/>
      <c r="O584" s="324"/>
      <c r="P584" s="324"/>
      <c r="Q584" s="324"/>
      <c r="R584" s="324"/>
      <c r="S584" s="324"/>
      <c r="T584" s="324"/>
      <c r="U584" s="324"/>
      <c r="V584" s="324"/>
      <c r="W584" s="324"/>
    </row>
    <row r="585">
      <c r="A585" s="323"/>
      <c r="B585" s="324"/>
      <c r="C585" s="324"/>
      <c r="D585" s="324"/>
      <c r="E585" s="324"/>
      <c r="F585" s="324"/>
      <c r="G585" s="324"/>
      <c r="H585" s="324"/>
      <c r="I585" s="324"/>
      <c r="J585" s="324"/>
      <c r="K585" s="324"/>
      <c r="L585" s="324"/>
      <c r="M585" s="324"/>
      <c r="N585" s="324"/>
      <c r="O585" s="324"/>
      <c r="P585" s="324"/>
      <c r="Q585" s="324"/>
      <c r="R585" s="324"/>
      <c r="S585" s="324"/>
      <c r="T585" s="324"/>
      <c r="U585" s="324"/>
      <c r="V585" s="324"/>
      <c r="W585" s="324"/>
    </row>
    <row r="586">
      <c r="A586" s="323"/>
      <c r="B586" s="324"/>
      <c r="C586" s="324"/>
      <c r="D586" s="324"/>
      <c r="E586" s="324"/>
      <c r="F586" s="324"/>
      <c r="G586" s="324"/>
      <c r="H586" s="324"/>
      <c r="I586" s="324"/>
      <c r="J586" s="324"/>
      <c r="K586" s="324"/>
      <c r="L586" s="324"/>
      <c r="M586" s="324"/>
      <c r="N586" s="324"/>
      <c r="O586" s="324"/>
      <c r="P586" s="324"/>
      <c r="Q586" s="324"/>
      <c r="R586" s="324"/>
      <c r="S586" s="324"/>
      <c r="T586" s="324"/>
      <c r="U586" s="324"/>
      <c r="V586" s="324"/>
      <c r="W586" s="324"/>
    </row>
    <row r="587">
      <c r="A587" s="323"/>
      <c r="B587" s="324"/>
      <c r="C587" s="324"/>
      <c r="D587" s="324"/>
      <c r="E587" s="324"/>
      <c r="F587" s="324"/>
      <c r="G587" s="324"/>
      <c r="H587" s="324"/>
      <c r="I587" s="324"/>
      <c r="J587" s="324"/>
      <c r="K587" s="324"/>
      <c r="L587" s="324"/>
      <c r="M587" s="324"/>
      <c r="N587" s="324"/>
      <c r="O587" s="324"/>
      <c r="P587" s="324"/>
      <c r="Q587" s="324"/>
      <c r="R587" s="324"/>
      <c r="S587" s="324"/>
      <c r="T587" s="324"/>
      <c r="U587" s="324"/>
      <c r="V587" s="324"/>
      <c r="W587" s="324"/>
    </row>
    <row r="588">
      <c r="A588" s="323"/>
      <c r="B588" s="324"/>
      <c r="C588" s="324"/>
      <c r="D588" s="324"/>
      <c r="E588" s="324"/>
      <c r="F588" s="324"/>
      <c r="G588" s="324"/>
      <c r="H588" s="324"/>
      <c r="I588" s="324"/>
      <c r="J588" s="324"/>
      <c r="K588" s="324"/>
      <c r="L588" s="324"/>
      <c r="M588" s="324"/>
      <c r="N588" s="324"/>
      <c r="O588" s="324"/>
      <c r="P588" s="324"/>
      <c r="Q588" s="324"/>
      <c r="R588" s="324"/>
      <c r="S588" s="324"/>
      <c r="T588" s="324"/>
      <c r="U588" s="324"/>
      <c r="V588" s="324"/>
      <c r="W588" s="324"/>
    </row>
    <row r="589">
      <c r="A589" s="323"/>
      <c r="B589" s="324"/>
      <c r="C589" s="324"/>
      <c r="D589" s="324"/>
      <c r="E589" s="324"/>
      <c r="F589" s="324"/>
      <c r="G589" s="324"/>
      <c r="H589" s="324"/>
      <c r="I589" s="324"/>
      <c r="J589" s="324"/>
      <c r="K589" s="324"/>
      <c r="L589" s="324"/>
      <c r="M589" s="324"/>
      <c r="N589" s="324"/>
      <c r="O589" s="324"/>
      <c r="P589" s="324"/>
      <c r="Q589" s="324"/>
      <c r="R589" s="324"/>
      <c r="S589" s="324"/>
      <c r="T589" s="324"/>
      <c r="U589" s="324"/>
      <c r="V589" s="324"/>
      <c r="W589" s="324"/>
    </row>
    <row r="590">
      <c r="A590" s="323"/>
      <c r="B590" s="324"/>
      <c r="C590" s="324"/>
      <c r="D590" s="324"/>
      <c r="E590" s="324"/>
      <c r="F590" s="324"/>
      <c r="G590" s="324"/>
      <c r="H590" s="324"/>
      <c r="I590" s="324"/>
      <c r="J590" s="324"/>
      <c r="K590" s="324"/>
      <c r="L590" s="324"/>
      <c r="M590" s="324"/>
      <c r="N590" s="324"/>
      <c r="O590" s="324"/>
      <c r="P590" s="324"/>
      <c r="Q590" s="324"/>
      <c r="R590" s="324"/>
      <c r="S590" s="324"/>
      <c r="T590" s="324"/>
      <c r="U590" s="324"/>
      <c r="V590" s="324"/>
      <c r="W590" s="324"/>
    </row>
    <row r="591">
      <c r="A591" s="323"/>
      <c r="B591" s="324"/>
      <c r="C591" s="324"/>
      <c r="D591" s="324"/>
      <c r="E591" s="324"/>
      <c r="F591" s="324"/>
      <c r="G591" s="324"/>
      <c r="H591" s="324"/>
      <c r="I591" s="324"/>
      <c r="J591" s="324"/>
      <c r="K591" s="324"/>
      <c r="L591" s="324"/>
      <c r="M591" s="324"/>
      <c r="N591" s="324"/>
      <c r="O591" s="324"/>
      <c r="P591" s="324"/>
      <c r="Q591" s="324"/>
      <c r="R591" s="324"/>
      <c r="S591" s="324"/>
      <c r="T591" s="324"/>
      <c r="U591" s="324"/>
      <c r="V591" s="324"/>
      <c r="W591" s="324"/>
    </row>
    <row r="592">
      <c r="A592" s="323"/>
      <c r="B592" s="324"/>
      <c r="C592" s="324"/>
      <c r="D592" s="324"/>
      <c r="E592" s="324"/>
      <c r="F592" s="324"/>
      <c r="G592" s="324"/>
      <c r="H592" s="324"/>
      <c r="I592" s="324"/>
      <c r="J592" s="324"/>
      <c r="K592" s="324"/>
      <c r="L592" s="324"/>
      <c r="M592" s="324"/>
      <c r="N592" s="324"/>
      <c r="O592" s="324"/>
      <c r="P592" s="324"/>
      <c r="Q592" s="324"/>
      <c r="R592" s="324"/>
      <c r="S592" s="324"/>
      <c r="T592" s="324"/>
      <c r="U592" s="324"/>
      <c r="V592" s="324"/>
      <c r="W592" s="324"/>
    </row>
    <row r="593">
      <c r="A593" s="323"/>
      <c r="B593" s="324"/>
      <c r="C593" s="324"/>
      <c r="D593" s="324"/>
      <c r="E593" s="324"/>
      <c r="F593" s="324"/>
      <c r="G593" s="324"/>
      <c r="H593" s="324"/>
      <c r="I593" s="324"/>
      <c r="J593" s="324"/>
      <c r="K593" s="324"/>
      <c r="L593" s="324"/>
      <c r="M593" s="324"/>
      <c r="N593" s="324"/>
      <c r="O593" s="324"/>
      <c r="P593" s="324"/>
      <c r="Q593" s="324"/>
      <c r="R593" s="324"/>
      <c r="S593" s="324"/>
      <c r="T593" s="324"/>
      <c r="U593" s="324"/>
      <c r="V593" s="324"/>
      <c r="W593" s="324"/>
    </row>
    <row r="594">
      <c r="A594" s="323"/>
      <c r="B594" s="324"/>
      <c r="C594" s="324"/>
      <c r="D594" s="324"/>
      <c r="E594" s="324"/>
      <c r="F594" s="324"/>
      <c r="G594" s="324"/>
      <c r="H594" s="324"/>
      <c r="I594" s="324"/>
      <c r="J594" s="324"/>
      <c r="K594" s="324"/>
      <c r="L594" s="324"/>
      <c r="M594" s="324"/>
      <c r="N594" s="324"/>
      <c r="O594" s="324"/>
      <c r="P594" s="324"/>
      <c r="Q594" s="324"/>
      <c r="R594" s="324"/>
      <c r="S594" s="324"/>
      <c r="T594" s="324"/>
      <c r="U594" s="324"/>
      <c r="V594" s="324"/>
      <c r="W594" s="324"/>
    </row>
    <row r="595">
      <c r="A595" s="323"/>
      <c r="B595" s="324"/>
      <c r="C595" s="324"/>
      <c r="D595" s="324"/>
      <c r="E595" s="324"/>
      <c r="F595" s="324"/>
      <c r="G595" s="324"/>
      <c r="H595" s="324"/>
      <c r="I595" s="324"/>
      <c r="J595" s="324"/>
      <c r="K595" s="324"/>
      <c r="L595" s="324"/>
      <c r="M595" s="324"/>
      <c r="N595" s="324"/>
      <c r="O595" s="324"/>
      <c r="P595" s="324"/>
      <c r="Q595" s="324"/>
      <c r="R595" s="324"/>
      <c r="S595" s="324"/>
      <c r="T595" s="324"/>
      <c r="U595" s="324"/>
      <c r="V595" s="324"/>
      <c r="W595" s="324"/>
    </row>
    <row r="596">
      <c r="A596" s="323"/>
      <c r="B596" s="324"/>
      <c r="C596" s="324"/>
      <c r="D596" s="324"/>
      <c r="E596" s="324"/>
      <c r="F596" s="324"/>
      <c r="G596" s="324"/>
      <c r="H596" s="324"/>
      <c r="I596" s="324"/>
      <c r="J596" s="324"/>
      <c r="K596" s="324"/>
      <c r="L596" s="324"/>
      <c r="M596" s="324"/>
      <c r="N596" s="324"/>
      <c r="O596" s="324"/>
      <c r="P596" s="324"/>
      <c r="Q596" s="324"/>
      <c r="R596" s="324"/>
      <c r="S596" s="324"/>
      <c r="T596" s="324"/>
      <c r="U596" s="324"/>
      <c r="V596" s="324"/>
      <c r="W596" s="324"/>
    </row>
    <row r="597">
      <c r="A597" s="323"/>
      <c r="B597" s="324"/>
      <c r="C597" s="324"/>
      <c r="D597" s="324"/>
      <c r="E597" s="324"/>
      <c r="F597" s="324"/>
      <c r="G597" s="324"/>
      <c r="H597" s="324"/>
      <c r="I597" s="324"/>
      <c r="J597" s="324"/>
      <c r="K597" s="324"/>
      <c r="L597" s="324"/>
      <c r="M597" s="324"/>
      <c r="N597" s="324"/>
      <c r="O597" s="324"/>
      <c r="P597" s="324"/>
      <c r="Q597" s="324"/>
      <c r="R597" s="324"/>
      <c r="S597" s="324"/>
      <c r="T597" s="324"/>
      <c r="U597" s="324"/>
      <c r="V597" s="324"/>
      <c r="W597" s="324"/>
    </row>
    <row r="598">
      <c r="A598" s="323"/>
      <c r="B598" s="324"/>
      <c r="C598" s="324"/>
      <c r="D598" s="324"/>
      <c r="E598" s="324"/>
      <c r="F598" s="324"/>
      <c r="G598" s="324"/>
      <c r="H598" s="324"/>
      <c r="I598" s="324"/>
      <c r="J598" s="324"/>
      <c r="K598" s="324"/>
      <c r="L598" s="324"/>
      <c r="M598" s="324"/>
      <c r="N598" s="324"/>
      <c r="O598" s="324"/>
      <c r="P598" s="324"/>
      <c r="Q598" s="324"/>
      <c r="R598" s="324"/>
      <c r="S598" s="324"/>
      <c r="T598" s="324"/>
      <c r="U598" s="324"/>
      <c r="V598" s="324"/>
      <c r="W598" s="324"/>
    </row>
    <row r="599">
      <c r="A599" s="323"/>
      <c r="B599" s="324"/>
      <c r="C599" s="324"/>
      <c r="D599" s="324"/>
      <c r="E599" s="324"/>
      <c r="F599" s="324"/>
      <c r="G599" s="324"/>
      <c r="H599" s="324"/>
      <c r="I599" s="324"/>
      <c r="J599" s="324"/>
      <c r="K599" s="324"/>
      <c r="L599" s="324"/>
      <c r="M599" s="324"/>
      <c r="N599" s="324"/>
      <c r="O599" s="324"/>
      <c r="P599" s="324"/>
      <c r="Q599" s="324"/>
      <c r="R599" s="324"/>
      <c r="S599" s="324"/>
      <c r="T599" s="324"/>
      <c r="U599" s="324"/>
      <c r="V599" s="324"/>
      <c r="W599" s="324"/>
    </row>
    <row r="600">
      <c r="A600" s="323"/>
      <c r="B600" s="324"/>
      <c r="C600" s="324"/>
      <c r="D600" s="324"/>
      <c r="E600" s="324"/>
      <c r="F600" s="324"/>
      <c r="G600" s="324"/>
      <c r="H600" s="324"/>
      <c r="I600" s="324"/>
      <c r="J600" s="324"/>
      <c r="K600" s="324"/>
      <c r="L600" s="324"/>
      <c r="M600" s="324"/>
      <c r="N600" s="324"/>
      <c r="O600" s="324"/>
      <c r="P600" s="324"/>
      <c r="Q600" s="324"/>
      <c r="R600" s="324"/>
      <c r="S600" s="324"/>
      <c r="T600" s="324"/>
      <c r="U600" s="324"/>
      <c r="V600" s="324"/>
      <c r="W600" s="324"/>
    </row>
    <row r="601">
      <c r="A601" s="323"/>
      <c r="B601" s="324"/>
      <c r="C601" s="324"/>
      <c r="D601" s="324"/>
      <c r="E601" s="324"/>
      <c r="F601" s="324"/>
      <c r="G601" s="324"/>
      <c r="H601" s="324"/>
      <c r="I601" s="324"/>
      <c r="J601" s="324"/>
      <c r="K601" s="324"/>
      <c r="L601" s="324"/>
      <c r="M601" s="324"/>
      <c r="N601" s="324"/>
      <c r="O601" s="324"/>
      <c r="P601" s="324"/>
      <c r="Q601" s="324"/>
      <c r="R601" s="324"/>
      <c r="S601" s="324"/>
      <c r="T601" s="324"/>
      <c r="U601" s="324"/>
      <c r="V601" s="324"/>
      <c r="W601" s="324"/>
    </row>
    <row r="602">
      <c r="A602" s="323"/>
      <c r="B602" s="324"/>
      <c r="C602" s="324"/>
      <c r="D602" s="324"/>
      <c r="E602" s="324"/>
      <c r="F602" s="324"/>
      <c r="G602" s="324"/>
      <c r="H602" s="324"/>
      <c r="I602" s="324"/>
      <c r="J602" s="324"/>
      <c r="K602" s="324"/>
      <c r="L602" s="324"/>
      <c r="M602" s="324"/>
      <c r="N602" s="324"/>
      <c r="O602" s="324"/>
      <c r="P602" s="324"/>
      <c r="Q602" s="324"/>
      <c r="R602" s="324"/>
      <c r="S602" s="324"/>
      <c r="T602" s="324"/>
      <c r="U602" s="324"/>
      <c r="V602" s="324"/>
      <c r="W602" s="324"/>
    </row>
    <row r="603">
      <c r="A603" s="323"/>
      <c r="B603" s="324"/>
      <c r="C603" s="324"/>
      <c r="D603" s="324"/>
      <c r="E603" s="324"/>
      <c r="F603" s="324"/>
      <c r="G603" s="324"/>
      <c r="H603" s="324"/>
      <c r="I603" s="324"/>
      <c r="J603" s="324"/>
      <c r="K603" s="324"/>
      <c r="L603" s="324"/>
      <c r="M603" s="324"/>
      <c r="N603" s="324"/>
      <c r="O603" s="324"/>
      <c r="P603" s="324"/>
      <c r="Q603" s="324"/>
      <c r="R603" s="324"/>
      <c r="S603" s="324"/>
      <c r="T603" s="324"/>
      <c r="U603" s="324"/>
      <c r="V603" s="324"/>
      <c r="W603" s="324"/>
    </row>
    <row r="604">
      <c r="A604" s="323"/>
      <c r="B604" s="324"/>
      <c r="C604" s="324"/>
      <c r="D604" s="324"/>
      <c r="E604" s="324"/>
      <c r="F604" s="324"/>
      <c r="G604" s="324"/>
      <c r="H604" s="324"/>
      <c r="I604" s="324"/>
      <c r="J604" s="324"/>
      <c r="K604" s="324"/>
      <c r="L604" s="324"/>
      <c r="M604" s="324"/>
      <c r="N604" s="324"/>
      <c r="O604" s="324"/>
      <c r="P604" s="324"/>
      <c r="Q604" s="324"/>
      <c r="R604" s="324"/>
      <c r="S604" s="324"/>
      <c r="T604" s="324"/>
      <c r="U604" s="324"/>
      <c r="V604" s="324"/>
      <c r="W604" s="324"/>
    </row>
    <row r="605">
      <c r="A605" s="323"/>
      <c r="B605" s="324"/>
      <c r="C605" s="324"/>
      <c r="D605" s="324"/>
      <c r="E605" s="324"/>
      <c r="F605" s="324"/>
      <c r="G605" s="324"/>
      <c r="H605" s="324"/>
      <c r="I605" s="324"/>
      <c r="J605" s="324"/>
      <c r="K605" s="324"/>
      <c r="L605" s="324"/>
      <c r="M605" s="324"/>
      <c r="N605" s="324"/>
      <c r="O605" s="324"/>
      <c r="P605" s="324"/>
      <c r="Q605" s="324"/>
      <c r="R605" s="324"/>
      <c r="S605" s="324"/>
      <c r="T605" s="324"/>
      <c r="U605" s="324"/>
      <c r="V605" s="324"/>
      <c r="W605" s="324"/>
    </row>
    <row r="606">
      <c r="A606" s="323"/>
      <c r="B606" s="324"/>
      <c r="C606" s="324"/>
      <c r="D606" s="324"/>
      <c r="E606" s="324"/>
      <c r="F606" s="324"/>
      <c r="G606" s="324"/>
      <c r="H606" s="324"/>
      <c r="I606" s="324"/>
      <c r="J606" s="324"/>
      <c r="K606" s="324"/>
      <c r="L606" s="324"/>
      <c r="M606" s="324"/>
      <c r="N606" s="324"/>
      <c r="O606" s="324"/>
      <c r="P606" s="324"/>
      <c r="Q606" s="324"/>
      <c r="R606" s="324"/>
      <c r="S606" s="324"/>
      <c r="T606" s="324"/>
      <c r="U606" s="324"/>
      <c r="V606" s="324"/>
      <c r="W606" s="324"/>
    </row>
    <row r="607">
      <c r="A607" s="323"/>
      <c r="B607" s="324"/>
      <c r="C607" s="324"/>
      <c r="D607" s="324"/>
      <c r="E607" s="324"/>
      <c r="F607" s="324"/>
      <c r="G607" s="324"/>
      <c r="H607" s="324"/>
      <c r="I607" s="324"/>
      <c r="J607" s="324"/>
      <c r="K607" s="324"/>
      <c r="L607" s="324"/>
      <c r="M607" s="324"/>
      <c r="N607" s="324"/>
      <c r="O607" s="324"/>
      <c r="P607" s="324"/>
      <c r="Q607" s="324"/>
      <c r="R607" s="324"/>
      <c r="S607" s="324"/>
      <c r="T607" s="324"/>
      <c r="U607" s="324"/>
      <c r="V607" s="324"/>
      <c r="W607" s="324"/>
    </row>
    <row r="608">
      <c r="A608" s="323"/>
      <c r="B608" s="324"/>
      <c r="C608" s="324"/>
      <c r="D608" s="324"/>
      <c r="E608" s="324"/>
      <c r="F608" s="324"/>
      <c r="G608" s="324"/>
      <c r="H608" s="324"/>
      <c r="I608" s="324"/>
      <c r="J608" s="324"/>
      <c r="K608" s="324"/>
      <c r="L608" s="324"/>
      <c r="M608" s="324"/>
      <c r="N608" s="324"/>
      <c r="O608" s="324"/>
      <c r="P608" s="324"/>
      <c r="Q608" s="324"/>
      <c r="R608" s="324"/>
      <c r="S608" s="324"/>
      <c r="T608" s="324"/>
      <c r="U608" s="324"/>
      <c r="V608" s="324"/>
      <c r="W608" s="324"/>
    </row>
    <row r="609">
      <c r="A609" s="323"/>
      <c r="B609" s="324"/>
      <c r="C609" s="324"/>
      <c r="D609" s="324"/>
      <c r="E609" s="324"/>
      <c r="F609" s="324"/>
      <c r="G609" s="324"/>
      <c r="H609" s="324"/>
      <c r="I609" s="324"/>
      <c r="J609" s="324"/>
      <c r="K609" s="324"/>
      <c r="L609" s="324"/>
      <c r="M609" s="324"/>
      <c r="N609" s="324"/>
      <c r="O609" s="324"/>
      <c r="P609" s="324"/>
      <c r="Q609" s="324"/>
      <c r="R609" s="324"/>
      <c r="S609" s="324"/>
      <c r="T609" s="324"/>
      <c r="U609" s="324"/>
      <c r="V609" s="324"/>
      <c r="W609" s="324"/>
    </row>
    <row r="610">
      <c r="A610" s="323"/>
      <c r="B610" s="324"/>
      <c r="C610" s="324"/>
      <c r="D610" s="324"/>
      <c r="E610" s="324"/>
      <c r="F610" s="324"/>
      <c r="G610" s="324"/>
      <c r="H610" s="324"/>
      <c r="I610" s="324"/>
      <c r="J610" s="324"/>
      <c r="K610" s="324"/>
      <c r="L610" s="324"/>
      <c r="M610" s="324"/>
      <c r="N610" s="324"/>
      <c r="O610" s="324"/>
      <c r="P610" s="324"/>
      <c r="Q610" s="324"/>
      <c r="R610" s="324"/>
      <c r="S610" s="324"/>
      <c r="T610" s="324"/>
      <c r="U610" s="324"/>
      <c r="V610" s="324"/>
      <c r="W610" s="324"/>
    </row>
    <row r="611">
      <c r="A611" s="323"/>
      <c r="B611" s="324"/>
      <c r="C611" s="324"/>
      <c r="D611" s="324"/>
      <c r="E611" s="324"/>
      <c r="F611" s="324"/>
      <c r="G611" s="324"/>
      <c r="H611" s="324"/>
      <c r="I611" s="324"/>
      <c r="J611" s="324"/>
      <c r="K611" s="324"/>
      <c r="L611" s="324"/>
      <c r="M611" s="324"/>
      <c r="N611" s="324"/>
      <c r="O611" s="324"/>
      <c r="P611" s="324"/>
      <c r="Q611" s="324"/>
      <c r="R611" s="324"/>
      <c r="S611" s="324"/>
      <c r="T611" s="324"/>
      <c r="U611" s="324"/>
      <c r="V611" s="324"/>
      <c r="W611" s="324"/>
    </row>
    <row r="612">
      <c r="A612" s="323"/>
      <c r="B612" s="324"/>
      <c r="C612" s="324"/>
      <c r="D612" s="324"/>
      <c r="E612" s="324"/>
      <c r="F612" s="324"/>
      <c r="G612" s="324"/>
      <c r="H612" s="324"/>
      <c r="I612" s="324"/>
      <c r="J612" s="324"/>
      <c r="K612" s="324"/>
      <c r="L612" s="324"/>
      <c r="M612" s="324"/>
      <c r="N612" s="324"/>
      <c r="O612" s="324"/>
      <c r="P612" s="324"/>
      <c r="Q612" s="324"/>
      <c r="R612" s="324"/>
      <c r="S612" s="324"/>
      <c r="T612" s="324"/>
      <c r="U612" s="324"/>
      <c r="V612" s="324"/>
      <c r="W612" s="324"/>
    </row>
    <row r="613">
      <c r="A613" s="323"/>
      <c r="B613" s="324"/>
      <c r="C613" s="324"/>
      <c r="D613" s="324"/>
      <c r="E613" s="324"/>
      <c r="F613" s="324"/>
      <c r="G613" s="324"/>
      <c r="H613" s="324"/>
      <c r="I613" s="324"/>
      <c r="J613" s="324"/>
      <c r="K613" s="324"/>
      <c r="L613" s="324"/>
      <c r="M613" s="324"/>
      <c r="N613" s="324"/>
      <c r="O613" s="324"/>
      <c r="P613" s="324"/>
      <c r="Q613" s="324"/>
      <c r="R613" s="324"/>
      <c r="S613" s="324"/>
      <c r="T613" s="324"/>
      <c r="U613" s="324"/>
      <c r="V613" s="324"/>
      <c r="W613" s="324"/>
    </row>
    <row r="614">
      <c r="A614" s="323"/>
      <c r="B614" s="324"/>
      <c r="C614" s="324"/>
      <c r="D614" s="324"/>
      <c r="E614" s="324"/>
      <c r="F614" s="324"/>
      <c r="G614" s="324"/>
      <c r="H614" s="324"/>
      <c r="I614" s="324"/>
      <c r="J614" s="324"/>
      <c r="K614" s="324"/>
      <c r="L614" s="324"/>
      <c r="M614" s="324"/>
      <c r="N614" s="324"/>
      <c r="O614" s="324"/>
      <c r="P614" s="324"/>
      <c r="Q614" s="324"/>
      <c r="R614" s="324"/>
      <c r="S614" s="324"/>
      <c r="T614" s="324"/>
      <c r="U614" s="324"/>
      <c r="V614" s="324"/>
      <c r="W614" s="324"/>
    </row>
    <row r="615">
      <c r="A615" s="323"/>
      <c r="B615" s="324"/>
      <c r="C615" s="324"/>
      <c r="D615" s="324"/>
      <c r="E615" s="324"/>
      <c r="F615" s="324"/>
      <c r="G615" s="324"/>
      <c r="H615" s="324"/>
      <c r="I615" s="324"/>
      <c r="J615" s="324"/>
      <c r="K615" s="324"/>
      <c r="L615" s="324"/>
      <c r="M615" s="324"/>
      <c r="N615" s="324"/>
      <c r="O615" s="324"/>
      <c r="P615" s="324"/>
      <c r="Q615" s="324"/>
      <c r="R615" s="324"/>
      <c r="S615" s="324"/>
      <c r="T615" s="324"/>
      <c r="U615" s="324"/>
      <c r="V615" s="324"/>
      <c r="W615" s="324"/>
    </row>
    <row r="616">
      <c r="A616" s="323"/>
      <c r="B616" s="324"/>
      <c r="C616" s="324"/>
      <c r="D616" s="324"/>
      <c r="E616" s="324"/>
      <c r="F616" s="324"/>
      <c r="G616" s="324"/>
      <c r="H616" s="324"/>
      <c r="I616" s="324"/>
      <c r="J616" s="324"/>
      <c r="K616" s="324"/>
      <c r="L616" s="324"/>
      <c r="M616" s="324"/>
      <c r="N616" s="324"/>
      <c r="O616" s="324"/>
      <c r="P616" s="324"/>
      <c r="Q616" s="324"/>
      <c r="R616" s="324"/>
      <c r="S616" s="324"/>
      <c r="T616" s="324"/>
      <c r="U616" s="324"/>
      <c r="V616" s="324"/>
      <c r="W616" s="324"/>
    </row>
    <row r="617">
      <c r="A617" s="323"/>
      <c r="B617" s="324"/>
      <c r="C617" s="324"/>
      <c r="D617" s="324"/>
      <c r="E617" s="324"/>
      <c r="F617" s="324"/>
      <c r="G617" s="324"/>
      <c r="H617" s="324"/>
      <c r="I617" s="324"/>
      <c r="J617" s="324"/>
      <c r="K617" s="324"/>
      <c r="L617" s="324"/>
      <c r="M617" s="324"/>
      <c r="N617" s="324"/>
      <c r="O617" s="324"/>
      <c r="P617" s="324"/>
      <c r="Q617" s="324"/>
      <c r="R617" s="324"/>
      <c r="S617" s="324"/>
      <c r="T617" s="324"/>
      <c r="U617" s="324"/>
      <c r="V617" s="324"/>
      <c r="W617" s="324"/>
    </row>
    <row r="618">
      <c r="A618" s="323"/>
      <c r="B618" s="324"/>
      <c r="C618" s="324"/>
      <c r="D618" s="324"/>
      <c r="E618" s="324"/>
      <c r="F618" s="324"/>
      <c r="G618" s="324"/>
      <c r="H618" s="324"/>
      <c r="I618" s="324"/>
      <c r="J618" s="324"/>
      <c r="K618" s="324"/>
      <c r="L618" s="324"/>
      <c r="M618" s="324"/>
      <c r="N618" s="324"/>
      <c r="O618" s="324"/>
      <c r="P618" s="324"/>
      <c r="Q618" s="324"/>
      <c r="R618" s="324"/>
      <c r="S618" s="324"/>
      <c r="T618" s="324"/>
      <c r="U618" s="324"/>
      <c r="V618" s="324"/>
      <c r="W618" s="324"/>
    </row>
    <row r="619">
      <c r="A619" s="323"/>
      <c r="B619" s="324"/>
      <c r="C619" s="324"/>
      <c r="D619" s="324"/>
      <c r="E619" s="324"/>
      <c r="F619" s="324"/>
      <c r="G619" s="324"/>
      <c r="H619" s="324"/>
      <c r="I619" s="324"/>
      <c r="J619" s="324"/>
      <c r="K619" s="324"/>
      <c r="L619" s="324"/>
      <c r="M619" s="324"/>
      <c r="N619" s="324"/>
      <c r="O619" s="324"/>
      <c r="P619" s="324"/>
      <c r="Q619" s="324"/>
      <c r="R619" s="324"/>
      <c r="S619" s="324"/>
      <c r="T619" s="324"/>
      <c r="U619" s="324"/>
      <c r="V619" s="324"/>
      <c r="W619" s="324"/>
    </row>
    <row r="620">
      <c r="A620" s="323"/>
      <c r="B620" s="324"/>
      <c r="C620" s="324"/>
      <c r="D620" s="324"/>
      <c r="E620" s="324"/>
      <c r="F620" s="324"/>
      <c r="G620" s="324"/>
      <c r="H620" s="324"/>
      <c r="I620" s="324"/>
      <c r="J620" s="324"/>
      <c r="K620" s="324"/>
      <c r="L620" s="324"/>
      <c r="M620" s="324"/>
      <c r="N620" s="324"/>
      <c r="O620" s="324"/>
      <c r="P620" s="324"/>
      <c r="Q620" s="324"/>
      <c r="R620" s="324"/>
      <c r="S620" s="324"/>
      <c r="T620" s="324"/>
      <c r="U620" s="324"/>
      <c r="V620" s="324"/>
      <c r="W620" s="324"/>
    </row>
    <row r="621">
      <c r="A621" s="323"/>
      <c r="B621" s="324"/>
      <c r="C621" s="324"/>
      <c r="D621" s="324"/>
      <c r="E621" s="324"/>
      <c r="F621" s="324"/>
      <c r="G621" s="324"/>
      <c r="H621" s="324"/>
      <c r="I621" s="324"/>
      <c r="J621" s="324"/>
      <c r="K621" s="324"/>
      <c r="L621" s="324"/>
      <c r="M621" s="324"/>
      <c r="N621" s="324"/>
      <c r="O621" s="324"/>
      <c r="P621" s="324"/>
      <c r="Q621" s="324"/>
      <c r="R621" s="324"/>
      <c r="S621" s="324"/>
      <c r="T621" s="324"/>
      <c r="U621" s="324"/>
      <c r="V621" s="324"/>
      <c r="W621" s="324"/>
    </row>
    <row r="622">
      <c r="A622" s="323"/>
      <c r="B622" s="324"/>
      <c r="C622" s="324"/>
      <c r="D622" s="324"/>
      <c r="E622" s="324"/>
      <c r="F622" s="324"/>
      <c r="G622" s="324"/>
      <c r="H622" s="324"/>
      <c r="I622" s="324"/>
      <c r="J622" s="324"/>
      <c r="K622" s="324"/>
      <c r="L622" s="324"/>
      <c r="M622" s="324"/>
      <c r="N622" s="324"/>
      <c r="O622" s="324"/>
      <c r="P622" s="324"/>
      <c r="Q622" s="324"/>
      <c r="R622" s="324"/>
      <c r="S622" s="324"/>
      <c r="T622" s="324"/>
      <c r="U622" s="324"/>
      <c r="V622" s="324"/>
      <c r="W622" s="324"/>
    </row>
    <row r="623">
      <c r="A623" s="323"/>
      <c r="B623" s="324"/>
      <c r="C623" s="324"/>
      <c r="D623" s="324"/>
      <c r="E623" s="324"/>
      <c r="F623" s="324"/>
      <c r="G623" s="324"/>
      <c r="H623" s="324"/>
      <c r="I623" s="324"/>
      <c r="J623" s="324"/>
      <c r="K623" s="324"/>
      <c r="L623" s="324"/>
      <c r="M623" s="324"/>
      <c r="N623" s="324"/>
      <c r="O623" s="324"/>
      <c r="P623" s="324"/>
      <c r="Q623" s="324"/>
      <c r="R623" s="324"/>
      <c r="S623" s="324"/>
      <c r="T623" s="324"/>
      <c r="U623" s="324"/>
      <c r="V623" s="324"/>
      <c r="W623" s="324"/>
    </row>
    <row r="624">
      <c r="A624" s="323"/>
      <c r="B624" s="324"/>
      <c r="C624" s="324"/>
      <c r="D624" s="324"/>
      <c r="E624" s="324"/>
      <c r="F624" s="324"/>
      <c r="G624" s="324"/>
      <c r="H624" s="324"/>
      <c r="I624" s="324"/>
      <c r="J624" s="324"/>
      <c r="K624" s="324"/>
      <c r="L624" s="324"/>
      <c r="M624" s="324"/>
      <c r="N624" s="324"/>
      <c r="O624" s="324"/>
      <c r="P624" s="324"/>
      <c r="Q624" s="324"/>
      <c r="R624" s="324"/>
      <c r="S624" s="324"/>
      <c r="T624" s="324"/>
      <c r="U624" s="324"/>
      <c r="V624" s="324"/>
      <c r="W624" s="324"/>
    </row>
    <row r="625">
      <c r="A625" s="323"/>
      <c r="B625" s="324"/>
      <c r="C625" s="324"/>
      <c r="D625" s="324"/>
      <c r="E625" s="324"/>
      <c r="F625" s="324"/>
      <c r="G625" s="324"/>
      <c r="H625" s="324"/>
      <c r="I625" s="324"/>
      <c r="J625" s="324"/>
      <c r="K625" s="324"/>
      <c r="L625" s="324"/>
      <c r="M625" s="324"/>
      <c r="N625" s="324"/>
      <c r="O625" s="324"/>
      <c r="P625" s="324"/>
      <c r="Q625" s="324"/>
      <c r="R625" s="324"/>
      <c r="S625" s="324"/>
      <c r="T625" s="324"/>
      <c r="U625" s="324"/>
      <c r="V625" s="324"/>
      <c r="W625" s="324"/>
    </row>
    <row r="626">
      <c r="A626" s="323"/>
      <c r="B626" s="324"/>
      <c r="C626" s="324"/>
      <c r="D626" s="324"/>
      <c r="E626" s="324"/>
      <c r="F626" s="324"/>
      <c r="G626" s="324"/>
      <c r="H626" s="324"/>
      <c r="I626" s="324"/>
      <c r="J626" s="324"/>
      <c r="K626" s="324"/>
      <c r="L626" s="324"/>
      <c r="M626" s="324"/>
      <c r="N626" s="324"/>
      <c r="O626" s="324"/>
      <c r="P626" s="324"/>
      <c r="Q626" s="324"/>
      <c r="R626" s="324"/>
      <c r="S626" s="324"/>
      <c r="T626" s="324"/>
      <c r="U626" s="324"/>
      <c r="V626" s="324"/>
      <c r="W626" s="324"/>
    </row>
    <row r="627">
      <c r="A627" s="323"/>
      <c r="B627" s="324"/>
      <c r="C627" s="324"/>
      <c r="D627" s="324"/>
      <c r="E627" s="324"/>
      <c r="F627" s="324"/>
      <c r="G627" s="324"/>
      <c r="H627" s="324"/>
      <c r="I627" s="324"/>
      <c r="J627" s="324"/>
      <c r="K627" s="324"/>
      <c r="L627" s="324"/>
      <c r="M627" s="324"/>
      <c r="N627" s="324"/>
      <c r="O627" s="324"/>
      <c r="P627" s="324"/>
      <c r="Q627" s="324"/>
      <c r="R627" s="324"/>
      <c r="S627" s="324"/>
      <c r="T627" s="324"/>
      <c r="U627" s="324"/>
      <c r="V627" s="324"/>
      <c r="W627" s="324"/>
    </row>
    <row r="628">
      <c r="A628" s="323"/>
      <c r="B628" s="324"/>
      <c r="C628" s="324"/>
      <c r="D628" s="324"/>
      <c r="E628" s="324"/>
      <c r="F628" s="324"/>
      <c r="G628" s="324"/>
      <c r="H628" s="324"/>
      <c r="I628" s="324"/>
      <c r="J628" s="324"/>
      <c r="K628" s="324"/>
      <c r="L628" s="324"/>
      <c r="M628" s="324"/>
      <c r="N628" s="324"/>
      <c r="O628" s="324"/>
      <c r="P628" s="324"/>
      <c r="Q628" s="324"/>
      <c r="R628" s="324"/>
      <c r="S628" s="324"/>
      <c r="T628" s="324"/>
      <c r="U628" s="324"/>
      <c r="V628" s="324"/>
      <c r="W628" s="324"/>
    </row>
    <row r="629">
      <c r="A629" s="323"/>
      <c r="B629" s="324"/>
      <c r="C629" s="324"/>
      <c r="D629" s="324"/>
      <c r="E629" s="324"/>
      <c r="F629" s="324"/>
      <c r="G629" s="324"/>
      <c r="H629" s="324"/>
      <c r="I629" s="324"/>
      <c r="J629" s="324"/>
      <c r="K629" s="324"/>
      <c r="L629" s="324"/>
      <c r="M629" s="324"/>
      <c r="N629" s="324"/>
      <c r="O629" s="324"/>
      <c r="P629" s="324"/>
      <c r="Q629" s="324"/>
      <c r="R629" s="324"/>
      <c r="S629" s="324"/>
      <c r="T629" s="324"/>
      <c r="U629" s="324"/>
      <c r="V629" s="324"/>
      <c r="W629" s="324"/>
    </row>
    <row r="630">
      <c r="A630" s="323"/>
      <c r="B630" s="324"/>
      <c r="C630" s="324"/>
      <c r="D630" s="324"/>
      <c r="E630" s="324"/>
      <c r="F630" s="324"/>
      <c r="G630" s="324"/>
      <c r="H630" s="324"/>
      <c r="I630" s="324"/>
      <c r="J630" s="324"/>
      <c r="K630" s="324"/>
      <c r="L630" s="324"/>
      <c r="M630" s="324"/>
      <c r="N630" s="324"/>
      <c r="O630" s="324"/>
      <c r="P630" s="324"/>
      <c r="Q630" s="324"/>
      <c r="R630" s="324"/>
      <c r="S630" s="324"/>
      <c r="T630" s="324"/>
      <c r="U630" s="324"/>
      <c r="V630" s="324"/>
      <c r="W630" s="324"/>
    </row>
    <row r="631">
      <c r="A631" s="323"/>
      <c r="B631" s="324"/>
      <c r="C631" s="324"/>
      <c r="D631" s="324"/>
      <c r="E631" s="324"/>
      <c r="F631" s="324"/>
      <c r="G631" s="324"/>
      <c r="H631" s="324"/>
      <c r="I631" s="324"/>
      <c r="J631" s="324"/>
      <c r="K631" s="324"/>
      <c r="L631" s="324"/>
      <c r="M631" s="324"/>
      <c r="N631" s="324"/>
      <c r="O631" s="324"/>
      <c r="P631" s="324"/>
      <c r="Q631" s="324"/>
      <c r="R631" s="324"/>
      <c r="S631" s="324"/>
      <c r="T631" s="324"/>
      <c r="U631" s="324"/>
      <c r="V631" s="324"/>
      <c r="W631" s="324"/>
    </row>
    <row r="632">
      <c r="A632" s="323"/>
      <c r="B632" s="324"/>
      <c r="C632" s="324"/>
      <c r="D632" s="324"/>
      <c r="E632" s="324"/>
      <c r="F632" s="324"/>
      <c r="G632" s="324"/>
      <c r="H632" s="324"/>
      <c r="I632" s="324"/>
      <c r="J632" s="324"/>
      <c r="K632" s="324"/>
      <c r="L632" s="324"/>
      <c r="M632" s="324"/>
      <c r="N632" s="324"/>
      <c r="O632" s="324"/>
      <c r="P632" s="324"/>
      <c r="Q632" s="324"/>
      <c r="R632" s="324"/>
      <c r="S632" s="324"/>
      <c r="T632" s="324"/>
      <c r="U632" s="324"/>
      <c r="V632" s="324"/>
      <c r="W632" s="324"/>
    </row>
    <row r="633">
      <c r="A633" s="323"/>
      <c r="B633" s="324"/>
      <c r="C633" s="324"/>
      <c r="D633" s="324"/>
      <c r="E633" s="324"/>
      <c r="F633" s="324"/>
      <c r="G633" s="324"/>
      <c r="H633" s="324"/>
      <c r="I633" s="324"/>
      <c r="J633" s="324"/>
      <c r="K633" s="324"/>
      <c r="L633" s="324"/>
      <c r="M633" s="324"/>
      <c r="N633" s="324"/>
      <c r="O633" s="324"/>
      <c r="P633" s="324"/>
      <c r="Q633" s="324"/>
      <c r="R633" s="324"/>
      <c r="S633" s="324"/>
      <c r="T633" s="324"/>
      <c r="U633" s="324"/>
      <c r="V633" s="324"/>
      <c r="W633" s="324"/>
    </row>
    <row r="634">
      <c r="A634" s="323"/>
      <c r="B634" s="324"/>
      <c r="C634" s="324"/>
      <c r="D634" s="324"/>
      <c r="E634" s="324"/>
      <c r="F634" s="324"/>
      <c r="G634" s="324"/>
      <c r="H634" s="324"/>
      <c r="I634" s="324"/>
      <c r="J634" s="324"/>
      <c r="K634" s="324"/>
      <c r="L634" s="324"/>
      <c r="M634" s="324"/>
      <c r="N634" s="324"/>
      <c r="O634" s="324"/>
      <c r="P634" s="324"/>
      <c r="Q634" s="324"/>
      <c r="R634" s="324"/>
      <c r="S634" s="324"/>
      <c r="T634" s="324"/>
      <c r="U634" s="324"/>
      <c r="V634" s="324"/>
      <c r="W634" s="324"/>
    </row>
    <row r="635">
      <c r="A635" s="323"/>
      <c r="B635" s="324"/>
      <c r="C635" s="324"/>
      <c r="D635" s="324"/>
      <c r="E635" s="324"/>
      <c r="F635" s="324"/>
      <c r="G635" s="324"/>
      <c r="H635" s="324"/>
      <c r="I635" s="324"/>
      <c r="J635" s="324"/>
      <c r="K635" s="324"/>
      <c r="L635" s="324"/>
      <c r="M635" s="324"/>
      <c r="N635" s="324"/>
      <c r="O635" s="324"/>
      <c r="P635" s="324"/>
      <c r="Q635" s="324"/>
      <c r="R635" s="324"/>
      <c r="S635" s="324"/>
      <c r="T635" s="324"/>
      <c r="U635" s="324"/>
      <c r="V635" s="324"/>
      <c r="W635" s="324"/>
    </row>
    <row r="636">
      <c r="A636" s="323"/>
      <c r="B636" s="324"/>
      <c r="C636" s="324"/>
      <c r="D636" s="324"/>
      <c r="E636" s="324"/>
      <c r="F636" s="324"/>
      <c r="G636" s="324"/>
      <c r="H636" s="324"/>
      <c r="I636" s="324"/>
      <c r="J636" s="324"/>
      <c r="K636" s="324"/>
      <c r="L636" s="324"/>
      <c r="M636" s="324"/>
      <c r="N636" s="324"/>
      <c r="O636" s="324"/>
      <c r="P636" s="324"/>
      <c r="Q636" s="324"/>
      <c r="R636" s="324"/>
      <c r="S636" s="324"/>
      <c r="T636" s="324"/>
      <c r="U636" s="324"/>
      <c r="V636" s="324"/>
      <c r="W636" s="324"/>
    </row>
    <row r="637">
      <c r="A637" s="323"/>
      <c r="B637" s="324"/>
      <c r="C637" s="324"/>
      <c r="D637" s="324"/>
      <c r="E637" s="324"/>
      <c r="F637" s="324"/>
      <c r="G637" s="324"/>
      <c r="H637" s="324"/>
      <c r="I637" s="324"/>
      <c r="J637" s="324"/>
      <c r="K637" s="324"/>
      <c r="L637" s="324"/>
      <c r="M637" s="324"/>
      <c r="N637" s="324"/>
      <c r="O637" s="324"/>
      <c r="P637" s="324"/>
      <c r="Q637" s="324"/>
      <c r="R637" s="324"/>
      <c r="S637" s="324"/>
      <c r="T637" s="324"/>
      <c r="U637" s="324"/>
      <c r="V637" s="324"/>
      <c r="W637" s="324"/>
    </row>
    <row r="638">
      <c r="A638" s="323"/>
      <c r="B638" s="324"/>
      <c r="C638" s="324"/>
      <c r="D638" s="324"/>
      <c r="E638" s="324"/>
      <c r="F638" s="324"/>
      <c r="G638" s="324"/>
      <c r="H638" s="324"/>
      <c r="I638" s="324"/>
      <c r="J638" s="324"/>
      <c r="K638" s="324"/>
      <c r="L638" s="324"/>
      <c r="M638" s="324"/>
      <c r="N638" s="324"/>
      <c r="O638" s="324"/>
      <c r="P638" s="324"/>
      <c r="Q638" s="324"/>
      <c r="R638" s="324"/>
      <c r="S638" s="324"/>
      <c r="T638" s="324"/>
      <c r="U638" s="324"/>
      <c r="V638" s="324"/>
      <c r="W638" s="324"/>
    </row>
    <row r="639">
      <c r="A639" s="323"/>
      <c r="B639" s="324"/>
      <c r="C639" s="324"/>
      <c r="D639" s="324"/>
      <c r="E639" s="324"/>
      <c r="F639" s="324"/>
      <c r="G639" s="324"/>
      <c r="H639" s="324"/>
      <c r="I639" s="324"/>
      <c r="J639" s="324"/>
      <c r="K639" s="324"/>
      <c r="L639" s="324"/>
      <c r="M639" s="324"/>
      <c r="N639" s="324"/>
      <c r="O639" s="324"/>
      <c r="P639" s="324"/>
      <c r="Q639" s="324"/>
      <c r="R639" s="324"/>
      <c r="S639" s="324"/>
      <c r="T639" s="324"/>
      <c r="U639" s="324"/>
      <c r="V639" s="324"/>
      <c r="W639" s="324"/>
    </row>
    <row r="640">
      <c r="A640" s="323"/>
      <c r="B640" s="324"/>
      <c r="C640" s="324"/>
      <c r="D640" s="324"/>
      <c r="E640" s="324"/>
      <c r="F640" s="324"/>
      <c r="G640" s="324"/>
      <c r="H640" s="324"/>
      <c r="I640" s="324"/>
      <c r="J640" s="324"/>
      <c r="K640" s="324"/>
      <c r="L640" s="324"/>
      <c r="M640" s="324"/>
      <c r="N640" s="324"/>
      <c r="O640" s="324"/>
      <c r="P640" s="324"/>
      <c r="Q640" s="324"/>
      <c r="R640" s="324"/>
      <c r="S640" s="324"/>
      <c r="T640" s="324"/>
      <c r="U640" s="324"/>
      <c r="V640" s="324"/>
      <c r="W640" s="324"/>
    </row>
    <row r="641">
      <c r="A641" s="323"/>
      <c r="B641" s="324"/>
      <c r="C641" s="324"/>
      <c r="D641" s="324"/>
      <c r="E641" s="324"/>
      <c r="F641" s="324"/>
      <c r="G641" s="324"/>
      <c r="H641" s="324"/>
      <c r="I641" s="324"/>
      <c r="J641" s="324"/>
      <c r="K641" s="324"/>
      <c r="L641" s="324"/>
      <c r="M641" s="324"/>
      <c r="N641" s="324"/>
      <c r="O641" s="324"/>
      <c r="P641" s="324"/>
      <c r="Q641" s="324"/>
      <c r="R641" s="324"/>
      <c r="S641" s="324"/>
      <c r="T641" s="324"/>
      <c r="U641" s="324"/>
      <c r="V641" s="324"/>
      <c r="W641" s="324"/>
    </row>
    <row r="642">
      <c r="A642" s="323"/>
      <c r="B642" s="324"/>
      <c r="C642" s="324"/>
      <c r="D642" s="324"/>
      <c r="E642" s="324"/>
      <c r="F642" s="324"/>
      <c r="G642" s="324"/>
      <c r="H642" s="324"/>
      <c r="I642" s="324"/>
      <c r="J642" s="324"/>
      <c r="K642" s="324"/>
      <c r="L642" s="324"/>
      <c r="M642" s="324"/>
      <c r="N642" s="324"/>
      <c r="O642" s="324"/>
      <c r="P642" s="324"/>
      <c r="Q642" s="324"/>
      <c r="R642" s="324"/>
      <c r="S642" s="324"/>
      <c r="T642" s="324"/>
      <c r="U642" s="324"/>
      <c r="V642" s="324"/>
      <c r="W642" s="324"/>
    </row>
    <row r="643">
      <c r="A643" s="323"/>
      <c r="B643" s="324"/>
      <c r="C643" s="324"/>
      <c r="D643" s="324"/>
      <c r="E643" s="324"/>
      <c r="F643" s="324"/>
      <c r="G643" s="324"/>
      <c r="H643" s="324"/>
      <c r="I643" s="324"/>
      <c r="J643" s="324"/>
      <c r="K643" s="324"/>
      <c r="L643" s="324"/>
      <c r="M643" s="324"/>
      <c r="N643" s="324"/>
      <c r="O643" s="324"/>
      <c r="P643" s="324"/>
      <c r="Q643" s="324"/>
      <c r="R643" s="324"/>
      <c r="S643" s="324"/>
      <c r="T643" s="324"/>
      <c r="U643" s="324"/>
      <c r="V643" s="324"/>
      <c r="W643" s="324"/>
    </row>
    <row r="644">
      <c r="A644" s="323"/>
      <c r="B644" s="324"/>
      <c r="C644" s="324"/>
      <c r="D644" s="324"/>
      <c r="E644" s="324"/>
      <c r="F644" s="324"/>
      <c r="G644" s="324"/>
      <c r="H644" s="324"/>
      <c r="I644" s="324"/>
      <c r="J644" s="324"/>
      <c r="K644" s="324"/>
      <c r="L644" s="324"/>
      <c r="M644" s="324"/>
      <c r="N644" s="324"/>
      <c r="O644" s="324"/>
      <c r="P644" s="324"/>
      <c r="Q644" s="324"/>
      <c r="R644" s="324"/>
      <c r="S644" s="324"/>
      <c r="T644" s="324"/>
      <c r="U644" s="324"/>
      <c r="V644" s="324"/>
      <c r="W644" s="324"/>
    </row>
    <row r="645">
      <c r="A645" s="323"/>
      <c r="B645" s="324"/>
      <c r="C645" s="324"/>
      <c r="D645" s="324"/>
      <c r="E645" s="324"/>
      <c r="F645" s="324"/>
      <c r="G645" s="324"/>
      <c r="H645" s="324"/>
      <c r="I645" s="324"/>
      <c r="J645" s="324"/>
      <c r="K645" s="324"/>
      <c r="L645" s="324"/>
      <c r="M645" s="324"/>
      <c r="N645" s="324"/>
      <c r="O645" s="324"/>
      <c r="P645" s="324"/>
      <c r="Q645" s="324"/>
      <c r="R645" s="324"/>
      <c r="S645" s="324"/>
      <c r="T645" s="324"/>
      <c r="U645" s="324"/>
      <c r="V645" s="324"/>
      <c r="W645" s="324"/>
    </row>
    <row r="646">
      <c r="A646" s="323"/>
      <c r="B646" s="324"/>
      <c r="C646" s="324"/>
      <c r="D646" s="324"/>
      <c r="E646" s="324"/>
      <c r="F646" s="324"/>
      <c r="G646" s="324"/>
      <c r="H646" s="324"/>
      <c r="I646" s="324"/>
      <c r="J646" s="324"/>
      <c r="K646" s="324"/>
      <c r="L646" s="324"/>
      <c r="M646" s="324"/>
      <c r="N646" s="324"/>
      <c r="O646" s="324"/>
      <c r="P646" s="324"/>
      <c r="Q646" s="324"/>
      <c r="R646" s="324"/>
      <c r="S646" s="324"/>
      <c r="T646" s="324"/>
      <c r="U646" s="324"/>
      <c r="V646" s="324"/>
      <c r="W646" s="324"/>
    </row>
    <row r="647">
      <c r="A647" s="323"/>
      <c r="B647" s="324"/>
      <c r="C647" s="324"/>
      <c r="D647" s="324"/>
      <c r="E647" s="324"/>
      <c r="F647" s="324"/>
      <c r="G647" s="324"/>
      <c r="H647" s="324"/>
      <c r="I647" s="324"/>
      <c r="J647" s="324"/>
      <c r="K647" s="324"/>
      <c r="L647" s="324"/>
      <c r="M647" s="324"/>
      <c r="N647" s="324"/>
      <c r="O647" s="324"/>
      <c r="P647" s="324"/>
      <c r="Q647" s="324"/>
      <c r="R647" s="324"/>
      <c r="S647" s="324"/>
      <c r="T647" s="324"/>
      <c r="U647" s="324"/>
      <c r="V647" s="324"/>
      <c r="W647" s="324"/>
    </row>
    <row r="648">
      <c r="A648" s="323"/>
      <c r="B648" s="324"/>
      <c r="C648" s="324"/>
      <c r="D648" s="324"/>
      <c r="E648" s="324"/>
      <c r="F648" s="324"/>
      <c r="G648" s="324"/>
      <c r="H648" s="324"/>
      <c r="I648" s="324"/>
      <c r="J648" s="324"/>
      <c r="K648" s="324"/>
      <c r="L648" s="324"/>
      <c r="M648" s="324"/>
      <c r="N648" s="324"/>
      <c r="O648" s="324"/>
      <c r="P648" s="324"/>
      <c r="Q648" s="324"/>
      <c r="R648" s="324"/>
      <c r="S648" s="324"/>
      <c r="T648" s="324"/>
      <c r="U648" s="324"/>
      <c r="V648" s="324"/>
      <c r="W648" s="324"/>
    </row>
    <row r="649">
      <c r="A649" s="323"/>
      <c r="B649" s="324"/>
      <c r="C649" s="324"/>
      <c r="D649" s="324"/>
      <c r="E649" s="324"/>
      <c r="F649" s="324"/>
      <c r="G649" s="324"/>
      <c r="H649" s="324"/>
      <c r="I649" s="324"/>
      <c r="J649" s="324"/>
      <c r="K649" s="324"/>
      <c r="L649" s="324"/>
      <c r="M649" s="324"/>
      <c r="N649" s="324"/>
      <c r="O649" s="324"/>
      <c r="P649" s="324"/>
      <c r="Q649" s="324"/>
      <c r="R649" s="324"/>
      <c r="S649" s="324"/>
      <c r="T649" s="324"/>
      <c r="U649" s="324"/>
      <c r="V649" s="324"/>
      <c r="W649" s="324"/>
    </row>
    <row r="650">
      <c r="A650" s="323"/>
      <c r="B650" s="324"/>
      <c r="C650" s="324"/>
      <c r="D650" s="324"/>
      <c r="E650" s="324"/>
      <c r="F650" s="324"/>
      <c r="G650" s="324"/>
      <c r="H650" s="324"/>
      <c r="I650" s="324"/>
      <c r="J650" s="324"/>
      <c r="K650" s="324"/>
      <c r="L650" s="324"/>
      <c r="M650" s="324"/>
      <c r="N650" s="324"/>
      <c r="O650" s="324"/>
      <c r="P650" s="324"/>
      <c r="Q650" s="324"/>
      <c r="R650" s="324"/>
      <c r="S650" s="324"/>
      <c r="T650" s="324"/>
      <c r="U650" s="324"/>
      <c r="V650" s="324"/>
      <c r="W650" s="324"/>
    </row>
    <row r="651">
      <c r="A651" s="323"/>
      <c r="B651" s="324"/>
      <c r="C651" s="324"/>
      <c r="D651" s="324"/>
      <c r="E651" s="324"/>
      <c r="F651" s="324"/>
      <c r="G651" s="324"/>
      <c r="H651" s="324"/>
      <c r="I651" s="324"/>
      <c r="J651" s="324"/>
      <c r="K651" s="324"/>
      <c r="L651" s="324"/>
      <c r="M651" s="324"/>
      <c r="N651" s="324"/>
      <c r="O651" s="324"/>
      <c r="P651" s="324"/>
      <c r="Q651" s="324"/>
      <c r="R651" s="324"/>
      <c r="S651" s="324"/>
      <c r="T651" s="324"/>
      <c r="U651" s="324"/>
      <c r="V651" s="324"/>
      <c r="W651" s="324"/>
    </row>
    <row r="652">
      <c r="A652" s="323"/>
      <c r="B652" s="324"/>
      <c r="C652" s="324"/>
      <c r="D652" s="324"/>
      <c r="E652" s="324"/>
      <c r="F652" s="324"/>
      <c r="G652" s="324"/>
      <c r="H652" s="324"/>
      <c r="I652" s="324"/>
      <c r="J652" s="324"/>
      <c r="K652" s="324"/>
      <c r="L652" s="324"/>
      <c r="M652" s="324"/>
      <c r="N652" s="324"/>
      <c r="O652" s="324"/>
      <c r="P652" s="324"/>
      <c r="Q652" s="324"/>
      <c r="R652" s="324"/>
      <c r="S652" s="324"/>
      <c r="T652" s="324"/>
      <c r="U652" s="324"/>
      <c r="V652" s="324"/>
      <c r="W652" s="324"/>
    </row>
    <row r="653">
      <c r="A653" s="323"/>
      <c r="B653" s="324"/>
      <c r="C653" s="324"/>
      <c r="D653" s="324"/>
      <c r="E653" s="324"/>
      <c r="F653" s="324"/>
      <c r="G653" s="324"/>
      <c r="H653" s="324"/>
      <c r="I653" s="324"/>
      <c r="J653" s="324"/>
      <c r="K653" s="324"/>
      <c r="L653" s="324"/>
      <c r="M653" s="324"/>
      <c r="N653" s="324"/>
      <c r="O653" s="324"/>
      <c r="P653" s="324"/>
      <c r="Q653" s="324"/>
      <c r="R653" s="324"/>
      <c r="S653" s="324"/>
      <c r="T653" s="324"/>
      <c r="U653" s="324"/>
      <c r="V653" s="324"/>
      <c r="W653" s="324"/>
    </row>
    <row r="654">
      <c r="A654" s="323"/>
      <c r="B654" s="324"/>
      <c r="C654" s="324"/>
      <c r="D654" s="324"/>
      <c r="E654" s="324"/>
      <c r="F654" s="324"/>
      <c r="G654" s="324"/>
      <c r="H654" s="324"/>
      <c r="I654" s="324"/>
      <c r="J654" s="324"/>
      <c r="K654" s="324"/>
      <c r="L654" s="324"/>
      <c r="M654" s="324"/>
      <c r="N654" s="324"/>
      <c r="O654" s="324"/>
      <c r="P654" s="324"/>
      <c r="Q654" s="324"/>
      <c r="R654" s="324"/>
      <c r="S654" s="324"/>
      <c r="T654" s="324"/>
      <c r="U654" s="324"/>
      <c r="V654" s="324"/>
      <c r="W654" s="324"/>
    </row>
    <row r="655">
      <c r="A655" s="323"/>
      <c r="B655" s="324"/>
      <c r="C655" s="324"/>
      <c r="D655" s="324"/>
      <c r="E655" s="324"/>
      <c r="F655" s="324"/>
      <c r="G655" s="324"/>
      <c r="H655" s="324"/>
      <c r="I655" s="324"/>
      <c r="J655" s="324"/>
      <c r="K655" s="324"/>
      <c r="L655" s="324"/>
      <c r="M655" s="324"/>
      <c r="N655" s="324"/>
      <c r="O655" s="324"/>
      <c r="P655" s="324"/>
      <c r="Q655" s="324"/>
      <c r="R655" s="324"/>
      <c r="S655" s="324"/>
      <c r="T655" s="324"/>
      <c r="U655" s="324"/>
      <c r="V655" s="324"/>
      <c r="W655" s="324"/>
    </row>
    <row r="656">
      <c r="A656" s="323"/>
      <c r="B656" s="324"/>
      <c r="C656" s="324"/>
      <c r="D656" s="324"/>
      <c r="E656" s="324"/>
      <c r="F656" s="324"/>
      <c r="G656" s="324"/>
      <c r="H656" s="324"/>
      <c r="I656" s="324"/>
      <c r="J656" s="324"/>
      <c r="K656" s="324"/>
      <c r="L656" s="324"/>
      <c r="M656" s="324"/>
      <c r="N656" s="324"/>
      <c r="O656" s="324"/>
      <c r="P656" s="324"/>
      <c r="Q656" s="324"/>
      <c r="R656" s="324"/>
      <c r="S656" s="324"/>
      <c r="T656" s="324"/>
      <c r="U656" s="324"/>
      <c r="V656" s="324"/>
      <c r="W656" s="324"/>
    </row>
    <row r="657">
      <c r="A657" s="323"/>
      <c r="B657" s="324"/>
      <c r="C657" s="324"/>
      <c r="D657" s="324"/>
      <c r="E657" s="324"/>
      <c r="F657" s="324"/>
      <c r="G657" s="324"/>
      <c r="H657" s="324"/>
      <c r="I657" s="324"/>
      <c r="J657" s="324"/>
      <c r="K657" s="324"/>
      <c r="L657" s="324"/>
      <c r="M657" s="324"/>
      <c r="N657" s="324"/>
      <c r="O657" s="324"/>
      <c r="P657" s="324"/>
      <c r="Q657" s="324"/>
      <c r="R657" s="324"/>
      <c r="S657" s="324"/>
      <c r="T657" s="324"/>
      <c r="U657" s="324"/>
      <c r="V657" s="324"/>
      <c r="W657" s="324"/>
    </row>
    <row r="658">
      <c r="A658" s="323"/>
      <c r="B658" s="324"/>
      <c r="C658" s="324"/>
      <c r="D658" s="324"/>
      <c r="E658" s="324"/>
      <c r="F658" s="324"/>
      <c r="G658" s="324"/>
      <c r="H658" s="324"/>
      <c r="I658" s="324"/>
      <c r="J658" s="324"/>
      <c r="K658" s="324"/>
      <c r="L658" s="324"/>
      <c r="M658" s="324"/>
      <c r="N658" s="324"/>
      <c r="O658" s="324"/>
      <c r="P658" s="324"/>
      <c r="Q658" s="324"/>
      <c r="R658" s="324"/>
      <c r="S658" s="324"/>
      <c r="T658" s="324"/>
      <c r="U658" s="324"/>
      <c r="V658" s="324"/>
      <c r="W658" s="324"/>
    </row>
    <row r="659">
      <c r="A659" s="323"/>
      <c r="B659" s="324"/>
      <c r="C659" s="324"/>
      <c r="D659" s="324"/>
      <c r="E659" s="324"/>
      <c r="F659" s="324"/>
      <c r="G659" s="324"/>
      <c r="H659" s="324"/>
      <c r="I659" s="324"/>
      <c r="J659" s="324"/>
      <c r="K659" s="324"/>
      <c r="L659" s="324"/>
      <c r="M659" s="324"/>
      <c r="N659" s="324"/>
      <c r="O659" s="324"/>
      <c r="P659" s="324"/>
      <c r="Q659" s="324"/>
      <c r="R659" s="324"/>
      <c r="S659" s="324"/>
      <c r="T659" s="324"/>
      <c r="U659" s="324"/>
      <c r="V659" s="324"/>
      <c r="W659" s="324"/>
    </row>
    <row r="660">
      <c r="A660" s="323"/>
      <c r="B660" s="324"/>
      <c r="C660" s="324"/>
      <c r="D660" s="324"/>
      <c r="E660" s="324"/>
      <c r="F660" s="324"/>
      <c r="G660" s="324"/>
      <c r="H660" s="324"/>
      <c r="I660" s="324"/>
      <c r="J660" s="324"/>
      <c r="K660" s="324"/>
      <c r="L660" s="324"/>
      <c r="M660" s="324"/>
      <c r="N660" s="324"/>
      <c r="O660" s="324"/>
      <c r="P660" s="324"/>
      <c r="Q660" s="324"/>
      <c r="R660" s="324"/>
      <c r="S660" s="324"/>
      <c r="T660" s="324"/>
      <c r="U660" s="324"/>
      <c r="V660" s="324"/>
      <c r="W660" s="324"/>
    </row>
    <row r="661">
      <c r="A661" s="323"/>
      <c r="B661" s="324"/>
      <c r="C661" s="324"/>
      <c r="D661" s="324"/>
      <c r="E661" s="324"/>
      <c r="F661" s="324"/>
      <c r="G661" s="324"/>
      <c r="H661" s="324"/>
      <c r="I661" s="324"/>
      <c r="J661" s="324"/>
      <c r="K661" s="324"/>
      <c r="L661" s="324"/>
      <c r="M661" s="324"/>
      <c r="N661" s="324"/>
      <c r="O661" s="324"/>
      <c r="P661" s="324"/>
      <c r="Q661" s="324"/>
      <c r="R661" s="324"/>
      <c r="S661" s="324"/>
      <c r="T661" s="324"/>
      <c r="U661" s="324"/>
      <c r="V661" s="324"/>
      <c r="W661" s="324"/>
    </row>
    <row r="662">
      <c r="A662" s="323"/>
      <c r="B662" s="324"/>
      <c r="C662" s="324"/>
      <c r="D662" s="324"/>
      <c r="E662" s="324"/>
      <c r="F662" s="324"/>
      <c r="G662" s="324"/>
      <c r="H662" s="324"/>
      <c r="I662" s="324"/>
      <c r="J662" s="324"/>
      <c r="K662" s="324"/>
      <c r="L662" s="324"/>
      <c r="M662" s="324"/>
      <c r="N662" s="324"/>
      <c r="O662" s="324"/>
      <c r="P662" s="324"/>
      <c r="Q662" s="324"/>
      <c r="R662" s="324"/>
      <c r="S662" s="324"/>
      <c r="T662" s="324"/>
      <c r="U662" s="324"/>
      <c r="V662" s="324"/>
      <c r="W662" s="324"/>
    </row>
    <row r="663">
      <c r="A663" s="323"/>
      <c r="B663" s="324"/>
      <c r="C663" s="324"/>
      <c r="D663" s="324"/>
      <c r="E663" s="324"/>
      <c r="F663" s="324"/>
      <c r="G663" s="324"/>
      <c r="H663" s="324"/>
      <c r="I663" s="324"/>
      <c r="J663" s="324"/>
      <c r="K663" s="324"/>
      <c r="L663" s="324"/>
      <c r="M663" s="324"/>
      <c r="N663" s="324"/>
      <c r="O663" s="324"/>
      <c r="P663" s="324"/>
      <c r="Q663" s="324"/>
      <c r="R663" s="324"/>
      <c r="S663" s="324"/>
      <c r="T663" s="324"/>
      <c r="U663" s="324"/>
      <c r="V663" s="324"/>
      <c r="W663" s="324"/>
    </row>
    <row r="664">
      <c r="A664" s="323"/>
      <c r="B664" s="324"/>
      <c r="C664" s="324"/>
      <c r="D664" s="324"/>
      <c r="E664" s="324"/>
      <c r="F664" s="324"/>
      <c r="G664" s="324"/>
      <c r="H664" s="324"/>
      <c r="I664" s="324"/>
      <c r="J664" s="324"/>
      <c r="K664" s="324"/>
      <c r="L664" s="324"/>
      <c r="M664" s="324"/>
      <c r="N664" s="324"/>
      <c r="O664" s="324"/>
      <c r="P664" s="324"/>
      <c r="Q664" s="324"/>
      <c r="R664" s="324"/>
      <c r="S664" s="324"/>
      <c r="T664" s="324"/>
      <c r="U664" s="324"/>
      <c r="V664" s="324"/>
      <c r="W664" s="324"/>
    </row>
    <row r="665">
      <c r="A665" s="323"/>
      <c r="B665" s="324"/>
      <c r="C665" s="324"/>
      <c r="D665" s="324"/>
      <c r="E665" s="324"/>
      <c r="F665" s="324"/>
      <c r="G665" s="324"/>
      <c r="H665" s="324"/>
      <c r="I665" s="324"/>
      <c r="J665" s="324"/>
      <c r="K665" s="324"/>
      <c r="L665" s="324"/>
      <c r="M665" s="324"/>
      <c r="N665" s="324"/>
      <c r="O665" s="324"/>
      <c r="P665" s="324"/>
      <c r="Q665" s="324"/>
      <c r="R665" s="324"/>
      <c r="S665" s="324"/>
      <c r="T665" s="324"/>
      <c r="U665" s="324"/>
      <c r="V665" s="324"/>
      <c r="W665" s="324"/>
    </row>
    <row r="666">
      <c r="A666" s="323"/>
      <c r="B666" s="324"/>
      <c r="C666" s="324"/>
      <c r="D666" s="324"/>
      <c r="E666" s="324"/>
      <c r="F666" s="324"/>
      <c r="G666" s="324"/>
      <c r="H666" s="324"/>
      <c r="I666" s="324"/>
      <c r="J666" s="324"/>
      <c r="K666" s="324"/>
      <c r="L666" s="324"/>
      <c r="M666" s="324"/>
      <c r="N666" s="324"/>
      <c r="O666" s="324"/>
      <c r="P666" s="324"/>
      <c r="Q666" s="324"/>
      <c r="R666" s="324"/>
      <c r="S666" s="324"/>
      <c r="T666" s="324"/>
      <c r="U666" s="324"/>
      <c r="V666" s="324"/>
      <c r="W666" s="324"/>
    </row>
    <row r="667">
      <c r="A667" s="323"/>
      <c r="B667" s="324"/>
      <c r="C667" s="324"/>
      <c r="D667" s="324"/>
      <c r="E667" s="324"/>
      <c r="F667" s="324"/>
      <c r="G667" s="324"/>
      <c r="H667" s="324"/>
      <c r="I667" s="324"/>
      <c r="J667" s="324"/>
      <c r="K667" s="324"/>
      <c r="L667" s="324"/>
      <c r="M667" s="324"/>
      <c r="N667" s="324"/>
      <c r="O667" s="324"/>
      <c r="P667" s="324"/>
      <c r="Q667" s="324"/>
      <c r="R667" s="324"/>
      <c r="S667" s="324"/>
      <c r="T667" s="324"/>
      <c r="U667" s="324"/>
      <c r="V667" s="324"/>
      <c r="W667" s="324"/>
    </row>
    <row r="668">
      <c r="A668" s="323"/>
      <c r="B668" s="324"/>
      <c r="C668" s="324"/>
      <c r="D668" s="324"/>
      <c r="E668" s="324"/>
      <c r="F668" s="324"/>
      <c r="G668" s="324"/>
      <c r="H668" s="324"/>
      <c r="I668" s="324"/>
      <c r="J668" s="324"/>
      <c r="K668" s="324"/>
      <c r="L668" s="324"/>
      <c r="M668" s="324"/>
      <c r="N668" s="324"/>
      <c r="O668" s="324"/>
      <c r="P668" s="324"/>
      <c r="Q668" s="324"/>
      <c r="R668" s="324"/>
      <c r="S668" s="324"/>
      <c r="T668" s="324"/>
      <c r="U668" s="324"/>
      <c r="V668" s="324"/>
      <c r="W668" s="324"/>
    </row>
    <row r="669">
      <c r="A669" s="323"/>
      <c r="B669" s="324"/>
      <c r="C669" s="324"/>
      <c r="D669" s="324"/>
      <c r="E669" s="324"/>
      <c r="F669" s="324"/>
      <c r="G669" s="324"/>
      <c r="H669" s="324"/>
      <c r="I669" s="324"/>
      <c r="J669" s="324"/>
      <c r="K669" s="324"/>
      <c r="L669" s="324"/>
      <c r="M669" s="324"/>
      <c r="N669" s="324"/>
      <c r="O669" s="324"/>
      <c r="P669" s="324"/>
      <c r="Q669" s="324"/>
      <c r="R669" s="324"/>
      <c r="S669" s="324"/>
      <c r="T669" s="324"/>
      <c r="U669" s="324"/>
      <c r="V669" s="324"/>
      <c r="W669" s="324"/>
    </row>
    <row r="670">
      <c r="A670" s="323"/>
      <c r="B670" s="324"/>
      <c r="C670" s="324"/>
      <c r="D670" s="324"/>
      <c r="E670" s="324"/>
      <c r="F670" s="324"/>
      <c r="G670" s="324"/>
      <c r="H670" s="324"/>
      <c r="I670" s="324"/>
      <c r="J670" s="324"/>
      <c r="K670" s="324"/>
      <c r="L670" s="324"/>
      <c r="M670" s="324"/>
      <c r="N670" s="324"/>
      <c r="O670" s="324"/>
      <c r="P670" s="324"/>
      <c r="Q670" s="324"/>
      <c r="R670" s="324"/>
      <c r="S670" s="324"/>
      <c r="T670" s="324"/>
      <c r="U670" s="324"/>
      <c r="V670" s="324"/>
      <c r="W670" s="324"/>
    </row>
    <row r="671">
      <c r="A671" s="323"/>
      <c r="B671" s="324"/>
      <c r="C671" s="324"/>
      <c r="D671" s="324"/>
      <c r="E671" s="324"/>
      <c r="F671" s="324"/>
      <c r="G671" s="324"/>
      <c r="H671" s="324"/>
      <c r="I671" s="324"/>
      <c r="J671" s="324"/>
      <c r="K671" s="324"/>
      <c r="L671" s="324"/>
      <c r="M671" s="324"/>
      <c r="N671" s="324"/>
      <c r="O671" s="324"/>
      <c r="P671" s="324"/>
      <c r="Q671" s="324"/>
      <c r="R671" s="324"/>
      <c r="S671" s="324"/>
      <c r="T671" s="324"/>
      <c r="U671" s="324"/>
      <c r="V671" s="324"/>
      <c r="W671" s="324"/>
    </row>
    <row r="672">
      <c r="A672" s="323"/>
      <c r="B672" s="324"/>
      <c r="C672" s="324"/>
      <c r="D672" s="324"/>
      <c r="E672" s="324"/>
      <c r="F672" s="324"/>
      <c r="G672" s="324"/>
      <c r="H672" s="324"/>
      <c r="I672" s="324"/>
      <c r="J672" s="324"/>
      <c r="K672" s="324"/>
      <c r="L672" s="324"/>
      <c r="M672" s="324"/>
      <c r="N672" s="324"/>
      <c r="O672" s="324"/>
      <c r="P672" s="324"/>
      <c r="Q672" s="324"/>
      <c r="R672" s="324"/>
      <c r="S672" s="324"/>
      <c r="T672" s="324"/>
      <c r="U672" s="324"/>
      <c r="V672" s="324"/>
      <c r="W672" s="324"/>
    </row>
    <row r="673">
      <c r="A673" s="323"/>
      <c r="B673" s="324"/>
      <c r="C673" s="324"/>
      <c r="D673" s="324"/>
      <c r="E673" s="324"/>
      <c r="F673" s="324"/>
      <c r="G673" s="324"/>
      <c r="H673" s="324"/>
      <c r="I673" s="324"/>
      <c r="J673" s="324"/>
      <c r="K673" s="324"/>
      <c r="L673" s="324"/>
      <c r="M673" s="324"/>
      <c r="N673" s="324"/>
      <c r="O673" s="324"/>
      <c r="P673" s="324"/>
      <c r="Q673" s="324"/>
      <c r="R673" s="324"/>
      <c r="S673" s="324"/>
      <c r="T673" s="324"/>
      <c r="U673" s="324"/>
      <c r="V673" s="324"/>
      <c r="W673" s="324"/>
    </row>
    <row r="674">
      <c r="A674" s="323"/>
      <c r="B674" s="324"/>
      <c r="C674" s="324"/>
      <c r="D674" s="324"/>
      <c r="E674" s="324"/>
      <c r="F674" s="324"/>
      <c r="G674" s="324"/>
      <c r="H674" s="324"/>
      <c r="I674" s="324"/>
      <c r="J674" s="324"/>
      <c r="K674" s="324"/>
      <c r="L674" s="324"/>
      <c r="M674" s="324"/>
      <c r="N674" s="324"/>
      <c r="O674" s="324"/>
      <c r="P674" s="324"/>
      <c r="Q674" s="324"/>
      <c r="R674" s="324"/>
      <c r="S674" s="324"/>
      <c r="T674" s="324"/>
      <c r="U674" s="324"/>
      <c r="V674" s="324"/>
      <c r="W674" s="324"/>
    </row>
    <row r="675">
      <c r="A675" s="323"/>
      <c r="B675" s="324"/>
      <c r="C675" s="324"/>
      <c r="D675" s="324"/>
      <c r="E675" s="324"/>
      <c r="F675" s="324"/>
      <c r="G675" s="324"/>
      <c r="H675" s="324"/>
      <c r="I675" s="324"/>
      <c r="J675" s="324"/>
      <c r="K675" s="324"/>
      <c r="L675" s="324"/>
      <c r="M675" s="324"/>
      <c r="N675" s="324"/>
      <c r="O675" s="324"/>
      <c r="P675" s="324"/>
      <c r="Q675" s="324"/>
      <c r="R675" s="324"/>
      <c r="S675" s="324"/>
      <c r="T675" s="324"/>
      <c r="U675" s="324"/>
      <c r="V675" s="324"/>
      <c r="W675" s="324"/>
    </row>
    <row r="676">
      <c r="A676" s="323"/>
      <c r="B676" s="324"/>
      <c r="C676" s="324"/>
      <c r="D676" s="324"/>
      <c r="E676" s="324"/>
      <c r="F676" s="324"/>
      <c r="G676" s="324"/>
      <c r="H676" s="324"/>
      <c r="I676" s="324"/>
      <c r="J676" s="324"/>
      <c r="K676" s="324"/>
      <c r="L676" s="324"/>
      <c r="M676" s="324"/>
      <c r="N676" s="324"/>
      <c r="O676" s="324"/>
      <c r="P676" s="324"/>
      <c r="Q676" s="324"/>
      <c r="R676" s="324"/>
      <c r="S676" s="324"/>
      <c r="T676" s="324"/>
      <c r="U676" s="324"/>
      <c r="V676" s="324"/>
      <c r="W676" s="324"/>
    </row>
    <row r="677">
      <c r="A677" s="323"/>
      <c r="B677" s="324"/>
      <c r="C677" s="324"/>
      <c r="D677" s="324"/>
      <c r="E677" s="324"/>
      <c r="F677" s="324"/>
      <c r="G677" s="324"/>
      <c r="H677" s="324"/>
      <c r="I677" s="324"/>
      <c r="J677" s="324"/>
      <c r="K677" s="324"/>
      <c r="L677" s="324"/>
      <c r="M677" s="324"/>
      <c r="N677" s="324"/>
      <c r="O677" s="324"/>
      <c r="P677" s="324"/>
      <c r="Q677" s="324"/>
      <c r="R677" s="324"/>
      <c r="S677" s="324"/>
      <c r="T677" s="324"/>
      <c r="U677" s="324"/>
      <c r="V677" s="324"/>
      <c r="W677" s="324"/>
    </row>
    <row r="678">
      <c r="A678" s="323"/>
      <c r="B678" s="324"/>
      <c r="C678" s="324"/>
      <c r="D678" s="324"/>
      <c r="E678" s="324"/>
      <c r="F678" s="324"/>
      <c r="G678" s="324"/>
      <c r="H678" s="324"/>
      <c r="I678" s="324"/>
      <c r="J678" s="324"/>
      <c r="K678" s="324"/>
      <c r="L678" s="324"/>
      <c r="M678" s="324"/>
      <c r="N678" s="324"/>
      <c r="O678" s="324"/>
      <c r="P678" s="324"/>
      <c r="Q678" s="324"/>
      <c r="R678" s="324"/>
      <c r="S678" s="324"/>
      <c r="T678" s="324"/>
      <c r="U678" s="324"/>
      <c r="V678" s="324"/>
      <c r="W678" s="324"/>
    </row>
    <row r="679">
      <c r="A679" s="323"/>
      <c r="B679" s="324"/>
      <c r="C679" s="324"/>
      <c r="D679" s="324"/>
      <c r="E679" s="324"/>
      <c r="F679" s="324"/>
      <c r="G679" s="324"/>
      <c r="H679" s="324"/>
      <c r="I679" s="324"/>
      <c r="J679" s="324"/>
      <c r="K679" s="324"/>
      <c r="L679" s="324"/>
      <c r="M679" s="324"/>
      <c r="N679" s="324"/>
      <c r="O679" s="324"/>
      <c r="P679" s="324"/>
      <c r="Q679" s="324"/>
      <c r="R679" s="324"/>
      <c r="S679" s="324"/>
      <c r="T679" s="324"/>
      <c r="U679" s="324"/>
      <c r="V679" s="324"/>
      <c r="W679" s="324"/>
    </row>
    <row r="680">
      <c r="A680" s="323"/>
      <c r="B680" s="324"/>
      <c r="C680" s="324"/>
      <c r="D680" s="324"/>
      <c r="E680" s="324"/>
      <c r="F680" s="324"/>
      <c r="G680" s="324"/>
      <c r="H680" s="324"/>
      <c r="I680" s="324"/>
      <c r="J680" s="324"/>
      <c r="K680" s="324"/>
      <c r="L680" s="324"/>
      <c r="M680" s="324"/>
      <c r="N680" s="324"/>
      <c r="O680" s="324"/>
      <c r="P680" s="324"/>
      <c r="Q680" s="324"/>
      <c r="R680" s="324"/>
      <c r="S680" s="324"/>
      <c r="T680" s="324"/>
      <c r="U680" s="324"/>
      <c r="V680" s="324"/>
      <c r="W680" s="324"/>
    </row>
    <row r="681">
      <c r="A681" s="323"/>
      <c r="B681" s="324"/>
      <c r="C681" s="324"/>
      <c r="D681" s="324"/>
      <c r="E681" s="324"/>
      <c r="F681" s="324"/>
      <c r="G681" s="324"/>
      <c r="H681" s="324"/>
      <c r="I681" s="324"/>
      <c r="J681" s="324"/>
      <c r="K681" s="324"/>
      <c r="L681" s="324"/>
      <c r="M681" s="324"/>
      <c r="N681" s="324"/>
      <c r="O681" s="324"/>
      <c r="P681" s="324"/>
      <c r="Q681" s="324"/>
      <c r="R681" s="324"/>
      <c r="S681" s="324"/>
      <c r="T681" s="324"/>
      <c r="U681" s="324"/>
      <c r="V681" s="324"/>
      <c r="W681" s="324"/>
    </row>
    <row r="682">
      <c r="A682" s="323"/>
      <c r="B682" s="324"/>
      <c r="C682" s="324"/>
      <c r="D682" s="324"/>
      <c r="E682" s="324"/>
      <c r="F682" s="324"/>
      <c r="G682" s="324"/>
      <c r="H682" s="324"/>
      <c r="I682" s="324"/>
      <c r="J682" s="324"/>
      <c r="K682" s="324"/>
      <c r="L682" s="324"/>
      <c r="M682" s="324"/>
      <c r="N682" s="324"/>
      <c r="O682" s="324"/>
      <c r="P682" s="324"/>
      <c r="Q682" s="324"/>
      <c r="R682" s="324"/>
      <c r="S682" s="324"/>
      <c r="T682" s="324"/>
      <c r="U682" s="324"/>
      <c r="V682" s="324"/>
      <c r="W682" s="324"/>
    </row>
    <row r="683">
      <c r="A683" s="323"/>
      <c r="B683" s="324"/>
      <c r="C683" s="324"/>
      <c r="D683" s="324"/>
      <c r="E683" s="324"/>
      <c r="F683" s="324"/>
      <c r="G683" s="324"/>
      <c r="H683" s="324"/>
      <c r="I683" s="324"/>
      <c r="J683" s="324"/>
      <c r="K683" s="324"/>
      <c r="L683" s="324"/>
      <c r="M683" s="324"/>
      <c r="N683" s="324"/>
      <c r="O683" s="324"/>
      <c r="P683" s="324"/>
      <c r="Q683" s="324"/>
      <c r="R683" s="324"/>
      <c r="S683" s="324"/>
      <c r="T683" s="324"/>
      <c r="U683" s="324"/>
      <c r="V683" s="324"/>
      <c r="W683" s="324"/>
    </row>
    <row r="684">
      <c r="A684" s="323"/>
      <c r="B684" s="324"/>
      <c r="C684" s="324"/>
      <c r="D684" s="324"/>
      <c r="E684" s="324"/>
      <c r="F684" s="324"/>
      <c r="G684" s="324"/>
      <c r="H684" s="324"/>
      <c r="I684" s="324"/>
      <c r="J684" s="324"/>
      <c r="K684" s="324"/>
      <c r="L684" s="324"/>
      <c r="M684" s="324"/>
      <c r="N684" s="324"/>
      <c r="O684" s="324"/>
      <c r="P684" s="324"/>
      <c r="Q684" s="324"/>
      <c r="R684" s="324"/>
      <c r="S684" s="324"/>
      <c r="T684" s="324"/>
      <c r="U684" s="324"/>
      <c r="V684" s="324"/>
      <c r="W684" s="324"/>
    </row>
    <row r="685">
      <c r="A685" s="323"/>
      <c r="B685" s="324"/>
      <c r="C685" s="324"/>
      <c r="D685" s="324"/>
      <c r="E685" s="324"/>
      <c r="F685" s="324"/>
      <c r="G685" s="324"/>
      <c r="H685" s="324"/>
      <c r="I685" s="324"/>
      <c r="J685" s="324"/>
      <c r="K685" s="324"/>
      <c r="L685" s="324"/>
      <c r="M685" s="324"/>
      <c r="N685" s="324"/>
      <c r="O685" s="324"/>
      <c r="P685" s="324"/>
      <c r="Q685" s="324"/>
      <c r="R685" s="324"/>
      <c r="S685" s="324"/>
      <c r="T685" s="324"/>
      <c r="U685" s="324"/>
      <c r="V685" s="324"/>
      <c r="W685" s="324"/>
    </row>
    <row r="686">
      <c r="A686" s="323"/>
      <c r="B686" s="324"/>
      <c r="C686" s="324"/>
      <c r="D686" s="324"/>
      <c r="E686" s="324"/>
      <c r="F686" s="324"/>
      <c r="G686" s="324"/>
      <c r="H686" s="324"/>
      <c r="I686" s="324"/>
      <c r="J686" s="324"/>
      <c r="K686" s="324"/>
      <c r="L686" s="324"/>
      <c r="M686" s="324"/>
      <c r="N686" s="324"/>
      <c r="O686" s="324"/>
      <c r="P686" s="324"/>
      <c r="Q686" s="324"/>
      <c r="R686" s="324"/>
      <c r="S686" s="324"/>
      <c r="T686" s="324"/>
      <c r="U686" s="324"/>
      <c r="V686" s="324"/>
      <c r="W686" s="324"/>
    </row>
    <row r="687">
      <c r="A687" s="323"/>
      <c r="B687" s="324"/>
      <c r="C687" s="324"/>
      <c r="D687" s="324"/>
      <c r="E687" s="324"/>
      <c r="F687" s="324"/>
      <c r="G687" s="324"/>
      <c r="H687" s="324"/>
      <c r="I687" s="324"/>
      <c r="J687" s="324"/>
      <c r="K687" s="324"/>
      <c r="L687" s="324"/>
      <c r="M687" s="324"/>
      <c r="N687" s="324"/>
      <c r="O687" s="324"/>
      <c r="P687" s="324"/>
      <c r="Q687" s="324"/>
      <c r="R687" s="324"/>
      <c r="S687" s="324"/>
      <c r="T687" s="324"/>
      <c r="U687" s="324"/>
      <c r="V687" s="324"/>
      <c r="W687" s="324"/>
    </row>
    <row r="688">
      <c r="A688" s="323"/>
      <c r="B688" s="324"/>
      <c r="C688" s="324"/>
      <c r="D688" s="324"/>
      <c r="E688" s="324"/>
      <c r="F688" s="324"/>
      <c r="G688" s="324"/>
      <c r="H688" s="324"/>
      <c r="I688" s="324"/>
      <c r="J688" s="324"/>
      <c r="K688" s="324"/>
      <c r="L688" s="324"/>
      <c r="M688" s="324"/>
      <c r="N688" s="324"/>
      <c r="O688" s="324"/>
      <c r="P688" s="324"/>
      <c r="Q688" s="324"/>
      <c r="R688" s="324"/>
      <c r="S688" s="324"/>
      <c r="T688" s="324"/>
      <c r="U688" s="324"/>
      <c r="V688" s="324"/>
      <c r="W688" s="324"/>
    </row>
    <row r="689">
      <c r="A689" s="323"/>
      <c r="B689" s="324"/>
      <c r="C689" s="324"/>
      <c r="D689" s="324"/>
      <c r="E689" s="324"/>
      <c r="F689" s="324"/>
      <c r="G689" s="324"/>
      <c r="H689" s="324"/>
      <c r="I689" s="324"/>
      <c r="J689" s="324"/>
      <c r="K689" s="324"/>
      <c r="L689" s="324"/>
      <c r="M689" s="324"/>
      <c r="N689" s="324"/>
      <c r="O689" s="324"/>
      <c r="P689" s="324"/>
      <c r="Q689" s="324"/>
      <c r="R689" s="324"/>
      <c r="S689" s="324"/>
      <c r="T689" s="324"/>
      <c r="U689" s="324"/>
      <c r="V689" s="324"/>
      <c r="W689" s="324"/>
    </row>
    <row r="690">
      <c r="A690" s="323"/>
      <c r="B690" s="324"/>
      <c r="C690" s="324"/>
      <c r="D690" s="324"/>
      <c r="E690" s="324"/>
      <c r="F690" s="324"/>
      <c r="G690" s="324"/>
      <c r="H690" s="324"/>
      <c r="I690" s="324"/>
      <c r="J690" s="324"/>
      <c r="K690" s="324"/>
      <c r="L690" s="324"/>
      <c r="M690" s="324"/>
      <c r="N690" s="324"/>
      <c r="O690" s="324"/>
      <c r="P690" s="324"/>
      <c r="Q690" s="324"/>
      <c r="R690" s="324"/>
      <c r="S690" s="324"/>
      <c r="T690" s="324"/>
      <c r="U690" s="324"/>
      <c r="V690" s="324"/>
      <c r="W690" s="324"/>
    </row>
    <row r="691">
      <c r="A691" s="323"/>
      <c r="B691" s="324"/>
      <c r="C691" s="324"/>
      <c r="D691" s="324"/>
      <c r="E691" s="324"/>
      <c r="F691" s="324"/>
      <c r="G691" s="324"/>
      <c r="H691" s="324"/>
      <c r="I691" s="324"/>
      <c r="J691" s="324"/>
      <c r="K691" s="324"/>
      <c r="L691" s="324"/>
      <c r="M691" s="324"/>
      <c r="N691" s="324"/>
      <c r="O691" s="324"/>
      <c r="P691" s="324"/>
      <c r="Q691" s="324"/>
      <c r="R691" s="324"/>
      <c r="S691" s="324"/>
      <c r="T691" s="324"/>
      <c r="U691" s="324"/>
      <c r="V691" s="324"/>
      <c r="W691" s="324"/>
    </row>
    <row r="692">
      <c r="A692" s="323"/>
      <c r="B692" s="324"/>
      <c r="C692" s="324"/>
      <c r="D692" s="324"/>
      <c r="E692" s="324"/>
      <c r="F692" s="324"/>
      <c r="G692" s="324"/>
      <c r="H692" s="324"/>
      <c r="I692" s="324"/>
      <c r="J692" s="324"/>
      <c r="K692" s="324"/>
      <c r="L692" s="324"/>
      <c r="M692" s="324"/>
      <c r="N692" s="324"/>
      <c r="O692" s="324"/>
      <c r="P692" s="324"/>
      <c r="Q692" s="324"/>
      <c r="R692" s="324"/>
      <c r="S692" s="324"/>
      <c r="T692" s="324"/>
      <c r="U692" s="324"/>
      <c r="V692" s="324"/>
      <c r="W692" s="324"/>
    </row>
    <row r="693">
      <c r="A693" s="323"/>
      <c r="B693" s="324"/>
      <c r="C693" s="324"/>
      <c r="D693" s="324"/>
      <c r="E693" s="324"/>
      <c r="F693" s="324"/>
      <c r="G693" s="324"/>
      <c r="H693" s="324"/>
      <c r="I693" s="324"/>
      <c r="J693" s="324"/>
      <c r="K693" s="324"/>
      <c r="L693" s="324"/>
      <c r="M693" s="324"/>
      <c r="N693" s="324"/>
      <c r="O693" s="324"/>
      <c r="P693" s="324"/>
      <c r="Q693" s="324"/>
      <c r="R693" s="324"/>
      <c r="S693" s="324"/>
      <c r="T693" s="324"/>
      <c r="U693" s="324"/>
      <c r="V693" s="324"/>
      <c r="W693" s="324"/>
    </row>
    <row r="694">
      <c r="A694" s="323"/>
      <c r="B694" s="324"/>
      <c r="C694" s="324"/>
      <c r="D694" s="324"/>
      <c r="E694" s="324"/>
      <c r="F694" s="324"/>
      <c r="G694" s="324"/>
      <c r="H694" s="324"/>
      <c r="I694" s="324"/>
      <c r="J694" s="324"/>
      <c r="K694" s="324"/>
      <c r="L694" s="324"/>
      <c r="M694" s="324"/>
      <c r="N694" s="324"/>
      <c r="O694" s="324"/>
      <c r="P694" s="324"/>
      <c r="Q694" s="324"/>
      <c r="R694" s="324"/>
      <c r="S694" s="324"/>
      <c r="T694" s="324"/>
      <c r="U694" s="324"/>
      <c r="V694" s="324"/>
      <c r="W694" s="324"/>
    </row>
    <row r="695">
      <c r="A695" s="323"/>
      <c r="B695" s="324"/>
      <c r="C695" s="324"/>
      <c r="D695" s="324"/>
      <c r="E695" s="324"/>
      <c r="F695" s="324"/>
      <c r="G695" s="324"/>
      <c r="H695" s="324"/>
      <c r="I695" s="324"/>
      <c r="J695" s="324"/>
      <c r="K695" s="324"/>
      <c r="L695" s="324"/>
      <c r="M695" s="324"/>
      <c r="N695" s="324"/>
      <c r="O695" s="324"/>
      <c r="P695" s="324"/>
      <c r="Q695" s="324"/>
      <c r="R695" s="324"/>
      <c r="S695" s="324"/>
      <c r="T695" s="324"/>
      <c r="U695" s="324"/>
      <c r="V695" s="324"/>
      <c r="W695" s="324"/>
    </row>
    <row r="696">
      <c r="A696" s="323"/>
      <c r="B696" s="324"/>
      <c r="C696" s="324"/>
      <c r="D696" s="324"/>
      <c r="E696" s="324"/>
      <c r="F696" s="324"/>
      <c r="G696" s="324"/>
      <c r="H696" s="324"/>
      <c r="I696" s="324"/>
      <c r="J696" s="324"/>
      <c r="K696" s="324"/>
      <c r="L696" s="324"/>
      <c r="M696" s="324"/>
      <c r="N696" s="324"/>
      <c r="O696" s="324"/>
      <c r="P696" s="324"/>
      <c r="Q696" s="324"/>
      <c r="R696" s="324"/>
      <c r="S696" s="324"/>
      <c r="T696" s="324"/>
      <c r="U696" s="324"/>
      <c r="V696" s="324"/>
      <c r="W696" s="324"/>
    </row>
    <row r="697">
      <c r="A697" s="323"/>
      <c r="B697" s="324"/>
      <c r="C697" s="324"/>
      <c r="D697" s="324"/>
      <c r="E697" s="324"/>
      <c r="F697" s="324"/>
      <c r="G697" s="324"/>
      <c r="H697" s="324"/>
      <c r="I697" s="324"/>
      <c r="J697" s="324"/>
      <c r="K697" s="324"/>
      <c r="L697" s="324"/>
      <c r="M697" s="324"/>
      <c r="N697" s="324"/>
      <c r="O697" s="324"/>
      <c r="P697" s="324"/>
      <c r="Q697" s="324"/>
      <c r="R697" s="324"/>
      <c r="S697" s="324"/>
      <c r="T697" s="324"/>
      <c r="U697" s="324"/>
      <c r="V697" s="324"/>
      <c r="W697" s="324"/>
    </row>
    <row r="698">
      <c r="A698" s="323"/>
      <c r="B698" s="324"/>
      <c r="C698" s="324"/>
      <c r="D698" s="324"/>
      <c r="E698" s="324"/>
      <c r="F698" s="324"/>
      <c r="G698" s="324"/>
      <c r="H698" s="324"/>
      <c r="I698" s="324"/>
      <c r="J698" s="324"/>
      <c r="K698" s="324"/>
      <c r="L698" s="324"/>
      <c r="M698" s="324"/>
      <c r="N698" s="324"/>
      <c r="O698" s="324"/>
      <c r="P698" s="324"/>
      <c r="Q698" s="324"/>
      <c r="R698" s="324"/>
      <c r="S698" s="324"/>
      <c r="T698" s="324"/>
      <c r="U698" s="324"/>
      <c r="V698" s="324"/>
      <c r="W698" s="324"/>
    </row>
    <row r="699">
      <c r="A699" s="323"/>
      <c r="B699" s="324"/>
      <c r="C699" s="324"/>
      <c r="D699" s="324"/>
      <c r="E699" s="324"/>
      <c r="F699" s="324"/>
      <c r="G699" s="324"/>
      <c r="H699" s="324"/>
      <c r="I699" s="324"/>
      <c r="J699" s="324"/>
      <c r="K699" s="324"/>
      <c r="L699" s="324"/>
      <c r="M699" s="324"/>
      <c r="N699" s="324"/>
      <c r="O699" s="324"/>
      <c r="P699" s="324"/>
      <c r="Q699" s="324"/>
      <c r="R699" s="324"/>
      <c r="S699" s="324"/>
      <c r="T699" s="324"/>
      <c r="U699" s="324"/>
      <c r="V699" s="324"/>
      <c r="W699" s="324"/>
    </row>
    <row r="700">
      <c r="A700" s="323"/>
      <c r="B700" s="324"/>
      <c r="C700" s="324"/>
      <c r="D700" s="324"/>
      <c r="E700" s="324"/>
      <c r="F700" s="324"/>
      <c r="G700" s="324"/>
      <c r="H700" s="324"/>
      <c r="I700" s="324"/>
      <c r="J700" s="324"/>
      <c r="K700" s="324"/>
      <c r="L700" s="324"/>
      <c r="M700" s="324"/>
      <c r="N700" s="324"/>
      <c r="O700" s="324"/>
      <c r="P700" s="324"/>
      <c r="Q700" s="324"/>
      <c r="R700" s="324"/>
      <c r="S700" s="324"/>
      <c r="T700" s="324"/>
      <c r="U700" s="324"/>
      <c r="V700" s="324"/>
      <c r="W700" s="324"/>
    </row>
    <row r="701">
      <c r="A701" s="323"/>
      <c r="B701" s="324"/>
      <c r="C701" s="324"/>
      <c r="D701" s="324"/>
      <c r="E701" s="324"/>
      <c r="F701" s="324"/>
      <c r="G701" s="324"/>
      <c r="H701" s="324"/>
      <c r="I701" s="324"/>
      <c r="J701" s="324"/>
      <c r="K701" s="324"/>
      <c r="L701" s="324"/>
      <c r="M701" s="324"/>
      <c r="N701" s="324"/>
      <c r="O701" s="324"/>
      <c r="P701" s="324"/>
      <c r="Q701" s="324"/>
      <c r="R701" s="324"/>
      <c r="S701" s="324"/>
      <c r="T701" s="324"/>
      <c r="U701" s="324"/>
      <c r="V701" s="324"/>
      <c r="W701" s="324"/>
    </row>
    <row r="702">
      <c r="A702" s="323"/>
      <c r="B702" s="324"/>
      <c r="C702" s="324"/>
      <c r="D702" s="324"/>
      <c r="E702" s="324"/>
      <c r="F702" s="324"/>
      <c r="G702" s="324"/>
      <c r="H702" s="324"/>
      <c r="I702" s="324"/>
      <c r="J702" s="324"/>
      <c r="K702" s="324"/>
      <c r="L702" s="324"/>
      <c r="M702" s="324"/>
      <c r="N702" s="324"/>
      <c r="O702" s="324"/>
      <c r="P702" s="324"/>
      <c r="Q702" s="324"/>
      <c r="R702" s="324"/>
      <c r="S702" s="324"/>
      <c r="T702" s="324"/>
      <c r="U702" s="324"/>
      <c r="V702" s="324"/>
      <c r="W702" s="324"/>
    </row>
    <row r="703">
      <c r="A703" s="323"/>
      <c r="B703" s="324"/>
      <c r="C703" s="324"/>
      <c r="D703" s="324"/>
      <c r="E703" s="324"/>
      <c r="F703" s="324"/>
      <c r="G703" s="324"/>
      <c r="H703" s="324"/>
      <c r="I703" s="324"/>
      <c r="J703" s="324"/>
      <c r="K703" s="324"/>
      <c r="L703" s="324"/>
      <c r="M703" s="324"/>
      <c r="N703" s="324"/>
      <c r="O703" s="324"/>
      <c r="P703" s="324"/>
      <c r="Q703" s="324"/>
      <c r="R703" s="324"/>
      <c r="S703" s="324"/>
      <c r="T703" s="324"/>
      <c r="U703" s="324"/>
      <c r="V703" s="324"/>
      <c r="W703" s="324"/>
    </row>
    <row r="704">
      <c r="A704" s="323"/>
      <c r="B704" s="324"/>
      <c r="C704" s="324"/>
      <c r="D704" s="324"/>
      <c r="E704" s="324"/>
      <c r="F704" s="324"/>
      <c r="G704" s="324"/>
      <c r="H704" s="324"/>
      <c r="I704" s="324"/>
      <c r="J704" s="324"/>
      <c r="K704" s="324"/>
      <c r="L704" s="324"/>
      <c r="M704" s="324"/>
      <c r="N704" s="324"/>
      <c r="O704" s="324"/>
      <c r="P704" s="324"/>
      <c r="Q704" s="324"/>
      <c r="R704" s="324"/>
      <c r="S704" s="324"/>
      <c r="T704" s="324"/>
      <c r="U704" s="324"/>
      <c r="V704" s="324"/>
      <c r="W704" s="324"/>
    </row>
    <row r="705">
      <c r="A705" s="323"/>
      <c r="B705" s="324"/>
      <c r="C705" s="324"/>
      <c r="D705" s="324"/>
      <c r="E705" s="324"/>
      <c r="F705" s="324"/>
      <c r="G705" s="324"/>
      <c r="H705" s="324"/>
      <c r="I705" s="324"/>
      <c r="J705" s="324"/>
      <c r="K705" s="324"/>
      <c r="L705" s="324"/>
      <c r="M705" s="324"/>
      <c r="N705" s="324"/>
      <c r="O705" s="324"/>
      <c r="P705" s="324"/>
      <c r="Q705" s="324"/>
      <c r="R705" s="324"/>
      <c r="S705" s="324"/>
      <c r="T705" s="324"/>
      <c r="U705" s="324"/>
      <c r="V705" s="324"/>
      <c r="W705" s="324"/>
    </row>
    <row r="706">
      <c r="A706" s="323"/>
      <c r="B706" s="324"/>
      <c r="C706" s="324"/>
      <c r="D706" s="324"/>
      <c r="E706" s="324"/>
      <c r="F706" s="324"/>
      <c r="G706" s="324"/>
      <c r="H706" s="324"/>
      <c r="I706" s="324"/>
      <c r="J706" s="324"/>
      <c r="K706" s="324"/>
      <c r="L706" s="324"/>
      <c r="M706" s="324"/>
      <c r="N706" s="324"/>
      <c r="O706" s="324"/>
      <c r="P706" s="324"/>
      <c r="Q706" s="324"/>
      <c r="R706" s="324"/>
      <c r="S706" s="324"/>
      <c r="T706" s="324"/>
      <c r="U706" s="324"/>
      <c r="V706" s="324"/>
      <c r="W706" s="324"/>
    </row>
    <row r="707">
      <c r="A707" s="323"/>
      <c r="B707" s="324"/>
      <c r="C707" s="324"/>
      <c r="D707" s="324"/>
      <c r="E707" s="324"/>
      <c r="F707" s="324"/>
      <c r="G707" s="324"/>
      <c r="H707" s="324"/>
      <c r="I707" s="324"/>
      <c r="J707" s="324"/>
      <c r="K707" s="324"/>
      <c r="L707" s="324"/>
      <c r="M707" s="324"/>
      <c r="N707" s="324"/>
      <c r="O707" s="324"/>
      <c r="P707" s="324"/>
      <c r="Q707" s="324"/>
      <c r="R707" s="324"/>
      <c r="S707" s="324"/>
      <c r="T707" s="324"/>
      <c r="U707" s="324"/>
      <c r="V707" s="324"/>
      <c r="W707" s="324"/>
    </row>
    <row r="708">
      <c r="A708" s="323"/>
      <c r="B708" s="324"/>
      <c r="C708" s="324"/>
      <c r="D708" s="324"/>
      <c r="E708" s="324"/>
      <c r="F708" s="324"/>
      <c r="G708" s="324"/>
      <c r="H708" s="324"/>
      <c r="I708" s="324"/>
      <c r="J708" s="324"/>
      <c r="K708" s="324"/>
      <c r="L708" s="324"/>
      <c r="M708" s="324"/>
      <c r="N708" s="324"/>
      <c r="O708" s="324"/>
      <c r="P708" s="324"/>
      <c r="Q708" s="324"/>
      <c r="R708" s="324"/>
      <c r="S708" s="324"/>
      <c r="T708" s="324"/>
      <c r="U708" s="324"/>
      <c r="V708" s="324"/>
      <c r="W708" s="324"/>
    </row>
    <row r="709">
      <c r="A709" s="323"/>
      <c r="B709" s="324"/>
      <c r="C709" s="324"/>
      <c r="D709" s="324"/>
      <c r="E709" s="324"/>
      <c r="F709" s="324"/>
      <c r="G709" s="324"/>
      <c r="H709" s="324"/>
      <c r="I709" s="324"/>
      <c r="J709" s="324"/>
      <c r="K709" s="324"/>
      <c r="L709" s="324"/>
      <c r="M709" s="324"/>
      <c r="N709" s="324"/>
      <c r="O709" s="324"/>
      <c r="P709" s="324"/>
      <c r="Q709" s="324"/>
      <c r="R709" s="324"/>
      <c r="S709" s="324"/>
      <c r="T709" s="324"/>
      <c r="U709" s="324"/>
      <c r="V709" s="324"/>
      <c r="W709" s="324"/>
    </row>
    <row r="710">
      <c r="A710" s="323"/>
      <c r="B710" s="324"/>
      <c r="C710" s="324"/>
      <c r="D710" s="324"/>
      <c r="E710" s="324"/>
      <c r="F710" s="324"/>
      <c r="G710" s="324"/>
      <c r="H710" s="324"/>
      <c r="I710" s="324"/>
      <c r="J710" s="324"/>
      <c r="K710" s="324"/>
      <c r="L710" s="324"/>
      <c r="M710" s="324"/>
      <c r="N710" s="324"/>
      <c r="O710" s="324"/>
      <c r="P710" s="324"/>
      <c r="Q710" s="324"/>
      <c r="R710" s="324"/>
      <c r="S710" s="324"/>
      <c r="T710" s="324"/>
      <c r="U710" s="324"/>
      <c r="V710" s="324"/>
      <c r="W710" s="324"/>
    </row>
    <row r="711">
      <c r="A711" s="323"/>
      <c r="B711" s="324"/>
      <c r="C711" s="324"/>
      <c r="D711" s="324"/>
      <c r="E711" s="324"/>
      <c r="F711" s="324"/>
      <c r="G711" s="324"/>
      <c r="H711" s="324"/>
      <c r="I711" s="324"/>
      <c r="J711" s="324"/>
      <c r="K711" s="324"/>
      <c r="L711" s="324"/>
      <c r="M711" s="324"/>
      <c r="N711" s="324"/>
      <c r="O711" s="324"/>
      <c r="P711" s="324"/>
      <c r="Q711" s="324"/>
      <c r="R711" s="324"/>
      <c r="S711" s="324"/>
      <c r="T711" s="324"/>
      <c r="U711" s="324"/>
      <c r="V711" s="324"/>
      <c r="W711" s="324"/>
    </row>
    <row r="712">
      <c r="A712" s="323"/>
      <c r="B712" s="324"/>
      <c r="C712" s="324"/>
      <c r="D712" s="324"/>
      <c r="E712" s="324"/>
      <c r="F712" s="324"/>
      <c r="G712" s="324"/>
      <c r="H712" s="324"/>
      <c r="I712" s="324"/>
      <c r="J712" s="324"/>
      <c r="K712" s="324"/>
      <c r="L712" s="324"/>
      <c r="M712" s="324"/>
      <c r="N712" s="324"/>
      <c r="O712" s="324"/>
      <c r="P712" s="324"/>
      <c r="Q712" s="324"/>
      <c r="R712" s="324"/>
      <c r="S712" s="324"/>
      <c r="T712" s="324"/>
      <c r="U712" s="324"/>
      <c r="V712" s="324"/>
      <c r="W712" s="324"/>
    </row>
    <row r="713">
      <c r="A713" s="323"/>
      <c r="B713" s="324"/>
      <c r="C713" s="324"/>
      <c r="D713" s="324"/>
      <c r="E713" s="324"/>
      <c r="F713" s="324"/>
      <c r="G713" s="324"/>
      <c r="H713" s="324"/>
      <c r="I713" s="324"/>
      <c r="J713" s="324"/>
      <c r="K713" s="324"/>
      <c r="L713" s="324"/>
      <c r="M713" s="324"/>
      <c r="N713" s="324"/>
      <c r="O713" s="324"/>
      <c r="P713" s="324"/>
      <c r="Q713" s="324"/>
      <c r="R713" s="324"/>
      <c r="S713" s="324"/>
      <c r="T713" s="324"/>
      <c r="U713" s="324"/>
      <c r="V713" s="324"/>
      <c r="W713" s="324"/>
    </row>
    <row r="714">
      <c r="A714" s="323"/>
      <c r="B714" s="324"/>
      <c r="C714" s="324"/>
      <c r="D714" s="324"/>
      <c r="E714" s="324"/>
      <c r="F714" s="324"/>
      <c r="G714" s="324"/>
      <c r="H714" s="324"/>
      <c r="I714" s="324"/>
      <c r="J714" s="324"/>
      <c r="K714" s="324"/>
      <c r="L714" s="324"/>
      <c r="M714" s="324"/>
      <c r="N714" s="324"/>
      <c r="O714" s="324"/>
      <c r="P714" s="324"/>
      <c r="Q714" s="324"/>
      <c r="R714" s="324"/>
      <c r="S714" s="324"/>
      <c r="T714" s="324"/>
      <c r="U714" s="324"/>
      <c r="V714" s="324"/>
      <c r="W714" s="324"/>
    </row>
    <row r="715">
      <c r="A715" s="323"/>
      <c r="B715" s="324"/>
      <c r="C715" s="324"/>
      <c r="D715" s="324"/>
      <c r="E715" s="324"/>
      <c r="F715" s="324"/>
      <c r="G715" s="324"/>
      <c r="H715" s="324"/>
      <c r="I715" s="324"/>
      <c r="J715" s="324"/>
      <c r="K715" s="324"/>
      <c r="L715" s="324"/>
      <c r="M715" s="324"/>
      <c r="N715" s="324"/>
      <c r="O715" s="324"/>
      <c r="P715" s="324"/>
      <c r="Q715" s="324"/>
      <c r="R715" s="324"/>
      <c r="S715" s="324"/>
      <c r="T715" s="324"/>
      <c r="U715" s="324"/>
      <c r="V715" s="324"/>
      <c r="W715" s="324"/>
    </row>
    <row r="716">
      <c r="A716" s="323"/>
      <c r="B716" s="324"/>
      <c r="C716" s="324"/>
      <c r="D716" s="324"/>
      <c r="E716" s="324"/>
      <c r="F716" s="324"/>
      <c r="G716" s="324"/>
      <c r="H716" s="324"/>
      <c r="I716" s="324"/>
      <c r="J716" s="324"/>
      <c r="K716" s="324"/>
      <c r="L716" s="324"/>
      <c r="M716" s="324"/>
      <c r="N716" s="324"/>
      <c r="O716" s="324"/>
      <c r="P716" s="324"/>
      <c r="Q716" s="324"/>
      <c r="R716" s="324"/>
      <c r="S716" s="324"/>
      <c r="T716" s="324"/>
      <c r="U716" s="324"/>
      <c r="V716" s="324"/>
      <c r="W716" s="324"/>
    </row>
    <row r="717">
      <c r="A717" s="323"/>
      <c r="B717" s="324"/>
      <c r="C717" s="324"/>
      <c r="D717" s="324"/>
      <c r="E717" s="324"/>
      <c r="F717" s="324"/>
      <c r="G717" s="324"/>
      <c r="H717" s="324"/>
      <c r="I717" s="324"/>
      <c r="J717" s="324"/>
      <c r="K717" s="324"/>
      <c r="L717" s="324"/>
      <c r="M717" s="324"/>
      <c r="N717" s="324"/>
      <c r="O717" s="324"/>
      <c r="P717" s="324"/>
      <c r="Q717" s="324"/>
      <c r="R717" s="324"/>
      <c r="S717" s="324"/>
      <c r="T717" s="324"/>
      <c r="U717" s="324"/>
      <c r="V717" s="324"/>
      <c r="W717" s="324"/>
    </row>
    <row r="718">
      <c r="A718" s="323"/>
      <c r="B718" s="324"/>
      <c r="C718" s="324"/>
      <c r="D718" s="324"/>
      <c r="E718" s="324"/>
      <c r="F718" s="324"/>
      <c r="G718" s="324"/>
      <c r="H718" s="324"/>
      <c r="I718" s="324"/>
      <c r="J718" s="324"/>
      <c r="K718" s="324"/>
      <c r="L718" s="324"/>
      <c r="M718" s="324"/>
      <c r="N718" s="324"/>
      <c r="O718" s="324"/>
      <c r="P718" s="324"/>
      <c r="Q718" s="324"/>
      <c r="R718" s="324"/>
      <c r="S718" s="324"/>
      <c r="T718" s="324"/>
      <c r="U718" s="324"/>
      <c r="V718" s="324"/>
      <c r="W718" s="324"/>
    </row>
    <row r="719">
      <c r="A719" s="323"/>
      <c r="B719" s="324"/>
      <c r="C719" s="324"/>
      <c r="D719" s="324"/>
      <c r="E719" s="324"/>
      <c r="F719" s="324"/>
      <c r="G719" s="324"/>
      <c r="H719" s="324"/>
      <c r="I719" s="324"/>
      <c r="J719" s="324"/>
      <c r="K719" s="324"/>
      <c r="L719" s="324"/>
      <c r="M719" s="324"/>
      <c r="N719" s="324"/>
      <c r="O719" s="324"/>
      <c r="P719" s="324"/>
      <c r="Q719" s="324"/>
      <c r="R719" s="324"/>
      <c r="S719" s="324"/>
      <c r="T719" s="324"/>
      <c r="U719" s="324"/>
      <c r="V719" s="324"/>
      <c r="W719" s="324"/>
    </row>
    <row r="720">
      <c r="A720" s="323"/>
      <c r="B720" s="324"/>
      <c r="C720" s="324"/>
      <c r="D720" s="324"/>
      <c r="E720" s="324"/>
      <c r="F720" s="324"/>
      <c r="G720" s="324"/>
      <c r="H720" s="324"/>
      <c r="I720" s="324"/>
      <c r="J720" s="324"/>
      <c r="K720" s="324"/>
      <c r="L720" s="324"/>
      <c r="M720" s="324"/>
      <c r="N720" s="324"/>
      <c r="O720" s="324"/>
      <c r="P720" s="324"/>
      <c r="Q720" s="324"/>
      <c r="R720" s="324"/>
      <c r="S720" s="324"/>
      <c r="T720" s="324"/>
      <c r="U720" s="324"/>
      <c r="V720" s="324"/>
      <c r="W720" s="324"/>
    </row>
    <row r="721">
      <c r="A721" s="323"/>
      <c r="B721" s="324"/>
      <c r="C721" s="324"/>
      <c r="D721" s="324"/>
      <c r="E721" s="324"/>
      <c r="F721" s="324"/>
      <c r="G721" s="324"/>
      <c r="H721" s="324"/>
      <c r="I721" s="324"/>
      <c r="J721" s="324"/>
      <c r="K721" s="324"/>
      <c r="L721" s="324"/>
      <c r="M721" s="324"/>
      <c r="N721" s="324"/>
      <c r="O721" s="324"/>
      <c r="P721" s="324"/>
      <c r="Q721" s="324"/>
      <c r="R721" s="324"/>
      <c r="S721" s="324"/>
      <c r="T721" s="324"/>
      <c r="U721" s="324"/>
      <c r="V721" s="324"/>
      <c r="W721" s="324"/>
    </row>
    <row r="722">
      <c r="A722" s="323"/>
      <c r="B722" s="324"/>
      <c r="C722" s="324"/>
      <c r="D722" s="324"/>
      <c r="E722" s="324"/>
      <c r="F722" s="324"/>
      <c r="G722" s="324"/>
      <c r="H722" s="324"/>
      <c r="I722" s="324"/>
      <c r="J722" s="324"/>
      <c r="K722" s="324"/>
      <c r="L722" s="324"/>
      <c r="M722" s="324"/>
      <c r="N722" s="324"/>
      <c r="O722" s="324"/>
      <c r="P722" s="324"/>
      <c r="Q722" s="324"/>
      <c r="R722" s="324"/>
      <c r="S722" s="324"/>
      <c r="T722" s="324"/>
      <c r="U722" s="324"/>
      <c r="V722" s="324"/>
      <c r="W722" s="324"/>
    </row>
    <row r="723">
      <c r="A723" s="323"/>
      <c r="B723" s="324"/>
      <c r="C723" s="324"/>
      <c r="D723" s="324"/>
      <c r="E723" s="324"/>
      <c r="F723" s="324"/>
      <c r="G723" s="324"/>
      <c r="H723" s="324"/>
      <c r="I723" s="324"/>
      <c r="J723" s="324"/>
      <c r="K723" s="324"/>
      <c r="L723" s="324"/>
      <c r="M723" s="324"/>
      <c r="N723" s="324"/>
      <c r="O723" s="324"/>
      <c r="P723" s="324"/>
      <c r="Q723" s="324"/>
      <c r="R723" s="324"/>
      <c r="S723" s="324"/>
      <c r="T723" s="324"/>
      <c r="U723" s="324"/>
      <c r="V723" s="324"/>
      <c r="W723" s="324"/>
    </row>
    <row r="724">
      <c r="A724" s="323"/>
      <c r="B724" s="324"/>
      <c r="C724" s="324"/>
      <c r="D724" s="324"/>
      <c r="E724" s="324"/>
      <c r="F724" s="324"/>
      <c r="G724" s="324"/>
      <c r="H724" s="324"/>
      <c r="I724" s="324"/>
      <c r="J724" s="324"/>
      <c r="K724" s="324"/>
      <c r="L724" s="324"/>
      <c r="M724" s="324"/>
      <c r="N724" s="324"/>
      <c r="O724" s="324"/>
      <c r="P724" s="324"/>
      <c r="Q724" s="324"/>
      <c r="R724" s="324"/>
      <c r="S724" s="324"/>
      <c r="T724" s="324"/>
      <c r="U724" s="324"/>
      <c r="V724" s="324"/>
      <c r="W724" s="324"/>
    </row>
    <row r="725">
      <c r="A725" s="323"/>
      <c r="B725" s="324"/>
      <c r="C725" s="324"/>
      <c r="D725" s="324"/>
      <c r="E725" s="324"/>
      <c r="F725" s="324"/>
      <c r="G725" s="324"/>
      <c r="H725" s="324"/>
      <c r="I725" s="324"/>
      <c r="J725" s="324"/>
      <c r="K725" s="324"/>
      <c r="L725" s="324"/>
      <c r="M725" s="324"/>
      <c r="N725" s="324"/>
      <c r="O725" s="324"/>
      <c r="P725" s="324"/>
      <c r="Q725" s="324"/>
      <c r="R725" s="324"/>
      <c r="S725" s="324"/>
      <c r="T725" s="324"/>
      <c r="U725" s="324"/>
      <c r="V725" s="324"/>
      <c r="W725" s="324"/>
    </row>
    <row r="726">
      <c r="A726" s="323"/>
      <c r="B726" s="324"/>
      <c r="C726" s="324"/>
      <c r="D726" s="324"/>
      <c r="E726" s="324"/>
      <c r="F726" s="324"/>
      <c r="G726" s="324"/>
      <c r="H726" s="324"/>
      <c r="I726" s="324"/>
      <c r="J726" s="324"/>
      <c r="K726" s="324"/>
      <c r="L726" s="324"/>
      <c r="M726" s="324"/>
      <c r="N726" s="324"/>
      <c r="O726" s="324"/>
      <c r="P726" s="324"/>
      <c r="Q726" s="324"/>
      <c r="R726" s="324"/>
      <c r="S726" s="324"/>
      <c r="T726" s="324"/>
      <c r="U726" s="324"/>
      <c r="V726" s="324"/>
      <c r="W726" s="324"/>
    </row>
    <row r="727">
      <c r="A727" s="323"/>
      <c r="B727" s="324"/>
      <c r="C727" s="324"/>
      <c r="D727" s="324"/>
      <c r="E727" s="324"/>
      <c r="F727" s="324"/>
      <c r="G727" s="324"/>
      <c r="H727" s="324"/>
      <c r="I727" s="324"/>
      <c r="J727" s="324"/>
      <c r="K727" s="324"/>
      <c r="L727" s="324"/>
      <c r="M727" s="324"/>
      <c r="N727" s="324"/>
      <c r="O727" s="324"/>
      <c r="P727" s="324"/>
      <c r="Q727" s="324"/>
      <c r="R727" s="324"/>
      <c r="S727" s="324"/>
      <c r="T727" s="324"/>
      <c r="U727" s="324"/>
      <c r="V727" s="324"/>
      <c r="W727" s="324"/>
    </row>
    <row r="728">
      <c r="A728" s="323"/>
      <c r="B728" s="324"/>
      <c r="C728" s="324"/>
      <c r="D728" s="324"/>
      <c r="E728" s="324"/>
      <c r="F728" s="324"/>
      <c r="G728" s="324"/>
      <c r="H728" s="324"/>
      <c r="I728" s="324"/>
      <c r="J728" s="324"/>
      <c r="K728" s="324"/>
      <c r="L728" s="324"/>
      <c r="M728" s="324"/>
      <c r="N728" s="324"/>
      <c r="O728" s="324"/>
      <c r="P728" s="324"/>
      <c r="Q728" s="324"/>
      <c r="R728" s="324"/>
      <c r="S728" s="324"/>
      <c r="T728" s="324"/>
      <c r="U728" s="324"/>
      <c r="V728" s="324"/>
      <c r="W728" s="324"/>
    </row>
    <row r="729">
      <c r="A729" s="323"/>
      <c r="B729" s="324"/>
      <c r="C729" s="324"/>
      <c r="D729" s="324"/>
      <c r="E729" s="324"/>
      <c r="F729" s="324"/>
      <c r="G729" s="324"/>
      <c r="H729" s="324"/>
      <c r="I729" s="324"/>
      <c r="J729" s="324"/>
      <c r="K729" s="324"/>
      <c r="L729" s="324"/>
      <c r="M729" s="324"/>
      <c r="N729" s="324"/>
      <c r="O729" s="324"/>
      <c r="P729" s="324"/>
      <c r="Q729" s="324"/>
      <c r="R729" s="324"/>
      <c r="S729" s="324"/>
      <c r="T729" s="324"/>
      <c r="U729" s="324"/>
      <c r="V729" s="324"/>
      <c r="W729" s="324"/>
    </row>
    <row r="730">
      <c r="A730" s="323"/>
      <c r="B730" s="324"/>
      <c r="C730" s="324"/>
      <c r="D730" s="324"/>
      <c r="E730" s="324"/>
      <c r="F730" s="324"/>
      <c r="G730" s="324"/>
      <c r="H730" s="324"/>
      <c r="I730" s="324"/>
      <c r="J730" s="324"/>
      <c r="K730" s="324"/>
      <c r="L730" s="324"/>
      <c r="M730" s="324"/>
      <c r="N730" s="324"/>
      <c r="O730" s="324"/>
      <c r="P730" s="324"/>
      <c r="Q730" s="324"/>
      <c r="R730" s="324"/>
      <c r="S730" s="324"/>
      <c r="T730" s="324"/>
      <c r="U730" s="324"/>
      <c r="V730" s="324"/>
      <c r="W730" s="324"/>
    </row>
    <row r="731">
      <c r="A731" s="323"/>
      <c r="B731" s="324"/>
      <c r="C731" s="324"/>
      <c r="D731" s="324"/>
      <c r="E731" s="324"/>
      <c r="F731" s="324"/>
      <c r="G731" s="324"/>
      <c r="H731" s="324"/>
      <c r="I731" s="324"/>
      <c r="J731" s="324"/>
      <c r="K731" s="324"/>
      <c r="L731" s="324"/>
      <c r="M731" s="324"/>
      <c r="N731" s="324"/>
      <c r="O731" s="324"/>
      <c r="P731" s="324"/>
      <c r="Q731" s="324"/>
      <c r="R731" s="324"/>
      <c r="S731" s="324"/>
      <c r="T731" s="324"/>
      <c r="U731" s="324"/>
      <c r="V731" s="324"/>
      <c r="W731" s="324"/>
    </row>
    <row r="732">
      <c r="A732" s="323"/>
      <c r="B732" s="324"/>
      <c r="C732" s="324"/>
      <c r="D732" s="324"/>
      <c r="E732" s="324"/>
      <c r="F732" s="324"/>
      <c r="G732" s="324"/>
      <c r="H732" s="324"/>
      <c r="I732" s="324"/>
      <c r="J732" s="324"/>
      <c r="K732" s="324"/>
      <c r="L732" s="324"/>
      <c r="M732" s="324"/>
      <c r="N732" s="324"/>
      <c r="O732" s="324"/>
      <c r="P732" s="324"/>
      <c r="Q732" s="324"/>
      <c r="R732" s="324"/>
      <c r="S732" s="324"/>
      <c r="T732" s="324"/>
      <c r="U732" s="324"/>
      <c r="V732" s="324"/>
      <c r="W732" s="324"/>
    </row>
    <row r="733">
      <c r="A733" s="323"/>
      <c r="B733" s="324"/>
      <c r="C733" s="324"/>
      <c r="D733" s="324"/>
      <c r="E733" s="324"/>
      <c r="F733" s="324"/>
      <c r="G733" s="324"/>
      <c r="H733" s="324"/>
      <c r="I733" s="324"/>
      <c r="J733" s="324"/>
      <c r="K733" s="324"/>
      <c r="L733" s="324"/>
      <c r="M733" s="324"/>
      <c r="N733" s="324"/>
      <c r="O733" s="324"/>
      <c r="P733" s="324"/>
      <c r="Q733" s="324"/>
      <c r="R733" s="324"/>
      <c r="S733" s="324"/>
      <c r="T733" s="324"/>
      <c r="U733" s="324"/>
      <c r="V733" s="324"/>
      <c r="W733" s="324"/>
    </row>
    <row r="734">
      <c r="A734" s="323"/>
      <c r="B734" s="324"/>
      <c r="C734" s="324"/>
      <c r="D734" s="324"/>
      <c r="E734" s="324"/>
      <c r="F734" s="324"/>
      <c r="G734" s="324"/>
      <c r="H734" s="324"/>
      <c r="I734" s="324"/>
      <c r="J734" s="324"/>
      <c r="K734" s="324"/>
      <c r="L734" s="324"/>
      <c r="M734" s="324"/>
      <c r="N734" s="324"/>
      <c r="O734" s="324"/>
      <c r="P734" s="324"/>
      <c r="Q734" s="324"/>
      <c r="R734" s="324"/>
      <c r="S734" s="324"/>
      <c r="T734" s="324"/>
      <c r="U734" s="324"/>
      <c r="V734" s="324"/>
      <c r="W734" s="324"/>
    </row>
    <row r="735">
      <c r="A735" s="323"/>
      <c r="B735" s="324"/>
      <c r="C735" s="324"/>
      <c r="D735" s="324"/>
      <c r="E735" s="324"/>
      <c r="F735" s="324"/>
      <c r="G735" s="324"/>
      <c r="H735" s="324"/>
      <c r="I735" s="324"/>
      <c r="J735" s="324"/>
      <c r="K735" s="324"/>
      <c r="L735" s="324"/>
      <c r="M735" s="324"/>
      <c r="N735" s="324"/>
      <c r="O735" s="324"/>
      <c r="P735" s="324"/>
      <c r="Q735" s="324"/>
      <c r="R735" s="324"/>
      <c r="S735" s="324"/>
      <c r="T735" s="324"/>
      <c r="U735" s="324"/>
      <c r="V735" s="324"/>
      <c r="W735" s="324"/>
    </row>
    <row r="736">
      <c r="A736" s="323"/>
      <c r="B736" s="324"/>
      <c r="C736" s="324"/>
      <c r="D736" s="324"/>
      <c r="E736" s="324"/>
      <c r="F736" s="324"/>
      <c r="G736" s="324"/>
      <c r="H736" s="324"/>
      <c r="I736" s="324"/>
      <c r="J736" s="324"/>
      <c r="K736" s="324"/>
      <c r="L736" s="324"/>
      <c r="M736" s="324"/>
      <c r="N736" s="324"/>
      <c r="O736" s="324"/>
      <c r="P736" s="324"/>
      <c r="Q736" s="324"/>
      <c r="R736" s="324"/>
      <c r="S736" s="324"/>
      <c r="T736" s="324"/>
      <c r="U736" s="324"/>
      <c r="V736" s="324"/>
      <c r="W736" s="324"/>
    </row>
    <row r="737">
      <c r="A737" s="323"/>
      <c r="B737" s="324"/>
      <c r="C737" s="324"/>
      <c r="D737" s="324"/>
      <c r="E737" s="324"/>
      <c r="F737" s="324"/>
      <c r="G737" s="324"/>
      <c r="H737" s="324"/>
      <c r="I737" s="324"/>
      <c r="J737" s="324"/>
      <c r="K737" s="324"/>
      <c r="L737" s="324"/>
      <c r="M737" s="324"/>
      <c r="N737" s="324"/>
      <c r="O737" s="324"/>
      <c r="P737" s="324"/>
      <c r="Q737" s="324"/>
      <c r="R737" s="324"/>
      <c r="S737" s="324"/>
      <c r="T737" s="324"/>
      <c r="U737" s="324"/>
      <c r="V737" s="324"/>
      <c r="W737" s="324"/>
    </row>
    <row r="738">
      <c r="A738" s="323"/>
      <c r="B738" s="324"/>
      <c r="C738" s="324"/>
      <c r="D738" s="324"/>
      <c r="E738" s="324"/>
      <c r="F738" s="324"/>
      <c r="G738" s="324"/>
      <c r="H738" s="324"/>
      <c r="I738" s="324"/>
      <c r="J738" s="324"/>
      <c r="K738" s="324"/>
      <c r="L738" s="324"/>
      <c r="M738" s="324"/>
      <c r="N738" s="324"/>
      <c r="O738" s="324"/>
      <c r="P738" s="324"/>
      <c r="Q738" s="324"/>
      <c r="R738" s="324"/>
      <c r="S738" s="324"/>
      <c r="T738" s="324"/>
      <c r="U738" s="324"/>
      <c r="V738" s="324"/>
      <c r="W738" s="324"/>
    </row>
    <row r="739">
      <c r="A739" s="323"/>
      <c r="B739" s="324"/>
      <c r="C739" s="324"/>
      <c r="D739" s="324"/>
      <c r="E739" s="324"/>
      <c r="F739" s="324"/>
      <c r="G739" s="324"/>
      <c r="H739" s="324"/>
      <c r="I739" s="324"/>
      <c r="J739" s="324"/>
      <c r="K739" s="324"/>
      <c r="L739" s="324"/>
      <c r="M739" s="324"/>
      <c r="N739" s="324"/>
      <c r="O739" s="324"/>
      <c r="P739" s="324"/>
      <c r="Q739" s="324"/>
      <c r="R739" s="324"/>
      <c r="S739" s="324"/>
      <c r="T739" s="324"/>
      <c r="U739" s="324"/>
      <c r="V739" s="324"/>
      <c r="W739" s="324"/>
    </row>
    <row r="740">
      <c r="A740" s="323"/>
      <c r="B740" s="324"/>
      <c r="C740" s="324"/>
      <c r="D740" s="324"/>
      <c r="E740" s="324"/>
      <c r="F740" s="324"/>
      <c r="G740" s="324"/>
      <c r="H740" s="324"/>
      <c r="I740" s="324"/>
      <c r="J740" s="324"/>
      <c r="K740" s="324"/>
      <c r="L740" s="324"/>
      <c r="M740" s="324"/>
      <c r="N740" s="324"/>
      <c r="O740" s="324"/>
      <c r="P740" s="324"/>
      <c r="Q740" s="324"/>
      <c r="R740" s="324"/>
      <c r="S740" s="324"/>
      <c r="T740" s="324"/>
      <c r="U740" s="324"/>
      <c r="V740" s="324"/>
      <c r="W740" s="324"/>
    </row>
    <row r="741">
      <c r="A741" s="323"/>
      <c r="B741" s="324"/>
      <c r="C741" s="324"/>
      <c r="D741" s="324"/>
      <c r="E741" s="324"/>
      <c r="F741" s="324"/>
      <c r="G741" s="324"/>
      <c r="H741" s="324"/>
      <c r="I741" s="324"/>
      <c r="J741" s="324"/>
      <c r="K741" s="324"/>
      <c r="L741" s="324"/>
      <c r="M741" s="324"/>
      <c r="N741" s="324"/>
      <c r="O741" s="324"/>
      <c r="P741" s="324"/>
      <c r="Q741" s="324"/>
      <c r="R741" s="324"/>
      <c r="S741" s="324"/>
      <c r="T741" s="324"/>
      <c r="U741" s="324"/>
      <c r="V741" s="324"/>
      <c r="W741" s="324"/>
    </row>
    <row r="742">
      <c r="A742" s="323"/>
      <c r="B742" s="324"/>
      <c r="C742" s="324"/>
      <c r="D742" s="324"/>
      <c r="E742" s="324"/>
      <c r="F742" s="324"/>
      <c r="G742" s="324"/>
      <c r="H742" s="324"/>
      <c r="I742" s="324"/>
      <c r="J742" s="324"/>
      <c r="K742" s="324"/>
      <c r="L742" s="324"/>
      <c r="M742" s="324"/>
      <c r="N742" s="324"/>
      <c r="O742" s="324"/>
      <c r="P742" s="324"/>
      <c r="Q742" s="324"/>
      <c r="R742" s="324"/>
      <c r="S742" s="324"/>
      <c r="T742" s="324"/>
      <c r="U742" s="324"/>
      <c r="V742" s="324"/>
      <c r="W742" s="324"/>
    </row>
    <row r="743">
      <c r="A743" s="323"/>
      <c r="B743" s="324"/>
      <c r="C743" s="324"/>
      <c r="D743" s="324"/>
      <c r="E743" s="324"/>
      <c r="F743" s="324"/>
      <c r="G743" s="324"/>
      <c r="H743" s="324"/>
      <c r="I743" s="324"/>
      <c r="J743" s="324"/>
      <c r="K743" s="324"/>
      <c r="L743" s="324"/>
      <c r="M743" s="324"/>
      <c r="N743" s="324"/>
      <c r="O743" s="324"/>
      <c r="P743" s="324"/>
      <c r="Q743" s="324"/>
      <c r="R743" s="324"/>
      <c r="S743" s="324"/>
      <c r="T743" s="324"/>
      <c r="U743" s="324"/>
      <c r="V743" s="324"/>
      <c r="W743" s="324"/>
    </row>
    <row r="744">
      <c r="A744" s="323"/>
      <c r="B744" s="324"/>
      <c r="C744" s="324"/>
      <c r="D744" s="324"/>
      <c r="E744" s="324"/>
      <c r="F744" s="324"/>
      <c r="G744" s="324"/>
      <c r="H744" s="324"/>
      <c r="I744" s="324"/>
      <c r="J744" s="324"/>
      <c r="K744" s="324"/>
      <c r="L744" s="324"/>
      <c r="M744" s="324"/>
      <c r="N744" s="324"/>
      <c r="O744" s="324"/>
      <c r="P744" s="324"/>
      <c r="Q744" s="324"/>
      <c r="R744" s="324"/>
      <c r="S744" s="324"/>
      <c r="T744" s="324"/>
      <c r="U744" s="324"/>
      <c r="V744" s="324"/>
      <c r="W744" s="324"/>
    </row>
    <row r="745">
      <c r="A745" s="323"/>
      <c r="B745" s="324"/>
      <c r="C745" s="324"/>
      <c r="D745" s="324"/>
      <c r="E745" s="324"/>
      <c r="F745" s="324"/>
      <c r="G745" s="324"/>
      <c r="H745" s="324"/>
      <c r="I745" s="324"/>
      <c r="J745" s="324"/>
      <c r="K745" s="324"/>
      <c r="L745" s="324"/>
      <c r="M745" s="324"/>
      <c r="N745" s="324"/>
      <c r="O745" s="324"/>
      <c r="P745" s="324"/>
      <c r="Q745" s="324"/>
      <c r="R745" s="324"/>
      <c r="S745" s="324"/>
      <c r="T745" s="324"/>
      <c r="U745" s="324"/>
      <c r="V745" s="324"/>
      <c r="W745" s="324"/>
    </row>
    <row r="746">
      <c r="A746" s="323"/>
      <c r="B746" s="324"/>
      <c r="C746" s="324"/>
      <c r="D746" s="324"/>
      <c r="E746" s="324"/>
      <c r="F746" s="324"/>
      <c r="G746" s="324"/>
      <c r="H746" s="324"/>
      <c r="I746" s="324"/>
      <c r="J746" s="324"/>
      <c r="K746" s="324"/>
      <c r="L746" s="324"/>
      <c r="M746" s="324"/>
      <c r="N746" s="324"/>
      <c r="O746" s="324"/>
      <c r="P746" s="324"/>
      <c r="Q746" s="324"/>
      <c r="R746" s="324"/>
      <c r="S746" s="324"/>
      <c r="T746" s="324"/>
      <c r="U746" s="324"/>
      <c r="V746" s="324"/>
      <c r="W746" s="324"/>
    </row>
    <row r="747">
      <c r="A747" s="323"/>
      <c r="B747" s="324"/>
      <c r="C747" s="324"/>
      <c r="D747" s="324"/>
      <c r="E747" s="324"/>
      <c r="F747" s="324"/>
      <c r="G747" s="324"/>
      <c r="H747" s="324"/>
      <c r="I747" s="324"/>
      <c r="J747" s="324"/>
      <c r="K747" s="324"/>
      <c r="L747" s="324"/>
      <c r="M747" s="324"/>
      <c r="N747" s="324"/>
      <c r="O747" s="324"/>
      <c r="P747" s="324"/>
      <c r="Q747" s="324"/>
      <c r="R747" s="324"/>
      <c r="S747" s="324"/>
      <c r="T747" s="324"/>
      <c r="U747" s="324"/>
      <c r="V747" s="324"/>
      <c r="W747" s="324"/>
    </row>
    <row r="748">
      <c r="A748" s="323"/>
      <c r="B748" s="324"/>
      <c r="C748" s="324"/>
      <c r="D748" s="324"/>
      <c r="E748" s="324"/>
      <c r="F748" s="324"/>
      <c r="G748" s="324"/>
      <c r="H748" s="324"/>
      <c r="I748" s="324"/>
      <c r="J748" s="324"/>
      <c r="K748" s="324"/>
      <c r="L748" s="324"/>
      <c r="M748" s="324"/>
      <c r="N748" s="324"/>
      <c r="O748" s="324"/>
      <c r="P748" s="324"/>
      <c r="Q748" s="324"/>
      <c r="R748" s="324"/>
      <c r="S748" s="324"/>
      <c r="T748" s="324"/>
      <c r="U748" s="324"/>
      <c r="V748" s="324"/>
      <c r="W748" s="324"/>
    </row>
    <row r="749">
      <c r="A749" s="323"/>
      <c r="B749" s="324"/>
      <c r="C749" s="324"/>
      <c r="D749" s="324"/>
      <c r="E749" s="324"/>
      <c r="F749" s="324"/>
      <c r="G749" s="324"/>
      <c r="H749" s="324"/>
      <c r="I749" s="324"/>
      <c r="J749" s="324"/>
      <c r="K749" s="324"/>
      <c r="L749" s="324"/>
      <c r="M749" s="324"/>
      <c r="N749" s="324"/>
      <c r="O749" s="324"/>
      <c r="P749" s="324"/>
      <c r="Q749" s="324"/>
      <c r="R749" s="324"/>
      <c r="S749" s="324"/>
      <c r="T749" s="324"/>
      <c r="U749" s="324"/>
      <c r="V749" s="324"/>
      <c r="W749" s="324"/>
    </row>
    <row r="750">
      <c r="A750" s="323"/>
      <c r="B750" s="324"/>
      <c r="C750" s="324"/>
      <c r="D750" s="324"/>
      <c r="E750" s="324"/>
      <c r="F750" s="324"/>
      <c r="G750" s="324"/>
      <c r="H750" s="324"/>
      <c r="I750" s="324"/>
      <c r="J750" s="324"/>
      <c r="K750" s="324"/>
      <c r="L750" s="324"/>
      <c r="M750" s="324"/>
      <c r="N750" s="324"/>
      <c r="O750" s="324"/>
      <c r="P750" s="324"/>
      <c r="Q750" s="324"/>
      <c r="R750" s="324"/>
      <c r="S750" s="324"/>
      <c r="T750" s="324"/>
      <c r="U750" s="324"/>
      <c r="V750" s="324"/>
      <c r="W750" s="324"/>
    </row>
    <row r="751">
      <c r="A751" s="323"/>
      <c r="B751" s="324"/>
      <c r="C751" s="324"/>
      <c r="D751" s="324"/>
      <c r="E751" s="324"/>
      <c r="F751" s="324"/>
      <c r="G751" s="324"/>
      <c r="H751" s="324"/>
      <c r="I751" s="324"/>
      <c r="J751" s="324"/>
      <c r="K751" s="324"/>
      <c r="L751" s="324"/>
      <c r="M751" s="324"/>
      <c r="N751" s="324"/>
      <c r="O751" s="324"/>
      <c r="P751" s="324"/>
      <c r="Q751" s="324"/>
      <c r="R751" s="324"/>
      <c r="S751" s="324"/>
      <c r="T751" s="324"/>
      <c r="U751" s="324"/>
      <c r="V751" s="324"/>
      <c r="W751" s="324"/>
    </row>
    <row r="752">
      <c r="A752" s="323"/>
      <c r="B752" s="324"/>
      <c r="C752" s="324"/>
      <c r="D752" s="324"/>
      <c r="E752" s="324"/>
      <c r="F752" s="324"/>
      <c r="G752" s="324"/>
      <c r="H752" s="324"/>
      <c r="I752" s="324"/>
      <c r="J752" s="324"/>
      <c r="K752" s="324"/>
      <c r="L752" s="324"/>
      <c r="M752" s="324"/>
      <c r="N752" s="324"/>
      <c r="O752" s="324"/>
      <c r="P752" s="324"/>
      <c r="Q752" s="324"/>
      <c r="R752" s="324"/>
      <c r="S752" s="324"/>
      <c r="T752" s="324"/>
      <c r="U752" s="324"/>
      <c r="V752" s="324"/>
      <c r="W752" s="324"/>
    </row>
    <row r="753">
      <c r="A753" s="323"/>
      <c r="B753" s="324"/>
      <c r="C753" s="324"/>
      <c r="D753" s="324"/>
      <c r="E753" s="324"/>
      <c r="F753" s="324"/>
      <c r="G753" s="324"/>
      <c r="H753" s="324"/>
      <c r="I753" s="324"/>
      <c r="J753" s="324"/>
      <c r="K753" s="324"/>
      <c r="L753" s="324"/>
      <c r="M753" s="324"/>
      <c r="N753" s="324"/>
      <c r="O753" s="324"/>
      <c r="P753" s="324"/>
      <c r="Q753" s="324"/>
      <c r="R753" s="324"/>
      <c r="S753" s="324"/>
      <c r="T753" s="324"/>
      <c r="U753" s="324"/>
      <c r="V753" s="324"/>
      <c r="W753" s="324"/>
    </row>
    <row r="754">
      <c r="A754" s="323"/>
      <c r="B754" s="324"/>
      <c r="C754" s="324"/>
      <c r="D754" s="324"/>
      <c r="E754" s="324"/>
      <c r="F754" s="324"/>
      <c r="G754" s="324"/>
      <c r="H754" s="324"/>
      <c r="I754" s="324"/>
      <c r="J754" s="324"/>
      <c r="K754" s="324"/>
      <c r="L754" s="324"/>
      <c r="M754" s="324"/>
      <c r="N754" s="324"/>
      <c r="O754" s="324"/>
      <c r="P754" s="324"/>
      <c r="Q754" s="324"/>
      <c r="R754" s="324"/>
      <c r="S754" s="324"/>
      <c r="T754" s="324"/>
      <c r="U754" s="324"/>
      <c r="V754" s="324"/>
      <c r="W754" s="324"/>
    </row>
    <row r="755">
      <c r="A755" s="323"/>
      <c r="B755" s="324"/>
      <c r="C755" s="324"/>
      <c r="D755" s="324"/>
      <c r="E755" s="324"/>
      <c r="F755" s="324"/>
      <c r="G755" s="324"/>
      <c r="H755" s="324"/>
      <c r="I755" s="324"/>
      <c r="J755" s="324"/>
      <c r="K755" s="324"/>
      <c r="L755" s="324"/>
      <c r="M755" s="324"/>
      <c r="N755" s="324"/>
      <c r="O755" s="324"/>
      <c r="P755" s="324"/>
      <c r="Q755" s="324"/>
      <c r="R755" s="324"/>
      <c r="S755" s="324"/>
      <c r="T755" s="324"/>
      <c r="U755" s="324"/>
      <c r="V755" s="324"/>
      <c r="W755" s="324"/>
    </row>
    <row r="756">
      <c r="A756" s="323"/>
      <c r="B756" s="324"/>
      <c r="C756" s="324"/>
      <c r="D756" s="324"/>
      <c r="E756" s="324"/>
      <c r="F756" s="324"/>
      <c r="G756" s="324"/>
      <c r="H756" s="324"/>
      <c r="I756" s="324"/>
      <c r="J756" s="324"/>
      <c r="K756" s="324"/>
      <c r="L756" s="324"/>
      <c r="M756" s="324"/>
      <c r="N756" s="324"/>
      <c r="O756" s="324"/>
      <c r="P756" s="324"/>
      <c r="Q756" s="324"/>
      <c r="R756" s="324"/>
      <c r="S756" s="324"/>
      <c r="T756" s="324"/>
      <c r="U756" s="324"/>
      <c r="V756" s="324"/>
      <c r="W756" s="324"/>
    </row>
    <row r="757">
      <c r="A757" s="323"/>
      <c r="B757" s="324"/>
      <c r="C757" s="324"/>
      <c r="D757" s="324"/>
      <c r="E757" s="324"/>
      <c r="F757" s="324"/>
      <c r="G757" s="324"/>
      <c r="H757" s="324"/>
      <c r="I757" s="324"/>
      <c r="J757" s="324"/>
      <c r="K757" s="324"/>
      <c r="L757" s="324"/>
      <c r="M757" s="324"/>
      <c r="N757" s="324"/>
      <c r="O757" s="324"/>
      <c r="P757" s="324"/>
      <c r="Q757" s="324"/>
      <c r="R757" s="324"/>
      <c r="S757" s="324"/>
      <c r="T757" s="324"/>
      <c r="U757" s="324"/>
      <c r="V757" s="324"/>
      <c r="W757" s="324"/>
    </row>
    <row r="758">
      <c r="A758" s="323"/>
      <c r="B758" s="324"/>
      <c r="C758" s="324"/>
      <c r="D758" s="324"/>
      <c r="E758" s="324"/>
      <c r="F758" s="324"/>
      <c r="G758" s="324"/>
      <c r="H758" s="324"/>
      <c r="I758" s="324"/>
      <c r="J758" s="324"/>
      <c r="K758" s="324"/>
      <c r="L758" s="324"/>
      <c r="M758" s="324"/>
      <c r="N758" s="324"/>
      <c r="O758" s="324"/>
      <c r="P758" s="324"/>
      <c r="Q758" s="324"/>
      <c r="R758" s="324"/>
      <c r="S758" s="324"/>
      <c r="T758" s="324"/>
      <c r="U758" s="324"/>
      <c r="V758" s="324"/>
      <c r="W758" s="324"/>
    </row>
    <row r="759">
      <c r="A759" s="323"/>
      <c r="B759" s="324"/>
      <c r="C759" s="324"/>
      <c r="D759" s="324"/>
      <c r="E759" s="324"/>
      <c r="F759" s="324"/>
      <c r="G759" s="324"/>
      <c r="H759" s="324"/>
      <c r="I759" s="324"/>
      <c r="J759" s="324"/>
      <c r="K759" s="324"/>
      <c r="L759" s="324"/>
      <c r="M759" s="324"/>
      <c r="N759" s="324"/>
      <c r="O759" s="324"/>
      <c r="P759" s="324"/>
      <c r="Q759" s="324"/>
      <c r="R759" s="324"/>
      <c r="S759" s="324"/>
      <c r="T759" s="324"/>
      <c r="U759" s="324"/>
      <c r="V759" s="324"/>
      <c r="W759" s="324"/>
    </row>
    <row r="760">
      <c r="A760" s="323"/>
      <c r="B760" s="324"/>
      <c r="C760" s="324"/>
      <c r="D760" s="324"/>
      <c r="E760" s="324"/>
      <c r="F760" s="324"/>
      <c r="G760" s="324"/>
      <c r="H760" s="324"/>
      <c r="I760" s="324"/>
      <c r="J760" s="324"/>
      <c r="K760" s="324"/>
      <c r="L760" s="324"/>
      <c r="M760" s="324"/>
      <c r="N760" s="324"/>
      <c r="O760" s="324"/>
      <c r="P760" s="324"/>
      <c r="Q760" s="324"/>
      <c r="R760" s="324"/>
      <c r="S760" s="324"/>
      <c r="T760" s="324"/>
      <c r="U760" s="324"/>
      <c r="V760" s="324"/>
      <c r="W760" s="324"/>
    </row>
    <row r="761">
      <c r="A761" s="323"/>
      <c r="B761" s="324"/>
      <c r="C761" s="324"/>
      <c r="D761" s="324"/>
      <c r="E761" s="324"/>
      <c r="F761" s="324"/>
      <c r="G761" s="324"/>
      <c r="H761" s="324"/>
      <c r="I761" s="324"/>
      <c r="J761" s="324"/>
      <c r="K761" s="324"/>
      <c r="L761" s="324"/>
      <c r="M761" s="324"/>
      <c r="N761" s="324"/>
      <c r="O761" s="324"/>
      <c r="P761" s="324"/>
      <c r="Q761" s="324"/>
      <c r="R761" s="324"/>
      <c r="S761" s="324"/>
      <c r="T761" s="324"/>
      <c r="U761" s="324"/>
      <c r="V761" s="324"/>
      <c r="W761" s="324"/>
    </row>
    <row r="762">
      <c r="A762" s="323"/>
      <c r="B762" s="324"/>
      <c r="C762" s="324"/>
      <c r="D762" s="324"/>
      <c r="E762" s="324"/>
      <c r="F762" s="324"/>
      <c r="G762" s="324"/>
      <c r="H762" s="324"/>
      <c r="I762" s="324"/>
      <c r="J762" s="324"/>
      <c r="K762" s="324"/>
      <c r="L762" s="324"/>
      <c r="M762" s="324"/>
      <c r="N762" s="324"/>
      <c r="O762" s="324"/>
      <c r="P762" s="324"/>
      <c r="Q762" s="324"/>
      <c r="R762" s="324"/>
      <c r="S762" s="324"/>
      <c r="T762" s="324"/>
      <c r="U762" s="324"/>
      <c r="V762" s="324"/>
      <c r="W762" s="324"/>
    </row>
    <row r="763">
      <c r="A763" s="323"/>
      <c r="B763" s="324"/>
      <c r="C763" s="324"/>
      <c r="D763" s="324"/>
      <c r="E763" s="324"/>
      <c r="F763" s="324"/>
      <c r="G763" s="324"/>
      <c r="H763" s="324"/>
      <c r="I763" s="324"/>
      <c r="J763" s="324"/>
      <c r="K763" s="324"/>
      <c r="L763" s="324"/>
      <c r="M763" s="324"/>
      <c r="N763" s="324"/>
      <c r="O763" s="324"/>
      <c r="P763" s="324"/>
      <c r="Q763" s="324"/>
      <c r="R763" s="324"/>
      <c r="S763" s="324"/>
      <c r="T763" s="324"/>
      <c r="U763" s="324"/>
      <c r="V763" s="324"/>
      <c r="W763" s="324"/>
    </row>
    <row r="764">
      <c r="A764" s="323"/>
      <c r="B764" s="324"/>
      <c r="C764" s="324"/>
      <c r="D764" s="324"/>
      <c r="E764" s="324"/>
      <c r="F764" s="324"/>
      <c r="G764" s="324"/>
      <c r="H764" s="324"/>
      <c r="I764" s="324"/>
      <c r="J764" s="324"/>
      <c r="K764" s="324"/>
      <c r="L764" s="324"/>
      <c r="M764" s="324"/>
      <c r="N764" s="324"/>
      <c r="O764" s="324"/>
      <c r="P764" s="324"/>
      <c r="Q764" s="324"/>
      <c r="R764" s="324"/>
      <c r="S764" s="324"/>
      <c r="T764" s="324"/>
      <c r="U764" s="324"/>
      <c r="V764" s="324"/>
      <c r="W764" s="324"/>
    </row>
    <row r="765">
      <c r="A765" s="323"/>
      <c r="B765" s="324"/>
      <c r="C765" s="324"/>
      <c r="D765" s="324"/>
      <c r="E765" s="324"/>
      <c r="F765" s="324"/>
      <c r="G765" s="324"/>
      <c r="H765" s="324"/>
      <c r="I765" s="324"/>
      <c r="J765" s="324"/>
      <c r="K765" s="324"/>
      <c r="L765" s="324"/>
      <c r="M765" s="324"/>
      <c r="N765" s="324"/>
      <c r="O765" s="324"/>
      <c r="P765" s="324"/>
      <c r="Q765" s="324"/>
      <c r="R765" s="324"/>
      <c r="S765" s="324"/>
      <c r="T765" s="324"/>
      <c r="U765" s="324"/>
      <c r="V765" s="324"/>
      <c r="W765" s="324"/>
    </row>
    <row r="766">
      <c r="A766" s="323"/>
      <c r="B766" s="324"/>
      <c r="C766" s="324"/>
      <c r="D766" s="324"/>
      <c r="E766" s="324"/>
      <c r="F766" s="324"/>
      <c r="G766" s="324"/>
      <c r="H766" s="324"/>
      <c r="I766" s="324"/>
      <c r="J766" s="324"/>
      <c r="K766" s="324"/>
      <c r="L766" s="324"/>
      <c r="M766" s="324"/>
      <c r="N766" s="324"/>
      <c r="O766" s="324"/>
      <c r="P766" s="324"/>
      <c r="Q766" s="324"/>
      <c r="R766" s="324"/>
      <c r="S766" s="324"/>
      <c r="T766" s="324"/>
      <c r="U766" s="324"/>
      <c r="V766" s="324"/>
      <c r="W766" s="324"/>
    </row>
    <row r="767">
      <c r="A767" s="323"/>
      <c r="B767" s="324"/>
      <c r="C767" s="324"/>
      <c r="D767" s="324"/>
      <c r="E767" s="324"/>
      <c r="F767" s="324"/>
      <c r="G767" s="324"/>
      <c r="H767" s="324"/>
      <c r="I767" s="324"/>
      <c r="J767" s="324"/>
      <c r="K767" s="324"/>
      <c r="L767" s="324"/>
      <c r="M767" s="324"/>
      <c r="N767" s="324"/>
      <c r="O767" s="324"/>
      <c r="P767" s="324"/>
      <c r="Q767" s="324"/>
      <c r="R767" s="324"/>
      <c r="S767" s="324"/>
      <c r="T767" s="324"/>
      <c r="U767" s="324"/>
      <c r="V767" s="324"/>
      <c r="W767" s="324"/>
    </row>
    <row r="768">
      <c r="A768" s="323"/>
      <c r="B768" s="324"/>
      <c r="C768" s="324"/>
      <c r="D768" s="324"/>
      <c r="E768" s="324"/>
      <c r="F768" s="324"/>
      <c r="G768" s="324"/>
      <c r="H768" s="324"/>
      <c r="I768" s="324"/>
      <c r="J768" s="324"/>
      <c r="K768" s="324"/>
      <c r="L768" s="324"/>
      <c r="M768" s="324"/>
      <c r="N768" s="324"/>
      <c r="O768" s="324"/>
      <c r="P768" s="324"/>
      <c r="Q768" s="324"/>
      <c r="R768" s="324"/>
      <c r="S768" s="324"/>
      <c r="T768" s="324"/>
      <c r="U768" s="324"/>
      <c r="V768" s="324"/>
      <c r="W768" s="324"/>
    </row>
    <row r="769">
      <c r="A769" s="323"/>
      <c r="B769" s="324"/>
      <c r="C769" s="324"/>
      <c r="D769" s="324"/>
      <c r="E769" s="324"/>
      <c r="F769" s="324"/>
      <c r="G769" s="324"/>
      <c r="H769" s="324"/>
      <c r="I769" s="324"/>
      <c r="J769" s="324"/>
      <c r="K769" s="324"/>
      <c r="L769" s="324"/>
      <c r="M769" s="324"/>
      <c r="N769" s="324"/>
      <c r="O769" s="324"/>
      <c r="P769" s="324"/>
      <c r="Q769" s="324"/>
      <c r="R769" s="324"/>
      <c r="S769" s="324"/>
      <c r="T769" s="324"/>
      <c r="U769" s="324"/>
      <c r="V769" s="324"/>
      <c r="W769" s="324"/>
    </row>
    <row r="770">
      <c r="A770" s="323"/>
      <c r="B770" s="324"/>
      <c r="C770" s="324"/>
      <c r="D770" s="324"/>
      <c r="E770" s="324"/>
      <c r="F770" s="324"/>
      <c r="G770" s="324"/>
      <c r="H770" s="324"/>
      <c r="I770" s="324"/>
      <c r="J770" s="324"/>
      <c r="K770" s="324"/>
      <c r="L770" s="324"/>
      <c r="M770" s="324"/>
      <c r="N770" s="324"/>
      <c r="O770" s="324"/>
      <c r="P770" s="324"/>
      <c r="Q770" s="324"/>
      <c r="R770" s="324"/>
      <c r="S770" s="324"/>
      <c r="T770" s="324"/>
      <c r="U770" s="324"/>
      <c r="V770" s="324"/>
      <c r="W770" s="324"/>
    </row>
    <row r="771">
      <c r="A771" s="323"/>
      <c r="B771" s="324"/>
      <c r="C771" s="324"/>
      <c r="D771" s="324"/>
      <c r="E771" s="324"/>
      <c r="F771" s="324"/>
      <c r="G771" s="324"/>
      <c r="H771" s="324"/>
      <c r="I771" s="324"/>
      <c r="J771" s="324"/>
      <c r="K771" s="324"/>
      <c r="L771" s="324"/>
      <c r="M771" s="324"/>
      <c r="N771" s="324"/>
      <c r="O771" s="324"/>
      <c r="P771" s="324"/>
      <c r="Q771" s="324"/>
      <c r="R771" s="324"/>
      <c r="S771" s="324"/>
      <c r="T771" s="324"/>
      <c r="U771" s="324"/>
      <c r="V771" s="324"/>
      <c r="W771" s="324"/>
    </row>
    <row r="772">
      <c r="A772" s="323"/>
      <c r="B772" s="324"/>
      <c r="C772" s="324"/>
      <c r="D772" s="324"/>
      <c r="E772" s="324"/>
      <c r="F772" s="324"/>
      <c r="G772" s="324"/>
      <c r="H772" s="324"/>
      <c r="I772" s="324"/>
      <c r="J772" s="324"/>
      <c r="K772" s="324"/>
      <c r="L772" s="324"/>
      <c r="M772" s="324"/>
      <c r="N772" s="324"/>
      <c r="O772" s="324"/>
      <c r="P772" s="324"/>
      <c r="Q772" s="324"/>
      <c r="R772" s="324"/>
      <c r="S772" s="324"/>
      <c r="T772" s="324"/>
      <c r="U772" s="324"/>
      <c r="V772" s="324"/>
      <c r="W772" s="324"/>
    </row>
    <row r="773">
      <c r="A773" s="323"/>
      <c r="B773" s="324"/>
      <c r="C773" s="324"/>
      <c r="D773" s="324"/>
      <c r="E773" s="324"/>
      <c r="F773" s="324"/>
      <c r="G773" s="324"/>
      <c r="H773" s="324"/>
      <c r="I773" s="324"/>
      <c r="J773" s="324"/>
      <c r="K773" s="324"/>
      <c r="L773" s="324"/>
      <c r="M773" s="324"/>
      <c r="N773" s="324"/>
      <c r="O773" s="324"/>
      <c r="P773" s="324"/>
      <c r="Q773" s="324"/>
      <c r="R773" s="324"/>
      <c r="S773" s="324"/>
      <c r="T773" s="324"/>
      <c r="U773" s="324"/>
      <c r="V773" s="324"/>
      <c r="W773" s="324"/>
    </row>
    <row r="774">
      <c r="A774" s="323"/>
      <c r="B774" s="324"/>
      <c r="C774" s="324"/>
      <c r="D774" s="324"/>
      <c r="E774" s="324"/>
      <c r="F774" s="324"/>
      <c r="G774" s="324"/>
      <c r="H774" s="324"/>
      <c r="I774" s="324"/>
      <c r="J774" s="324"/>
      <c r="K774" s="324"/>
      <c r="L774" s="324"/>
      <c r="M774" s="324"/>
      <c r="N774" s="324"/>
      <c r="O774" s="324"/>
      <c r="P774" s="324"/>
      <c r="Q774" s="324"/>
      <c r="R774" s="324"/>
      <c r="S774" s="324"/>
      <c r="T774" s="324"/>
      <c r="U774" s="324"/>
      <c r="V774" s="324"/>
      <c r="W774" s="324"/>
    </row>
    <row r="775">
      <c r="A775" s="323"/>
      <c r="B775" s="324"/>
      <c r="C775" s="324"/>
      <c r="D775" s="324"/>
      <c r="E775" s="324"/>
      <c r="F775" s="324"/>
      <c r="G775" s="324"/>
      <c r="H775" s="324"/>
      <c r="I775" s="324"/>
      <c r="J775" s="324"/>
      <c r="K775" s="324"/>
      <c r="L775" s="324"/>
      <c r="M775" s="324"/>
      <c r="N775" s="324"/>
      <c r="O775" s="324"/>
      <c r="P775" s="324"/>
      <c r="Q775" s="324"/>
      <c r="R775" s="324"/>
      <c r="S775" s="324"/>
      <c r="T775" s="324"/>
      <c r="U775" s="324"/>
      <c r="V775" s="324"/>
      <c r="W775" s="324"/>
    </row>
    <row r="776">
      <c r="A776" s="323"/>
      <c r="B776" s="324"/>
      <c r="C776" s="324"/>
      <c r="D776" s="324"/>
      <c r="E776" s="324"/>
      <c r="F776" s="324"/>
      <c r="G776" s="324"/>
      <c r="H776" s="324"/>
      <c r="I776" s="324"/>
      <c r="J776" s="324"/>
      <c r="K776" s="324"/>
      <c r="L776" s="324"/>
      <c r="M776" s="324"/>
      <c r="N776" s="324"/>
      <c r="O776" s="324"/>
      <c r="P776" s="324"/>
      <c r="Q776" s="324"/>
      <c r="R776" s="324"/>
      <c r="S776" s="324"/>
      <c r="T776" s="324"/>
      <c r="U776" s="324"/>
      <c r="V776" s="324"/>
      <c r="W776" s="324"/>
    </row>
    <row r="777">
      <c r="A777" s="323"/>
      <c r="B777" s="324"/>
      <c r="C777" s="324"/>
      <c r="D777" s="324"/>
      <c r="E777" s="324"/>
      <c r="F777" s="324"/>
      <c r="G777" s="324"/>
      <c r="H777" s="324"/>
      <c r="I777" s="324"/>
      <c r="J777" s="324"/>
      <c r="K777" s="324"/>
      <c r="L777" s="324"/>
      <c r="M777" s="324"/>
      <c r="N777" s="324"/>
      <c r="O777" s="324"/>
      <c r="P777" s="324"/>
      <c r="Q777" s="324"/>
      <c r="R777" s="324"/>
      <c r="S777" s="324"/>
      <c r="T777" s="324"/>
      <c r="U777" s="324"/>
      <c r="V777" s="324"/>
      <c r="W777" s="324"/>
    </row>
    <row r="778">
      <c r="A778" s="323"/>
      <c r="B778" s="324"/>
      <c r="C778" s="324"/>
      <c r="D778" s="324"/>
      <c r="E778" s="324"/>
      <c r="F778" s="324"/>
      <c r="G778" s="324"/>
      <c r="H778" s="324"/>
      <c r="I778" s="324"/>
      <c r="J778" s="324"/>
      <c r="K778" s="324"/>
      <c r="L778" s="324"/>
      <c r="M778" s="324"/>
      <c r="N778" s="324"/>
      <c r="O778" s="324"/>
      <c r="P778" s="324"/>
      <c r="Q778" s="324"/>
      <c r="R778" s="324"/>
      <c r="S778" s="324"/>
      <c r="T778" s="324"/>
      <c r="U778" s="324"/>
      <c r="V778" s="324"/>
      <c r="W778" s="324"/>
    </row>
    <row r="779">
      <c r="A779" s="323"/>
      <c r="B779" s="324"/>
      <c r="C779" s="324"/>
      <c r="D779" s="324"/>
      <c r="E779" s="324"/>
      <c r="F779" s="324"/>
      <c r="G779" s="324"/>
      <c r="H779" s="324"/>
      <c r="I779" s="324"/>
      <c r="J779" s="324"/>
      <c r="K779" s="324"/>
      <c r="L779" s="324"/>
      <c r="M779" s="324"/>
      <c r="N779" s="324"/>
      <c r="O779" s="324"/>
      <c r="P779" s="324"/>
      <c r="Q779" s="324"/>
      <c r="R779" s="324"/>
      <c r="S779" s="324"/>
      <c r="T779" s="324"/>
      <c r="U779" s="324"/>
      <c r="V779" s="324"/>
      <c r="W779" s="324"/>
    </row>
    <row r="780">
      <c r="A780" s="323"/>
      <c r="B780" s="324"/>
      <c r="C780" s="324"/>
      <c r="D780" s="324"/>
      <c r="E780" s="324"/>
      <c r="F780" s="324"/>
      <c r="G780" s="324"/>
      <c r="H780" s="324"/>
      <c r="I780" s="324"/>
      <c r="J780" s="324"/>
      <c r="K780" s="324"/>
      <c r="L780" s="324"/>
      <c r="M780" s="324"/>
      <c r="N780" s="324"/>
      <c r="O780" s="324"/>
      <c r="P780" s="324"/>
      <c r="Q780" s="324"/>
      <c r="R780" s="324"/>
      <c r="S780" s="324"/>
      <c r="T780" s="324"/>
      <c r="U780" s="324"/>
      <c r="V780" s="324"/>
      <c r="W780" s="324"/>
    </row>
    <row r="781">
      <c r="A781" s="323"/>
      <c r="B781" s="324"/>
      <c r="C781" s="324"/>
      <c r="D781" s="324"/>
      <c r="E781" s="324"/>
      <c r="F781" s="324"/>
      <c r="G781" s="324"/>
      <c r="H781" s="324"/>
      <c r="I781" s="324"/>
      <c r="J781" s="324"/>
      <c r="K781" s="324"/>
      <c r="L781" s="324"/>
      <c r="M781" s="324"/>
      <c r="N781" s="324"/>
      <c r="O781" s="324"/>
      <c r="P781" s="324"/>
      <c r="Q781" s="324"/>
      <c r="R781" s="324"/>
      <c r="S781" s="324"/>
      <c r="T781" s="324"/>
      <c r="U781" s="324"/>
      <c r="V781" s="324"/>
      <c r="W781" s="324"/>
    </row>
    <row r="782">
      <c r="A782" s="323"/>
      <c r="B782" s="324"/>
      <c r="C782" s="324"/>
      <c r="D782" s="324"/>
      <c r="E782" s="324"/>
      <c r="F782" s="324"/>
      <c r="G782" s="324"/>
      <c r="H782" s="324"/>
      <c r="I782" s="324"/>
      <c r="J782" s="324"/>
      <c r="K782" s="324"/>
      <c r="L782" s="324"/>
      <c r="M782" s="324"/>
      <c r="N782" s="324"/>
      <c r="O782" s="324"/>
      <c r="P782" s="324"/>
      <c r="Q782" s="324"/>
      <c r="R782" s="324"/>
      <c r="S782" s="324"/>
      <c r="T782" s="324"/>
      <c r="U782" s="324"/>
      <c r="V782" s="324"/>
      <c r="W782" s="324"/>
    </row>
    <row r="783">
      <c r="A783" s="323"/>
      <c r="B783" s="324"/>
      <c r="C783" s="324"/>
      <c r="D783" s="324"/>
      <c r="E783" s="324"/>
      <c r="F783" s="324"/>
      <c r="G783" s="324"/>
      <c r="H783" s="324"/>
      <c r="I783" s="324"/>
      <c r="J783" s="324"/>
      <c r="K783" s="324"/>
      <c r="L783" s="324"/>
      <c r="M783" s="324"/>
      <c r="N783" s="324"/>
      <c r="O783" s="324"/>
      <c r="P783" s="324"/>
      <c r="Q783" s="324"/>
      <c r="R783" s="324"/>
      <c r="S783" s="324"/>
      <c r="T783" s="324"/>
      <c r="U783" s="324"/>
      <c r="V783" s="324"/>
      <c r="W783" s="324"/>
    </row>
    <row r="784">
      <c r="A784" s="323"/>
      <c r="B784" s="324"/>
      <c r="C784" s="324"/>
      <c r="D784" s="324"/>
      <c r="E784" s="324"/>
      <c r="F784" s="324"/>
      <c r="G784" s="324"/>
      <c r="H784" s="324"/>
      <c r="I784" s="324"/>
      <c r="J784" s="324"/>
      <c r="K784" s="324"/>
      <c r="L784" s="324"/>
      <c r="M784" s="324"/>
      <c r="N784" s="324"/>
      <c r="O784" s="324"/>
      <c r="P784" s="324"/>
      <c r="Q784" s="324"/>
      <c r="R784" s="324"/>
      <c r="S784" s="324"/>
      <c r="T784" s="324"/>
      <c r="U784" s="324"/>
      <c r="V784" s="324"/>
      <c r="W784" s="324"/>
    </row>
    <row r="785">
      <c r="A785" s="323"/>
      <c r="B785" s="324"/>
      <c r="C785" s="324"/>
      <c r="D785" s="324"/>
      <c r="E785" s="324"/>
      <c r="F785" s="324"/>
      <c r="G785" s="324"/>
      <c r="H785" s="324"/>
      <c r="I785" s="324"/>
      <c r="J785" s="324"/>
      <c r="K785" s="324"/>
      <c r="L785" s="324"/>
      <c r="M785" s="324"/>
      <c r="N785" s="324"/>
      <c r="O785" s="324"/>
      <c r="P785" s="324"/>
      <c r="Q785" s="324"/>
      <c r="R785" s="324"/>
      <c r="S785" s="324"/>
      <c r="T785" s="324"/>
      <c r="U785" s="324"/>
      <c r="V785" s="324"/>
      <c r="W785" s="324"/>
    </row>
    <row r="786">
      <c r="A786" s="323"/>
      <c r="B786" s="324"/>
      <c r="C786" s="324"/>
      <c r="D786" s="324"/>
      <c r="E786" s="324"/>
      <c r="F786" s="324"/>
      <c r="G786" s="324"/>
      <c r="H786" s="324"/>
      <c r="I786" s="324"/>
      <c r="J786" s="324"/>
      <c r="K786" s="324"/>
      <c r="L786" s="324"/>
      <c r="M786" s="324"/>
      <c r="N786" s="324"/>
      <c r="O786" s="324"/>
      <c r="P786" s="324"/>
      <c r="Q786" s="324"/>
      <c r="R786" s="324"/>
      <c r="S786" s="324"/>
      <c r="T786" s="324"/>
      <c r="U786" s="324"/>
      <c r="V786" s="324"/>
      <c r="W786" s="324"/>
    </row>
    <row r="787">
      <c r="A787" s="323"/>
      <c r="B787" s="324"/>
      <c r="C787" s="324"/>
      <c r="D787" s="324"/>
      <c r="E787" s="324"/>
      <c r="F787" s="324"/>
      <c r="G787" s="324"/>
      <c r="H787" s="324"/>
      <c r="I787" s="324"/>
      <c r="J787" s="324"/>
      <c r="K787" s="324"/>
      <c r="L787" s="324"/>
      <c r="M787" s="324"/>
      <c r="N787" s="324"/>
      <c r="O787" s="324"/>
      <c r="P787" s="324"/>
      <c r="Q787" s="324"/>
      <c r="R787" s="324"/>
      <c r="S787" s="324"/>
      <c r="T787" s="324"/>
      <c r="U787" s="324"/>
      <c r="V787" s="324"/>
      <c r="W787" s="324"/>
    </row>
    <row r="788">
      <c r="A788" s="323"/>
      <c r="B788" s="324"/>
      <c r="C788" s="324"/>
      <c r="D788" s="324"/>
      <c r="E788" s="324"/>
      <c r="F788" s="324"/>
      <c r="G788" s="324"/>
      <c r="H788" s="324"/>
      <c r="I788" s="324"/>
      <c r="J788" s="324"/>
      <c r="K788" s="324"/>
      <c r="L788" s="324"/>
      <c r="M788" s="324"/>
      <c r="N788" s="324"/>
      <c r="O788" s="324"/>
      <c r="P788" s="324"/>
      <c r="Q788" s="324"/>
      <c r="R788" s="324"/>
      <c r="S788" s="324"/>
      <c r="T788" s="324"/>
      <c r="U788" s="324"/>
      <c r="V788" s="324"/>
      <c r="W788" s="324"/>
    </row>
    <row r="789">
      <c r="A789" s="323"/>
      <c r="B789" s="324"/>
      <c r="C789" s="324"/>
      <c r="D789" s="324"/>
      <c r="E789" s="324"/>
      <c r="F789" s="324"/>
      <c r="G789" s="324"/>
      <c r="H789" s="324"/>
      <c r="I789" s="324"/>
      <c r="J789" s="324"/>
      <c r="K789" s="324"/>
      <c r="L789" s="324"/>
      <c r="M789" s="324"/>
      <c r="N789" s="324"/>
      <c r="O789" s="324"/>
      <c r="P789" s="324"/>
      <c r="Q789" s="324"/>
      <c r="R789" s="324"/>
      <c r="S789" s="324"/>
      <c r="T789" s="324"/>
      <c r="U789" s="324"/>
      <c r="V789" s="324"/>
      <c r="W789" s="324"/>
    </row>
    <row r="790">
      <c r="A790" s="323"/>
      <c r="B790" s="324"/>
      <c r="C790" s="324"/>
      <c r="D790" s="324"/>
      <c r="E790" s="324"/>
      <c r="F790" s="324"/>
      <c r="G790" s="324"/>
      <c r="H790" s="324"/>
      <c r="I790" s="324"/>
      <c r="J790" s="324"/>
      <c r="K790" s="324"/>
      <c r="L790" s="324"/>
      <c r="M790" s="324"/>
      <c r="N790" s="324"/>
      <c r="O790" s="324"/>
      <c r="P790" s="324"/>
      <c r="Q790" s="324"/>
      <c r="R790" s="324"/>
      <c r="S790" s="324"/>
      <c r="T790" s="324"/>
      <c r="U790" s="324"/>
      <c r="V790" s="324"/>
      <c r="W790" s="324"/>
    </row>
    <row r="791">
      <c r="A791" s="323"/>
      <c r="B791" s="324"/>
      <c r="C791" s="324"/>
      <c r="D791" s="324"/>
      <c r="E791" s="324"/>
      <c r="F791" s="324"/>
      <c r="G791" s="324"/>
      <c r="H791" s="324"/>
      <c r="I791" s="324"/>
      <c r="J791" s="324"/>
      <c r="K791" s="324"/>
      <c r="L791" s="324"/>
      <c r="M791" s="324"/>
      <c r="N791" s="324"/>
      <c r="O791" s="324"/>
      <c r="P791" s="324"/>
      <c r="Q791" s="324"/>
      <c r="R791" s="324"/>
      <c r="S791" s="324"/>
      <c r="T791" s="324"/>
      <c r="U791" s="324"/>
      <c r="V791" s="324"/>
      <c r="W791" s="324"/>
    </row>
    <row r="792">
      <c r="A792" s="323"/>
      <c r="B792" s="324"/>
      <c r="C792" s="324"/>
      <c r="D792" s="324"/>
      <c r="E792" s="324"/>
      <c r="F792" s="324"/>
      <c r="G792" s="324"/>
      <c r="H792" s="324"/>
      <c r="I792" s="324"/>
      <c r="J792" s="324"/>
      <c r="K792" s="324"/>
      <c r="L792" s="324"/>
      <c r="M792" s="324"/>
      <c r="N792" s="324"/>
      <c r="O792" s="324"/>
      <c r="P792" s="324"/>
      <c r="Q792" s="324"/>
      <c r="R792" s="324"/>
      <c r="S792" s="324"/>
      <c r="T792" s="324"/>
      <c r="U792" s="324"/>
      <c r="V792" s="324"/>
      <c r="W792" s="324"/>
    </row>
    <row r="793">
      <c r="A793" s="323"/>
      <c r="B793" s="324"/>
      <c r="C793" s="324"/>
      <c r="D793" s="324"/>
      <c r="E793" s="324"/>
      <c r="F793" s="324"/>
      <c r="G793" s="324"/>
      <c r="H793" s="324"/>
      <c r="I793" s="324"/>
      <c r="J793" s="324"/>
      <c r="K793" s="324"/>
      <c r="L793" s="324"/>
      <c r="M793" s="324"/>
      <c r="N793" s="324"/>
      <c r="O793" s="324"/>
      <c r="P793" s="324"/>
      <c r="Q793" s="324"/>
      <c r="R793" s="324"/>
      <c r="S793" s="324"/>
      <c r="T793" s="324"/>
      <c r="U793" s="324"/>
      <c r="V793" s="324"/>
      <c r="W793" s="324"/>
    </row>
    <row r="794">
      <c r="A794" s="323"/>
      <c r="B794" s="324"/>
      <c r="C794" s="324"/>
      <c r="D794" s="324"/>
      <c r="E794" s="324"/>
      <c r="F794" s="324"/>
      <c r="G794" s="324"/>
      <c r="H794" s="324"/>
      <c r="I794" s="324"/>
      <c r="J794" s="324"/>
      <c r="K794" s="324"/>
      <c r="L794" s="324"/>
      <c r="M794" s="324"/>
      <c r="N794" s="324"/>
      <c r="O794" s="324"/>
      <c r="P794" s="324"/>
      <c r="Q794" s="324"/>
      <c r="R794" s="324"/>
      <c r="S794" s="324"/>
      <c r="T794" s="324"/>
      <c r="U794" s="324"/>
      <c r="V794" s="324"/>
      <c r="W794" s="324"/>
    </row>
    <row r="795">
      <c r="A795" s="323"/>
      <c r="B795" s="324"/>
      <c r="C795" s="324"/>
      <c r="D795" s="324"/>
      <c r="E795" s="324"/>
      <c r="F795" s="324"/>
      <c r="G795" s="324"/>
      <c r="H795" s="324"/>
      <c r="I795" s="324"/>
      <c r="J795" s="324"/>
      <c r="K795" s="324"/>
      <c r="L795" s="324"/>
      <c r="M795" s="324"/>
      <c r="N795" s="324"/>
      <c r="O795" s="324"/>
      <c r="P795" s="324"/>
      <c r="Q795" s="324"/>
      <c r="R795" s="324"/>
      <c r="S795" s="324"/>
      <c r="T795" s="324"/>
      <c r="U795" s="324"/>
      <c r="V795" s="324"/>
      <c r="W795" s="324"/>
    </row>
    <row r="796">
      <c r="A796" s="323"/>
      <c r="B796" s="324"/>
      <c r="C796" s="324"/>
      <c r="D796" s="324"/>
      <c r="E796" s="324"/>
      <c r="F796" s="324"/>
      <c r="G796" s="324"/>
      <c r="H796" s="324"/>
      <c r="I796" s="324"/>
      <c r="J796" s="324"/>
      <c r="K796" s="324"/>
      <c r="L796" s="324"/>
      <c r="M796" s="324"/>
      <c r="N796" s="324"/>
      <c r="O796" s="324"/>
      <c r="P796" s="324"/>
      <c r="Q796" s="324"/>
      <c r="R796" s="324"/>
      <c r="S796" s="324"/>
      <c r="T796" s="324"/>
      <c r="U796" s="324"/>
      <c r="V796" s="324"/>
      <c r="W796" s="324"/>
    </row>
    <row r="797">
      <c r="A797" s="323"/>
      <c r="B797" s="324"/>
      <c r="C797" s="324"/>
      <c r="D797" s="324"/>
      <c r="E797" s="324"/>
      <c r="F797" s="324"/>
      <c r="G797" s="324"/>
      <c r="H797" s="324"/>
      <c r="I797" s="324"/>
      <c r="J797" s="324"/>
      <c r="K797" s="324"/>
      <c r="L797" s="324"/>
      <c r="M797" s="324"/>
      <c r="N797" s="324"/>
      <c r="O797" s="324"/>
      <c r="P797" s="324"/>
      <c r="Q797" s="324"/>
      <c r="R797" s="324"/>
      <c r="S797" s="324"/>
      <c r="T797" s="324"/>
      <c r="U797" s="324"/>
      <c r="V797" s="324"/>
      <c r="W797" s="324"/>
    </row>
    <row r="798">
      <c r="A798" s="323"/>
      <c r="B798" s="324"/>
      <c r="C798" s="324"/>
      <c r="D798" s="324"/>
      <c r="E798" s="324"/>
      <c r="F798" s="324"/>
      <c r="G798" s="324"/>
      <c r="H798" s="324"/>
      <c r="I798" s="324"/>
      <c r="J798" s="324"/>
      <c r="K798" s="324"/>
      <c r="L798" s="324"/>
      <c r="M798" s="324"/>
      <c r="N798" s="324"/>
      <c r="O798" s="324"/>
      <c r="P798" s="324"/>
      <c r="Q798" s="324"/>
      <c r="R798" s="324"/>
      <c r="S798" s="324"/>
      <c r="T798" s="324"/>
      <c r="U798" s="324"/>
      <c r="V798" s="324"/>
      <c r="W798" s="324"/>
    </row>
    <row r="799">
      <c r="A799" s="323"/>
      <c r="B799" s="324"/>
      <c r="C799" s="324"/>
      <c r="D799" s="324"/>
      <c r="E799" s="324"/>
      <c r="F799" s="324"/>
      <c r="G799" s="324"/>
      <c r="H799" s="324"/>
      <c r="I799" s="324"/>
      <c r="J799" s="324"/>
      <c r="K799" s="324"/>
      <c r="L799" s="324"/>
      <c r="M799" s="324"/>
      <c r="N799" s="324"/>
      <c r="O799" s="324"/>
      <c r="P799" s="324"/>
      <c r="Q799" s="324"/>
      <c r="R799" s="324"/>
      <c r="S799" s="324"/>
      <c r="T799" s="324"/>
      <c r="U799" s="324"/>
      <c r="V799" s="324"/>
      <c r="W799" s="324"/>
    </row>
    <row r="800">
      <c r="A800" s="323"/>
      <c r="B800" s="324"/>
      <c r="C800" s="324"/>
      <c r="D800" s="324"/>
      <c r="E800" s="324"/>
      <c r="F800" s="324"/>
      <c r="G800" s="324"/>
      <c r="H800" s="324"/>
      <c r="I800" s="324"/>
      <c r="J800" s="324"/>
      <c r="K800" s="324"/>
      <c r="L800" s="324"/>
      <c r="M800" s="324"/>
      <c r="N800" s="324"/>
      <c r="O800" s="324"/>
      <c r="P800" s="324"/>
      <c r="Q800" s="324"/>
      <c r="R800" s="324"/>
      <c r="S800" s="324"/>
      <c r="T800" s="324"/>
      <c r="U800" s="324"/>
      <c r="V800" s="324"/>
      <c r="W800" s="324"/>
    </row>
    <row r="801">
      <c r="A801" s="323"/>
      <c r="B801" s="324"/>
      <c r="C801" s="324"/>
      <c r="D801" s="324"/>
      <c r="E801" s="324"/>
      <c r="F801" s="324"/>
      <c r="G801" s="324"/>
      <c r="H801" s="324"/>
      <c r="I801" s="324"/>
      <c r="J801" s="324"/>
      <c r="K801" s="324"/>
      <c r="L801" s="324"/>
      <c r="M801" s="324"/>
      <c r="N801" s="324"/>
      <c r="O801" s="324"/>
      <c r="P801" s="324"/>
      <c r="Q801" s="324"/>
      <c r="R801" s="324"/>
      <c r="S801" s="324"/>
      <c r="T801" s="324"/>
      <c r="U801" s="324"/>
      <c r="V801" s="324"/>
      <c r="W801" s="324"/>
    </row>
    <row r="802">
      <c r="A802" s="323"/>
      <c r="B802" s="324"/>
      <c r="C802" s="324"/>
      <c r="D802" s="324"/>
      <c r="E802" s="324"/>
      <c r="F802" s="324"/>
      <c r="G802" s="324"/>
      <c r="H802" s="324"/>
      <c r="I802" s="324"/>
      <c r="J802" s="324"/>
      <c r="K802" s="324"/>
      <c r="L802" s="324"/>
      <c r="M802" s="324"/>
      <c r="N802" s="324"/>
      <c r="O802" s="324"/>
      <c r="P802" s="324"/>
      <c r="Q802" s="324"/>
      <c r="R802" s="324"/>
      <c r="S802" s="324"/>
      <c r="T802" s="324"/>
      <c r="U802" s="324"/>
      <c r="V802" s="324"/>
      <c r="W802" s="324"/>
    </row>
    <row r="803">
      <c r="A803" s="323"/>
      <c r="B803" s="324"/>
      <c r="C803" s="324"/>
      <c r="D803" s="324"/>
      <c r="E803" s="324"/>
      <c r="F803" s="324"/>
      <c r="G803" s="324"/>
      <c r="H803" s="324"/>
      <c r="I803" s="324"/>
      <c r="J803" s="324"/>
      <c r="K803" s="324"/>
      <c r="L803" s="324"/>
      <c r="M803" s="324"/>
      <c r="N803" s="324"/>
      <c r="O803" s="324"/>
      <c r="P803" s="324"/>
      <c r="Q803" s="324"/>
      <c r="R803" s="324"/>
      <c r="S803" s="324"/>
      <c r="T803" s="324"/>
      <c r="U803" s="324"/>
      <c r="V803" s="324"/>
      <c r="W803" s="324"/>
    </row>
    <row r="804">
      <c r="A804" s="323"/>
      <c r="B804" s="324"/>
      <c r="C804" s="324"/>
      <c r="D804" s="324"/>
      <c r="E804" s="324"/>
      <c r="F804" s="324"/>
      <c r="G804" s="324"/>
      <c r="H804" s="324"/>
      <c r="I804" s="324"/>
      <c r="J804" s="324"/>
      <c r="K804" s="324"/>
      <c r="L804" s="324"/>
      <c r="M804" s="324"/>
      <c r="N804" s="324"/>
      <c r="O804" s="324"/>
      <c r="P804" s="324"/>
      <c r="Q804" s="324"/>
      <c r="R804" s="324"/>
      <c r="S804" s="324"/>
      <c r="T804" s="324"/>
      <c r="U804" s="324"/>
      <c r="V804" s="324"/>
      <c r="W804" s="324"/>
    </row>
    <row r="805">
      <c r="A805" s="323"/>
      <c r="B805" s="324"/>
      <c r="C805" s="324"/>
      <c r="D805" s="324"/>
      <c r="E805" s="324"/>
      <c r="F805" s="324"/>
      <c r="G805" s="324"/>
      <c r="H805" s="324"/>
      <c r="I805" s="324"/>
      <c r="J805" s="324"/>
      <c r="K805" s="324"/>
      <c r="L805" s="324"/>
      <c r="M805" s="324"/>
      <c r="N805" s="324"/>
      <c r="O805" s="324"/>
      <c r="P805" s="324"/>
      <c r="Q805" s="324"/>
      <c r="R805" s="324"/>
      <c r="S805" s="324"/>
      <c r="T805" s="324"/>
      <c r="U805" s="324"/>
      <c r="V805" s="324"/>
      <c r="W805" s="324"/>
    </row>
    <row r="806">
      <c r="A806" s="323"/>
      <c r="B806" s="324"/>
      <c r="C806" s="324"/>
      <c r="D806" s="324"/>
      <c r="E806" s="324"/>
      <c r="F806" s="324"/>
      <c r="G806" s="324"/>
      <c r="H806" s="324"/>
      <c r="I806" s="324"/>
      <c r="J806" s="324"/>
      <c r="K806" s="324"/>
      <c r="L806" s="324"/>
      <c r="M806" s="324"/>
      <c r="N806" s="324"/>
      <c r="O806" s="324"/>
      <c r="P806" s="324"/>
      <c r="Q806" s="324"/>
      <c r="R806" s="324"/>
      <c r="S806" s="324"/>
      <c r="T806" s="324"/>
      <c r="U806" s="324"/>
      <c r="V806" s="324"/>
      <c r="W806" s="324"/>
    </row>
    <row r="807">
      <c r="A807" s="323"/>
      <c r="B807" s="324"/>
      <c r="C807" s="324"/>
      <c r="D807" s="324"/>
      <c r="E807" s="324"/>
      <c r="F807" s="324"/>
      <c r="G807" s="324"/>
      <c r="H807" s="324"/>
      <c r="I807" s="324"/>
      <c r="J807" s="324"/>
      <c r="K807" s="324"/>
      <c r="L807" s="324"/>
      <c r="M807" s="324"/>
      <c r="N807" s="324"/>
      <c r="O807" s="324"/>
      <c r="P807" s="324"/>
      <c r="Q807" s="324"/>
      <c r="R807" s="324"/>
      <c r="S807" s="324"/>
      <c r="T807" s="324"/>
      <c r="U807" s="324"/>
      <c r="V807" s="324"/>
      <c r="W807" s="324"/>
    </row>
    <row r="808">
      <c r="A808" s="323"/>
      <c r="B808" s="324"/>
      <c r="C808" s="324"/>
      <c r="D808" s="324"/>
      <c r="E808" s="324"/>
      <c r="F808" s="324"/>
      <c r="G808" s="324"/>
      <c r="H808" s="324"/>
      <c r="I808" s="324"/>
      <c r="J808" s="324"/>
      <c r="K808" s="324"/>
      <c r="L808" s="324"/>
      <c r="M808" s="324"/>
      <c r="N808" s="324"/>
      <c r="O808" s="324"/>
      <c r="P808" s="324"/>
      <c r="Q808" s="324"/>
      <c r="R808" s="324"/>
      <c r="S808" s="324"/>
      <c r="T808" s="324"/>
      <c r="U808" s="324"/>
      <c r="V808" s="324"/>
      <c r="W808" s="324"/>
    </row>
    <row r="809">
      <c r="A809" s="323"/>
      <c r="B809" s="324"/>
      <c r="C809" s="324"/>
      <c r="D809" s="324"/>
      <c r="E809" s="324"/>
      <c r="F809" s="324"/>
      <c r="G809" s="324"/>
      <c r="H809" s="324"/>
      <c r="I809" s="324"/>
      <c r="J809" s="324"/>
      <c r="K809" s="324"/>
      <c r="L809" s="324"/>
      <c r="M809" s="324"/>
      <c r="N809" s="324"/>
      <c r="O809" s="324"/>
      <c r="P809" s="324"/>
      <c r="Q809" s="324"/>
      <c r="R809" s="324"/>
      <c r="S809" s="324"/>
      <c r="T809" s="324"/>
      <c r="U809" s="324"/>
      <c r="V809" s="324"/>
      <c r="W809" s="324"/>
    </row>
    <row r="810">
      <c r="A810" s="323"/>
      <c r="B810" s="324"/>
      <c r="C810" s="324"/>
      <c r="D810" s="324"/>
      <c r="E810" s="324"/>
      <c r="F810" s="324"/>
      <c r="G810" s="324"/>
      <c r="H810" s="324"/>
      <c r="I810" s="324"/>
      <c r="J810" s="324"/>
      <c r="K810" s="324"/>
      <c r="L810" s="324"/>
      <c r="M810" s="324"/>
      <c r="N810" s="324"/>
      <c r="O810" s="324"/>
      <c r="P810" s="324"/>
      <c r="Q810" s="324"/>
      <c r="R810" s="324"/>
      <c r="S810" s="324"/>
      <c r="T810" s="324"/>
      <c r="U810" s="324"/>
      <c r="V810" s="324"/>
      <c r="W810" s="324"/>
    </row>
    <row r="811">
      <c r="A811" s="323"/>
      <c r="B811" s="324"/>
      <c r="C811" s="324"/>
      <c r="D811" s="324"/>
      <c r="E811" s="324"/>
      <c r="F811" s="324"/>
      <c r="G811" s="324"/>
      <c r="H811" s="324"/>
      <c r="I811" s="324"/>
      <c r="J811" s="324"/>
      <c r="K811" s="324"/>
      <c r="L811" s="324"/>
      <c r="M811" s="324"/>
      <c r="N811" s="324"/>
      <c r="O811" s="324"/>
      <c r="P811" s="324"/>
      <c r="Q811" s="324"/>
      <c r="R811" s="324"/>
      <c r="S811" s="324"/>
      <c r="T811" s="324"/>
      <c r="U811" s="324"/>
      <c r="V811" s="324"/>
      <c r="W811" s="324"/>
    </row>
    <row r="812">
      <c r="A812" s="323"/>
      <c r="B812" s="324"/>
      <c r="C812" s="324"/>
      <c r="D812" s="324"/>
      <c r="E812" s="324"/>
      <c r="F812" s="324"/>
      <c r="G812" s="324"/>
      <c r="H812" s="324"/>
      <c r="I812" s="324"/>
      <c r="J812" s="324"/>
      <c r="K812" s="324"/>
      <c r="L812" s="324"/>
      <c r="M812" s="324"/>
      <c r="N812" s="324"/>
      <c r="O812" s="324"/>
      <c r="P812" s="324"/>
      <c r="Q812" s="324"/>
      <c r="R812" s="324"/>
      <c r="S812" s="324"/>
      <c r="T812" s="324"/>
      <c r="U812" s="324"/>
      <c r="V812" s="324"/>
      <c r="W812" s="324"/>
    </row>
    <row r="813">
      <c r="A813" s="323"/>
      <c r="B813" s="324"/>
      <c r="C813" s="324"/>
      <c r="D813" s="324"/>
      <c r="E813" s="324"/>
      <c r="F813" s="324"/>
      <c r="G813" s="324"/>
      <c r="H813" s="324"/>
      <c r="I813" s="324"/>
      <c r="J813" s="324"/>
      <c r="K813" s="324"/>
      <c r="L813" s="324"/>
      <c r="M813" s="324"/>
      <c r="N813" s="324"/>
      <c r="O813" s="324"/>
      <c r="P813" s="324"/>
      <c r="Q813" s="324"/>
      <c r="R813" s="324"/>
      <c r="S813" s="324"/>
      <c r="T813" s="324"/>
      <c r="U813" s="324"/>
      <c r="V813" s="324"/>
      <c r="W813" s="324"/>
    </row>
    <row r="814">
      <c r="A814" s="323"/>
      <c r="B814" s="324"/>
      <c r="C814" s="324"/>
      <c r="D814" s="324"/>
      <c r="E814" s="324"/>
      <c r="F814" s="324"/>
      <c r="G814" s="324"/>
      <c r="H814" s="324"/>
      <c r="I814" s="324"/>
      <c r="J814" s="324"/>
      <c r="K814" s="324"/>
      <c r="L814" s="324"/>
      <c r="M814" s="324"/>
      <c r="N814" s="324"/>
      <c r="O814" s="324"/>
      <c r="P814" s="324"/>
      <c r="Q814" s="324"/>
      <c r="R814" s="324"/>
      <c r="S814" s="324"/>
      <c r="T814" s="324"/>
      <c r="U814" s="324"/>
      <c r="V814" s="324"/>
      <c r="W814" s="324"/>
    </row>
    <row r="815">
      <c r="A815" s="323"/>
      <c r="B815" s="324"/>
      <c r="C815" s="324"/>
      <c r="D815" s="324"/>
      <c r="E815" s="324"/>
      <c r="F815" s="324"/>
      <c r="G815" s="324"/>
      <c r="H815" s="324"/>
      <c r="I815" s="324"/>
      <c r="J815" s="324"/>
      <c r="K815" s="324"/>
      <c r="L815" s="324"/>
      <c r="M815" s="324"/>
      <c r="N815" s="324"/>
      <c r="O815" s="324"/>
      <c r="P815" s="324"/>
      <c r="Q815" s="324"/>
      <c r="R815" s="324"/>
      <c r="S815" s="324"/>
      <c r="T815" s="324"/>
      <c r="U815" s="324"/>
      <c r="V815" s="324"/>
      <c r="W815" s="324"/>
    </row>
    <row r="816">
      <c r="A816" s="323"/>
      <c r="B816" s="324"/>
      <c r="C816" s="324"/>
      <c r="D816" s="324"/>
      <c r="E816" s="324"/>
      <c r="F816" s="324"/>
      <c r="G816" s="324"/>
      <c r="H816" s="324"/>
      <c r="I816" s="324"/>
      <c r="J816" s="324"/>
      <c r="K816" s="324"/>
      <c r="L816" s="324"/>
      <c r="M816" s="324"/>
      <c r="N816" s="324"/>
      <c r="O816" s="324"/>
      <c r="P816" s="324"/>
      <c r="Q816" s="324"/>
      <c r="R816" s="324"/>
      <c r="S816" s="324"/>
      <c r="T816" s="324"/>
      <c r="U816" s="324"/>
      <c r="V816" s="324"/>
      <c r="W816" s="324"/>
    </row>
    <row r="817">
      <c r="A817" s="323"/>
      <c r="B817" s="324"/>
      <c r="C817" s="324"/>
      <c r="D817" s="324"/>
      <c r="E817" s="324"/>
      <c r="F817" s="324"/>
      <c r="G817" s="324"/>
      <c r="H817" s="324"/>
      <c r="I817" s="324"/>
      <c r="J817" s="324"/>
      <c r="K817" s="324"/>
      <c r="L817" s="324"/>
      <c r="M817" s="324"/>
      <c r="N817" s="324"/>
      <c r="O817" s="324"/>
      <c r="P817" s="324"/>
      <c r="Q817" s="324"/>
      <c r="R817" s="324"/>
      <c r="S817" s="324"/>
      <c r="T817" s="324"/>
      <c r="U817" s="324"/>
      <c r="V817" s="324"/>
      <c r="W817" s="324"/>
    </row>
    <row r="818">
      <c r="A818" s="323"/>
      <c r="B818" s="324"/>
      <c r="C818" s="324"/>
      <c r="D818" s="324"/>
      <c r="E818" s="324"/>
      <c r="F818" s="324"/>
      <c r="G818" s="324"/>
      <c r="H818" s="324"/>
      <c r="I818" s="324"/>
      <c r="J818" s="324"/>
      <c r="K818" s="324"/>
      <c r="L818" s="324"/>
      <c r="M818" s="324"/>
      <c r="N818" s="324"/>
      <c r="O818" s="324"/>
      <c r="P818" s="324"/>
      <c r="Q818" s="324"/>
      <c r="R818" s="324"/>
      <c r="S818" s="324"/>
      <c r="T818" s="324"/>
      <c r="U818" s="324"/>
      <c r="V818" s="324"/>
      <c r="W818" s="324"/>
    </row>
    <row r="819">
      <c r="A819" s="323"/>
      <c r="B819" s="324"/>
      <c r="C819" s="324"/>
      <c r="D819" s="324"/>
      <c r="E819" s="324"/>
      <c r="F819" s="324"/>
      <c r="G819" s="324"/>
      <c r="H819" s="324"/>
      <c r="I819" s="324"/>
      <c r="J819" s="324"/>
      <c r="K819" s="324"/>
      <c r="L819" s="324"/>
      <c r="M819" s="324"/>
      <c r="N819" s="324"/>
      <c r="O819" s="324"/>
      <c r="P819" s="324"/>
      <c r="Q819" s="324"/>
      <c r="R819" s="324"/>
      <c r="S819" s="324"/>
      <c r="T819" s="324"/>
      <c r="U819" s="324"/>
      <c r="V819" s="324"/>
      <c r="W819" s="324"/>
    </row>
    <row r="820">
      <c r="A820" s="323"/>
      <c r="B820" s="324"/>
      <c r="C820" s="324"/>
      <c r="D820" s="324"/>
      <c r="E820" s="324"/>
      <c r="F820" s="324"/>
      <c r="G820" s="324"/>
      <c r="H820" s="324"/>
      <c r="I820" s="324"/>
      <c r="J820" s="324"/>
      <c r="K820" s="324"/>
      <c r="L820" s="324"/>
      <c r="M820" s="324"/>
      <c r="N820" s="324"/>
      <c r="O820" s="324"/>
      <c r="P820" s="324"/>
      <c r="Q820" s="324"/>
      <c r="R820" s="324"/>
      <c r="S820" s="324"/>
      <c r="T820" s="324"/>
      <c r="U820" s="324"/>
      <c r="V820" s="324"/>
      <c r="W820" s="324"/>
    </row>
    <row r="821">
      <c r="A821" s="323"/>
      <c r="B821" s="324"/>
      <c r="C821" s="324"/>
      <c r="D821" s="324"/>
      <c r="E821" s="324"/>
      <c r="F821" s="324"/>
      <c r="G821" s="324"/>
      <c r="H821" s="324"/>
      <c r="I821" s="324"/>
      <c r="J821" s="324"/>
      <c r="K821" s="324"/>
      <c r="L821" s="324"/>
      <c r="M821" s="324"/>
      <c r="N821" s="324"/>
      <c r="O821" s="324"/>
      <c r="P821" s="324"/>
      <c r="Q821" s="324"/>
      <c r="R821" s="324"/>
      <c r="S821" s="324"/>
      <c r="T821" s="324"/>
      <c r="U821" s="324"/>
      <c r="V821" s="324"/>
      <c r="W821" s="324"/>
    </row>
    <row r="822">
      <c r="A822" s="323"/>
      <c r="B822" s="324"/>
      <c r="C822" s="324"/>
      <c r="D822" s="324"/>
      <c r="E822" s="324"/>
      <c r="F822" s="324"/>
      <c r="G822" s="324"/>
      <c r="H822" s="324"/>
      <c r="I822" s="324"/>
      <c r="J822" s="324"/>
      <c r="K822" s="324"/>
      <c r="L822" s="324"/>
      <c r="M822" s="324"/>
      <c r="N822" s="324"/>
      <c r="O822" s="324"/>
      <c r="P822" s="324"/>
      <c r="Q822" s="324"/>
      <c r="R822" s="324"/>
      <c r="S822" s="324"/>
      <c r="T822" s="324"/>
      <c r="U822" s="324"/>
      <c r="V822" s="324"/>
      <c r="W822" s="324"/>
    </row>
    <row r="823">
      <c r="A823" s="323"/>
      <c r="B823" s="324"/>
      <c r="C823" s="324"/>
      <c r="D823" s="324"/>
      <c r="E823" s="324"/>
      <c r="F823" s="324"/>
      <c r="G823" s="324"/>
      <c r="H823" s="324"/>
      <c r="I823" s="324"/>
      <c r="J823" s="324"/>
      <c r="K823" s="324"/>
      <c r="L823" s="324"/>
      <c r="M823" s="324"/>
      <c r="N823" s="324"/>
      <c r="O823" s="324"/>
      <c r="P823" s="324"/>
      <c r="Q823" s="324"/>
      <c r="R823" s="324"/>
      <c r="S823" s="324"/>
      <c r="T823" s="324"/>
      <c r="U823" s="324"/>
      <c r="V823" s="324"/>
      <c r="W823" s="324"/>
    </row>
    <row r="824">
      <c r="A824" s="323"/>
      <c r="B824" s="324"/>
      <c r="C824" s="324"/>
      <c r="D824" s="324"/>
      <c r="E824" s="324"/>
      <c r="F824" s="324"/>
      <c r="G824" s="324"/>
      <c r="H824" s="324"/>
      <c r="I824" s="324"/>
      <c r="J824" s="324"/>
      <c r="K824" s="324"/>
      <c r="L824" s="324"/>
      <c r="M824" s="324"/>
      <c r="N824" s="324"/>
      <c r="O824" s="324"/>
      <c r="P824" s="324"/>
      <c r="Q824" s="324"/>
      <c r="R824" s="324"/>
      <c r="S824" s="324"/>
      <c r="T824" s="324"/>
      <c r="U824" s="324"/>
      <c r="V824" s="324"/>
      <c r="W824" s="324"/>
    </row>
    <row r="825">
      <c r="A825" s="323"/>
      <c r="B825" s="324"/>
      <c r="C825" s="324"/>
      <c r="D825" s="324"/>
      <c r="E825" s="324"/>
      <c r="F825" s="324"/>
      <c r="G825" s="324"/>
      <c r="H825" s="324"/>
      <c r="I825" s="324"/>
      <c r="J825" s="324"/>
      <c r="K825" s="324"/>
      <c r="L825" s="324"/>
      <c r="M825" s="324"/>
      <c r="N825" s="324"/>
      <c r="O825" s="324"/>
      <c r="P825" s="324"/>
      <c r="Q825" s="324"/>
      <c r="R825" s="324"/>
      <c r="S825" s="324"/>
      <c r="T825" s="324"/>
      <c r="U825" s="324"/>
      <c r="V825" s="324"/>
      <c r="W825" s="324"/>
    </row>
    <row r="826">
      <c r="A826" s="323"/>
      <c r="B826" s="324"/>
      <c r="C826" s="324"/>
      <c r="D826" s="324"/>
      <c r="E826" s="324"/>
      <c r="F826" s="324"/>
      <c r="G826" s="324"/>
      <c r="H826" s="324"/>
      <c r="I826" s="324"/>
      <c r="J826" s="324"/>
      <c r="K826" s="324"/>
      <c r="L826" s="324"/>
      <c r="M826" s="324"/>
      <c r="N826" s="324"/>
      <c r="O826" s="324"/>
      <c r="P826" s="324"/>
      <c r="Q826" s="324"/>
      <c r="R826" s="324"/>
      <c r="S826" s="324"/>
      <c r="T826" s="324"/>
      <c r="U826" s="324"/>
      <c r="V826" s="324"/>
      <c r="W826" s="324"/>
    </row>
    <row r="827">
      <c r="A827" s="323"/>
      <c r="B827" s="324"/>
      <c r="C827" s="324"/>
      <c r="D827" s="324"/>
      <c r="E827" s="324"/>
      <c r="F827" s="324"/>
      <c r="G827" s="324"/>
      <c r="H827" s="324"/>
      <c r="I827" s="324"/>
      <c r="J827" s="324"/>
      <c r="K827" s="324"/>
      <c r="L827" s="324"/>
      <c r="M827" s="324"/>
      <c r="N827" s="324"/>
      <c r="O827" s="324"/>
      <c r="P827" s="324"/>
      <c r="Q827" s="324"/>
      <c r="R827" s="324"/>
      <c r="S827" s="324"/>
      <c r="T827" s="324"/>
      <c r="U827" s="324"/>
      <c r="V827" s="324"/>
      <c r="W827" s="324"/>
    </row>
    <row r="828">
      <c r="A828" s="323"/>
      <c r="B828" s="324"/>
      <c r="C828" s="324"/>
      <c r="D828" s="324"/>
      <c r="E828" s="324"/>
      <c r="F828" s="324"/>
      <c r="G828" s="324"/>
      <c r="H828" s="324"/>
      <c r="I828" s="324"/>
      <c r="J828" s="324"/>
      <c r="K828" s="324"/>
      <c r="L828" s="324"/>
      <c r="M828" s="324"/>
      <c r="N828" s="324"/>
      <c r="O828" s="324"/>
      <c r="P828" s="324"/>
      <c r="Q828" s="324"/>
      <c r="R828" s="324"/>
      <c r="S828" s="324"/>
      <c r="T828" s="324"/>
      <c r="U828" s="324"/>
      <c r="V828" s="324"/>
      <c r="W828" s="324"/>
    </row>
    <row r="829">
      <c r="A829" s="323"/>
      <c r="B829" s="324"/>
      <c r="C829" s="324"/>
      <c r="D829" s="324"/>
      <c r="E829" s="324"/>
      <c r="F829" s="324"/>
      <c r="G829" s="324"/>
      <c r="H829" s="324"/>
      <c r="I829" s="324"/>
      <c r="J829" s="324"/>
      <c r="K829" s="324"/>
      <c r="L829" s="324"/>
      <c r="M829" s="324"/>
      <c r="N829" s="324"/>
      <c r="O829" s="324"/>
      <c r="P829" s="324"/>
      <c r="Q829" s="324"/>
      <c r="R829" s="324"/>
      <c r="S829" s="324"/>
      <c r="T829" s="324"/>
      <c r="U829" s="324"/>
      <c r="V829" s="324"/>
      <c r="W829" s="324"/>
    </row>
    <row r="830">
      <c r="A830" s="323"/>
      <c r="B830" s="324"/>
      <c r="C830" s="324"/>
      <c r="D830" s="324"/>
      <c r="E830" s="324"/>
      <c r="F830" s="324"/>
      <c r="G830" s="324"/>
      <c r="H830" s="324"/>
      <c r="I830" s="324"/>
      <c r="J830" s="324"/>
      <c r="K830" s="324"/>
      <c r="L830" s="324"/>
      <c r="M830" s="324"/>
      <c r="N830" s="324"/>
      <c r="O830" s="324"/>
      <c r="P830" s="324"/>
      <c r="Q830" s="324"/>
      <c r="R830" s="324"/>
      <c r="S830" s="324"/>
      <c r="T830" s="324"/>
      <c r="U830" s="324"/>
      <c r="V830" s="324"/>
      <c r="W830" s="324"/>
    </row>
    <row r="831">
      <c r="A831" s="323"/>
      <c r="B831" s="324"/>
      <c r="C831" s="324"/>
      <c r="D831" s="324"/>
      <c r="E831" s="324"/>
      <c r="F831" s="324"/>
      <c r="G831" s="324"/>
      <c r="H831" s="324"/>
      <c r="I831" s="324"/>
      <c r="J831" s="324"/>
      <c r="K831" s="324"/>
      <c r="L831" s="324"/>
      <c r="M831" s="324"/>
      <c r="N831" s="324"/>
      <c r="O831" s="324"/>
      <c r="P831" s="324"/>
      <c r="Q831" s="324"/>
      <c r="R831" s="324"/>
      <c r="S831" s="324"/>
      <c r="T831" s="324"/>
      <c r="U831" s="324"/>
      <c r="V831" s="324"/>
      <c r="W831" s="324"/>
    </row>
    <row r="832">
      <c r="A832" s="323"/>
      <c r="B832" s="324"/>
      <c r="C832" s="324"/>
      <c r="D832" s="324"/>
      <c r="E832" s="324"/>
      <c r="F832" s="324"/>
      <c r="G832" s="324"/>
      <c r="H832" s="324"/>
      <c r="I832" s="324"/>
      <c r="J832" s="324"/>
      <c r="K832" s="324"/>
      <c r="L832" s="324"/>
      <c r="M832" s="324"/>
      <c r="N832" s="324"/>
      <c r="O832" s="324"/>
      <c r="P832" s="324"/>
      <c r="Q832" s="324"/>
      <c r="R832" s="324"/>
      <c r="S832" s="324"/>
      <c r="T832" s="324"/>
      <c r="U832" s="324"/>
      <c r="V832" s="324"/>
      <c r="W832" s="324"/>
    </row>
    <row r="833">
      <c r="A833" s="323"/>
      <c r="B833" s="324"/>
      <c r="C833" s="324"/>
      <c r="D833" s="324"/>
      <c r="E833" s="324"/>
      <c r="F833" s="324"/>
      <c r="G833" s="324"/>
      <c r="H833" s="324"/>
      <c r="I833" s="324"/>
      <c r="J833" s="324"/>
      <c r="K833" s="324"/>
      <c r="L833" s="324"/>
      <c r="M833" s="324"/>
      <c r="N833" s="324"/>
      <c r="O833" s="324"/>
      <c r="P833" s="324"/>
      <c r="Q833" s="324"/>
      <c r="R833" s="324"/>
      <c r="S833" s="324"/>
      <c r="T833" s="324"/>
      <c r="U833" s="324"/>
      <c r="V833" s="324"/>
      <c r="W833" s="324"/>
    </row>
    <row r="834">
      <c r="A834" s="323"/>
      <c r="B834" s="324"/>
      <c r="C834" s="324"/>
      <c r="D834" s="324"/>
      <c r="E834" s="324"/>
      <c r="F834" s="324"/>
      <c r="G834" s="324"/>
      <c r="H834" s="324"/>
      <c r="I834" s="324"/>
      <c r="J834" s="324"/>
      <c r="K834" s="324"/>
      <c r="L834" s="324"/>
      <c r="M834" s="324"/>
      <c r="N834" s="324"/>
      <c r="O834" s="324"/>
      <c r="P834" s="324"/>
      <c r="Q834" s="324"/>
      <c r="R834" s="324"/>
      <c r="S834" s="324"/>
      <c r="T834" s="324"/>
      <c r="U834" s="324"/>
      <c r="V834" s="324"/>
      <c r="W834" s="324"/>
    </row>
    <row r="835">
      <c r="A835" s="323"/>
      <c r="B835" s="324"/>
      <c r="C835" s="324"/>
      <c r="D835" s="324"/>
      <c r="E835" s="324"/>
      <c r="F835" s="324"/>
      <c r="G835" s="324"/>
      <c r="H835" s="324"/>
      <c r="I835" s="324"/>
      <c r="J835" s="324"/>
      <c r="K835" s="324"/>
      <c r="L835" s="324"/>
      <c r="M835" s="324"/>
      <c r="N835" s="324"/>
      <c r="O835" s="324"/>
      <c r="P835" s="324"/>
      <c r="Q835" s="324"/>
      <c r="R835" s="324"/>
      <c r="S835" s="324"/>
      <c r="T835" s="324"/>
      <c r="U835" s="324"/>
      <c r="V835" s="324"/>
      <c r="W835" s="324"/>
    </row>
    <row r="836">
      <c r="A836" s="323"/>
      <c r="B836" s="324"/>
      <c r="C836" s="324"/>
      <c r="D836" s="324"/>
      <c r="E836" s="324"/>
      <c r="F836" s="324"/>
      <c r="G836" s="324"/>
      <c r="H836" s="324"/>
      <c r="I836" s="324"/>
      <c r="J836" s="324"/>
      <c r="K836" s="324"/>
      <c r="L836" s="324"/>
      <c r="M836" s="324"/>
      <c r="N836" s="324"/>
      <c r="O836" s="324"/>
      <c r="P836" s="324"/>
      <c r="Q836" s="324"/>
      <c r="R836" s="324"/>
      <c r="S836" s="324"/>
      <c r="T836" s="324"/>
      <c r="U836" s="324"/>
      <c r="V836" s="324"/>
      <c r="W836" s="324"/>
    </row>
    <row r="837">
      <c r="A837" s="323"/>
      <c r="B837" s="324"/>
      <c r="C837" s="324"/>
      <c r="D837" s="324"/>
      <c r="E837" s="324"/>
      <c r="F837" s="324"/>
      <c r="G837" s="324"/>
      <c r="H837" s="324"/>
      <c r="I837" s="324"/>
      <c r="J837" s="324"/>
      <c r="K837" s="324"/>
      <c r="L837" s="324"/>
      <c r="M837" s="324"/>
      <c r="N837" s="324"/>
      <c r="O837" s="324"/>
      <c r="P837" s="324"/>
      <c r="Q837" s="324"/>
      <c r="R837" s="324"/>
      <c r="S837" s="324"/>
      <c r="T837" s="324"/>
      <c r="U837" s="324"/>
      <c r="V837" s="324"/>
      <c r="W837" s="324"/>
    </row>
    <row r="838">
      <c r="A838" s="323"/>
      <c r="B838" s="324"/>
      <c r="C838" s="324"/>
      <c r="D838" s="324"/>
      <c r="E838" s="324"/>
      <c r="F838" s="324"/>
      <c r="G838" s="324"/>
      <c r="H838" s="324"/>
      <c r="I838" s="324"/>
      <c r="J838" s="324"/>
      <c r="K838" s="324"/>
      <c r="L838" s="324"/>
      <c r="M838" s="324"/>
      <c r="N838" s="324"/>
      <c r="O838" s="324"/>
      <c r="P838" s="324"/>
      <c r="Q838" s="324"/>
      <c r="R838" s="324"/>
      <c r="S838" s="324"/>
      <c r="T838" s="324"/>
      <c r="U838" s="324"/>
      <c r="V838" s="324"/>
      <c r="W838" s="324"/>
    </row>
    <row r="839">
      <c r="A839" s="323"/>
      <c r="B839" s="324"/>
      <c r="C839" s="324"/>
      <c r="D839" s="324"/>
      <c r="E839" s="324"/>
      <c r="F839" s="324"/>
      <c r="G839" s="324"/>
      <c r="H839" s="324"/>
      <c r="I839" s="324"/>
      <c r="J839" s="324"/>
      <c r="K839" s="324"/>
      <c r="L839" s="324"/>
      <c r="M839" s="324"/>
      <c r="N839" s="324"/>
      <c r="O839" s="324"/>
      <c r="P839" s="324"/>
      <c r="Q839" s="324"/>
      <c r="R839" s="324"/>
      <c r="S839" s="324"/>
      <c r="T839" s="324"/>
      <c r="U839" s="324"/>
      <c r="V839" s="324"/>
      <c r="W839" s="324"/>
    </row>
    <row r="840">
      <c r="A840" s="323"/>
      <c r="B840" s="324"/>
      <c r="C840" s="324"/>
      <c r="D840" s="324"/>
      <c r="E840" s="324"/>
      <c r="F840" s="324"/>
      <c r="G840" s="324"/>
      <c r="H840" s="324"/>
      <c r="I840" s="324"/>
      <c r="J840" s="324"/>
      <c r="K840" s="324"/>
      <c r="L840" s="324"/>
      <c r="M840" s="324"/>
      <c r="N840" s="324"/>
      <c r="O840" s="324"/>
      <c r="P840" s="324"/>
      <c r="Q840" s="324"/>
      <c r="R840" s="324"/>
      <c r="S840" s="324"/>
      <c r="T840" s="324"/>
      <c r="U840" s="324"/>
      <c r="V840" s="324"/>
      <c r="W840" s="324"/>
    </row>
    <row r="841">
      <c r="A841" s="323"/>
      <c r="B841" s="324"/>
      <c r="C841" s="324"/>
      <c r="D841" s="324"/>
      <c r="E841" s="324"/>
      <c r="F841" s="324"/>
      <c r="G841" s="324"/>
      <c r="H841" s="324"/>
      <c r="I841" s="324"/>
      <c r="J841" s="324"/>
      <c r="K841" s="324"/>
      <c r="L841" s="324"/>
      <c r="M841" s="324"/>
      <c r="N841" s="324"/>
      <c r="O841" s="324"/>
      <c r="P841" s="324"/>
      <c r="Q841" s="324"/>
      <c r="R841" s="324"/>
      <c r="S841" s="324"/>
      <c r="T841" s="324"/>
      <c r="U841" s="324"/>
      <c r="V841" s="324"/>
      <c r="W841" s="324"/>
    </row>
    <row r="842">
      <c r="A842" s="323"/>
      <c r="B842" s="324"/>
      <c r="C842" s="324"/>
      <c r="D842" s="324"/>
      <c r="E842" s="324"/>
      <c r="F842" s="324"/>
      <c r="G842" s="324"/>
      <c r="H842" s="324"/>
      <c r="I842" s="324"/>
      <c r="J842" s="324"/>
      <c r="K842" s="324"/>
      <c r="L842" s="324"/>
      <c r="M842" s="324"/>
      <c r="N842" s="324"/>
      <c r="O842" s="324"/>
      <c r="P842" s="324"/>
      <c r="Q842" s="324"/>
      <c r="R842" s="324"/>
      <c r="S842" s="324"/>
      <c r="T842" s="324"/>
      <c r="U842" s="324"/>
      <c r="V842" s="324"/>
      <c r="W842" s="324"/>
    </row>
    <row r="843">
      <c r="A843" s="323"/>
      <c r="B843" s="324"/>
      <c r="C843" s="324"/>
      <c r="D843" s="324"/>
      <c r="E843" s="324"/>
      <c r="F843" s="324"/>
      <c r="G843" s="324"/>
      <c r="H843" s="324"/>
      <c r="I843" s="324"/>
      <c r="J843" s="324"/>
      <c r="K843" s="324"/>
      <c r="L843" s="324"/>
      <c r="M843" s="324"/>
      <c r="N843" s="324"/>
      <c r="O843" s="324"/>
      <c r="P843" s="324"/>
      <c r="Q843" s="324"/>
      <c r="R843" s="324"/>
      <c r="S843" s="324"/>
      <c r="T843" s="324"/>
      <c r="U843" s="324"/>
      <c r="V843" s="324"/>
      <c r="W843" s="324"/>
    </row>
    <row r="844">
      <c r="A844" s="323"/>
      <c r="B844" s="324"/>
      <c r="C844" s="324"/>
      <c r="D844" s="324"/>
      <c r="E844" s="324"/>
      <c r="F844" s="324"/>
      <c r="G844" s="324"/>
      <c r="H844" s="324"/>
      <c r="I844" s="324"/>
      <c r="J844" s="324"/>
      <c r="K844" s="324"/>
      <c r="L844" s="324"/>
      <c r="M844" s="324"/>
      <c r="N844" s="324"/>
      <c r="O844" s="324"/>
      <c r="P844" s="324"/>
      <c r="Q844" s="324"/>
      <c r="R844" s="324"/>
      <c r="S844" s="324"/>
      <c r="T844" s="324"/>
      <c r="U844" s="324"/>
      <c r="V844" s="324"/>
      <c r="W844" s="324"/>
    </row>
    <row r="845">
      <c r="A845" s="323"/>
      <c r="B845" s="324"/>
      <c r="C845" s="324"/>
      <c r="D845" s="324"/>
      <c r="E845" s="324"/>
      <c r="F845" s="324"/>
      <c r="G845" s="324"/>
      <c r="H845" s="324"/>
      <c r="I845" s="324"/>
      <c r="J845" s="324"/>
      <c r="K845" s="324"/>
      <c r="L845" s="324"/>
      <c r="M845" s="324"/>
      <c r="N845" s="324"/>
      <c r="O845" s="324"/>
      <c r="P845" s="324"/>
      <c r="Q845" s="324"/>
      <c r="R845" s="324"/>
      <c r="S845" s="324"/>
      <c r="T845" s="324"/>
      <c r="U845" s="324"/>
      <c r="V845" s="324"/>
      <c r="W845" s="324"/>
    </row>
    <row r="846">
      <c r="A846" s="323"/>
      <c r="B846" s="324"/>
      <c r="C846" s="324"/>
      <c r="D846" s="324"/>
      <c r="E846" s="324"/>
      <c r="F846" s="324"/>
      <c r="G846" s="324"/>
      <c r="H846" s="324"/>
      <c r="I846" s="324"/>
      <c r="J846" s="324"/>
      <c r="K846" s="324"/>
      <c r="L846" s="324"/>
      <c r="M846" s="324"/>
      <c r="N846" s="324"/>
      <c r="O846" s="324"/>
      <c r="P846" s="324"/>
      <c r="Q846" s="324"/>
      <c r="R846" s="324"/>
      <c r="S846" s="324"/>
      <c r="T846" s="324"/>
      <c r="U846" s="324"/>
      <c r="V846" s="324"/>
      <c r="W846" s="324"/>
    </row>
    <row r="847">
      <c r="A847" s="323"/>
      <c r="B847" s="324"/>
      <c r="C847" s="324"/>
      <c r="D847" s="324"/>
      <c r="E847" s="324"/>
      <c r="F847" s="324"/>
      <c r="G847" s="324"/>
      <c r="H847" s="324"/>
      <c r="I847" s="324"/>
      <c r="J847" s="324"/>
      <c r="K847" s="324"/>
      <c r="L847" s="324"/>
      <c r="M847" s="324"/>
      <c r="N847" s="324"/>
      <c r="O847" s="324"/>
      <c r="P847" s="324"/>
      <c r="Q847" s="324"/>
      <c r="R847" s="324"/>
      <c r="S847" s="324"/>
      <c r="T847" s="324"/>
      <c r="U847" s="324"/>
      <c r="V847" s="324"/>
      <c r="W847" s="324"/>
    </row>
    <row r="848">
      <c r="A848" s="323"/>
      <c r="B848" s="324"/>
      <c r="C848" s="324"/>
      <c r="D848" s="324"/>
      <c r="E848" s="324"/>
      <c r="F848" s="324"/>
      <c r="G848" s="324"/>
      <c r="H848" s="324"/>
      <c r="I848" s="324"/>
      <c r="J848" s="324"/>
      <c r="K848" s="324"/>
      <c r="L848" s="324"/>
      <c r="M848" s="324"/>
      <c r="N848" s="324"/>
      <c r="O848" s="324"/>
      <c r="P848" s="324"/>
      <c r="Q848" s="324"/>
      <c r="R848" s="324"/>
      <c r="S848" s="324"/>
      <c r="T848" s="324"/>
      <c r="U848" s="324"/>
      <c r="V848" s="324"/>
      <c r="W848" s="324"/>
    </row>
    <row r="849">
      <c r="A849" s="323"/>
      <c r="B849" s="324"/>
      <c r="C849" s="324"/>
      <c r="D849" s="324"/>
      <c r="E849" s="324"/>
      <c r="F849" s="324"/>
      <c r="G849" s="324"/>
      <c r="H849" s="324"/>
      <c r="I849" s="324"/>
      <c r="J849" s="324"/>
      <c r="K849" s="324"/>
      <c r="L849" s="324"/>
      <c r="M849" s="324"/>
      <c r="N849" s="324"/>
      <c r="O849" s="324"/>
      <c r="P849" s="324"/>
      <c r="Q849" s="324"/>
      <c r="R849" s="324"/>
      <c r="S849" s="324"/>
      <c r="T849" s="324"/>
      <c r="U849" s="324"/>
      <c r="V849" s="324"/>
      <c r="W849" s="324"/>
    </row>
    <row r="850">
      <c r="A850" s="323"/>
      <c r="B850" s="324"/>
      <c r="C850" s="324"/>
      <c r="D850" s="324"/>
      <c r="E850" s="324"/>
      <c r="F850" s="324"/>
      <c r="G850" s="324"/>
      <c r="H850" s="324"/>
      <c r="I850" s="324"/>
      <c r="J850" s="324"/>
      <c r="K850" s="324"/>
      <c r="L850" s="324"/>
      <c r="M850" s="324"/>
      <c r="N850" s="324"/>
      <c r="O850" s="324"/>
      <c r="P850" s="324"/>
      <c r="Q850" s="324"/>
      <c r="R850" s="324"/>
      <c r="S850" s="324"/>
      <c r="T850" s="324"/>
      <c r="U850" s="324"/>
      <c r="V850" s="324"/>
      <c r="W850" s="324"/>
    </row>
    <row r="851">
      <c r="A851" s="323"/>
      <c r="B851" s="324"/>
      <c r="C851" s="324"/>
      <c r="D851" s="324"/>
      <c r="E851" s="324"/>
      <c r="F851" s="324"/>
      <c r="G851" s="324"/>
      <c r="H851" s="324"/>
      <c r="I851" s="324"/>
      <c r="J851" s="324"/>
      <c r="K851" s="324"/>
      <c r="L851" s="324"/>
      <c r="M851" s="324"/>
      <c r="N851" s="324"/>
      <c r="O851" s="324"/>
      <c r="P851" s="324"/>
      <c r="Q851" s="324"/>
      <c r="R851" s="324"/>
      <c r="S851" s="324"/>
      <c r="T851" s="324"/>
      <c r="U851" s="324"/>
      <c r="V851" s="324"/>
      <c r="W851" s="324"/>
    </row>
    <row r="852">
      <c r="A852" s="323"/>
      <c r="B852" s="324"/>
      <c r="C852" s="324"/>
      <c r="D852" s="324"/>
      <c r="E852" s="324"/>
      <c r="F852" s="324"/>
      <c r="G852" s="324"/>
      <c r="H852" s="324"/>
      <c r="I852" s="324"/>
      <c r="J852" s="324"/>
      <c r="K852" s="324"/>
      <c r="L852" s="324"/>
      <c r="M852" s="324"/>
      <c r="N852" s="324"/>
      <c r="O852" s="324"/>
      <c r="P852" s="324"/>
      <c r="Q852" s="324"/>
      <c r="R852" s="324"/>
      <c r="S852" s="324"/>
      <c r="T852" s="324"/>
      <c r="U852" s="324"/>
      <c r="V852" s="324"/>
      <c r="W852" s="324"/>
    </row>
    <row r="853">
      <c r="A853" s="323"/>
      <c r="B853" s="324"/>
      <c r="C853" s="324"/>
      <c r="D853" s="324"/>
      <c r="E853" s="324"/>
      <c r="F853" s="324"/>
      <c r="G853" s="324"/>
      <c r="H853" s="324"/>
      <c r="I853" s="324"/>
      <c r="J853" s="324"/>
      <c r="K853" s="324"/>
      <c r="L853" s="324"/>
      <c r="M853" s="324"/>
      <c r="N853" s="324"/>
      <c r="O853" s="324"/>
      <c r="P853" s="324"/>
      <c r="Q853" s="324"/>
      <c r="R853" s="324"/>
      <c r="S853" s="324"/>
      <c r="T853" s="324"/>
      <c r="U853" s="324"/>
      <c r="V853" s="324"/>
      <c r="W853" s="324"/>
    </row>
    <row r="854">
      <c r="A854" s="323"/>
      <c r="B854" s="324"/>
      <c r="C854" s="324"/>
      <c r="D854" s="324"/>
      <c r="E854" s="324"/>
      <c r="F854" s="324"/>
      <c r="G854" s="324"/>
      <c r="H854" s="324"/>
      <c r="I854" s="324"/>
      <c r="J854" s="324"/>
      <c r="K854" s="324"/>
      <c r="L854" s="324"/>
      <c r="M854" s="324"/>
      <c r="N854" s="324"/>
      <c r="O854" s="324"/>
      <c r="P854" s="324"/>
      <c r="Q854" s="324"/>
      <c r="R854" s="324"/>
      <c r="S854" s="324"/>
      <c r="T854" s="324"/>
      <c r="U854" s="324"/>
      <c r="V854" s="324"/>
      <c r="W854" s="324"/>
    </row>
    <row r="855">
      <c r="A855" s="323"/>
      <c r="B855" s="324"/>
      <c r="C855" s="324"/>
      <c r="D855" s="324"/>
      <c r="E855" s="324"/>
      <c r="F855" s="324"/>
      <c r="G855" s="324"/>
      <c r="H855" s="324"/>
      <c r="I855" s="324"/>
      <c r="J855" s="324"/>
      <c r="K855" s="324"/>
      <c r="L855" s="324"/>
      <c r="M855" s="324"/>
      <c r="N855" s="324"/>
      <c r="O855" s="324"/>
      <c r="P855" s="324"/>
      <c r="Q855" s="324"/>
      <c r="R855" s="324"/>
      <c r="S855" s="324"/>
      <c r="T855" s="324"/>
      <c r="U855" s="324"/>
      <c r="V855" s="324"/>
      <c r="W855" s="324"/>
    </row>
    <row r="856">
      <c r="A856" s="323"/>
      <c r="B856" s="324"/>
      <c r="C856" s="324"/>
      <c r="D856" s="324"/>
      <c r="E856" s="324"/>
      <c r="F856" s="324"/>
      <c r="G856" s="324"/>
      <c r="H856" s="324"/>
      <c r="I856" s="324"/>
      <c r="J856" s="324"/>
      <c r="K856" s="324"/>
      <c r="L856" s="324"/>
      <c r="M856" s="324"/>
      <c r="N856" s="324"/>
      <c r="O856" s="324"/>
      <c r="P856" s="324"/>
      <c r="Q856" s="324"/>
      <c r="R856" s="324"/>
      <c r="S856" s="324"/>
      <c r="T856" s="324"/>
      <c r="U856" s="324"/>
      <c r="V856" s="324"/>
      <c r="W856" s="324"/>
    </row>
    <row r="857">
      <c r="A857" s="323"/>
      <c r="B857" s="324"/>
      <c r="C857" s="324"/>
      <c r="D857" s="324"/>
      <c r="E857" s="324"/>
      <c r="F857" s="324"/>
      <c r="G857" s="324"/>
      <c r="H857" s="324"/>
      <c r="I857" s="324"/>
      <c r="J857" s="324"/>
      <c r="K857" s="324"/>
      <c r="L857" s="324"/>
      <c r="M857" s="324"/>
      <c r="N857" s="324"/>
      <c r="O857" s="324"/>
      <c r="P857" s="324"/>
      <c r="Q857" s="324"/>
      <c r="R857" s="324"/>
      <c r="S857" s="324"/>
      <c r="T857" s="324"/>
      <c r="U857" s="324"/>
      <c r="V857" s="324"/>
      <c r="W857" s="324"/>
    </row>
    <row r="858">
      <c r="A858" s="323"/>
      <c r="B858" s="324"/>
      <c r="C858" s="324"/>
      <c r="D858" s="324"/>
      <c r="E858" s="324"/>
      <c r="F858" s="324"/>
      <c r="G858" s="324"/>
      <c r="H858" s="324"/>
      <c r="I858" s="324"/>
      <c r="J858" s="324"/>
      <c r="K858" s="324"/>
      <c r="L858" s="324"/>
      <c r="M858" s="324"/>
      <c r="N858" s="324"/>
      <c r="O858" s="324"/>
      <c r="P858" s="324"/>
      <c r="Q858" s="324"/>
      <c r="R858" s="324"/>
      <c r="S858" s="324"/>
      <c r="T858" s="324"/>
      <c r="U858" s="324"/>
      <c r="V858" s="324"/>
      <c r="W858" s="324"/>
    </row>
    <row r="859">
      <c r="A859" s="323"/>
      <c r="B859" s="324"/>
      <c r="C859" s="324"/>
      <c r="D859" s="324"/>
      <c r="E859" s="324"/>
      <c r="F859" s="324"/>
      <c r="G859" s="324"/>
      <c r="H859" s="324"/>
      <c r="I859" s="324"/>
      <c r="J859" s="324"/>
      <c r="K859" s="324"/>
      <c r="L859" s="324"/>
      <c r="M859" s="324"/>
      <c r="N859" s="324"/>
      <c r="O859" s="324"/>
      <c r="P859" s="324"/>
      <c r="Q859" s="324"/>
      <c r="R859" s="324"/>
      <c r="S859" s="324"/>
      <c r="T859" s="324"/>
      <c r="U859" s="324"/>
      <c r="V859" s="324"/>
      <c r="W859" s="324"/>
    </row>
    <row r="860">
      <c r="A860" s="323"/>
      <c r="B860" s="324"/>
      <c r="C860" s="324"/>
      <c r="D860" s="324"/>
      <c r="E860" s="324"/>
      <c r="F860" s="324"/>
      <c r="G860" s="324"/>
      <c r="H860" s="324"/>
      <c r="I860" s="324"/>
      <c r="J860" s="324"/>
      <c r="K860" s="324"/>
      <c r="L860" s="324"/>
      <c r="M860" s="324"/>
      <c r="N860" s="324"/>
      <c r="O860" s="324"/>
      <c r="P860" s="324"/>
      <c r="Q860" s="324"/>
      <c r="R860" s="324"/>
      <c r="S860" s="324"/>
      <c r="T860" s="324"/>
      <c r="U860" s="324"/>
      <c r="V860" s="324"/>
      <c r="W860" s="324"/>
    </row>
    <row r="861">
      <c r="A861" s="323"/>
      <c r="B861" s="324"/>
      <c r="C861" s="324"/>
      <c r="D861" s="324"/>
      <c r="E861" s="324"/>
      <c r="F861" s="324"/>
      <c r="G861" s="324"/>
      <c r="H861" s="324"/>
      <c r="I861" s="324"/>
      <c r="J861" s="324"/>
      <c r="K861" s="324"/>
      <c r="L861" s="324"/>
      <c r="M861" s="324"/>
      <c r="N861" s="324"/>
      <c r="O861" s="324"/>
      <c r="P861" s="324"/>
      <c r="Q861" s="324"/>
      <c r="R861" s="324"/>
      <c r="S861" s="324"/>
      <c r="T861" s="324"/>
      <c r="U861" s="324"/>
      <c r="V861" s="324"/>
      <c r="W861" s="324"/>
    </row>
    <row r="862">
      <c r="A862" s="323"/>
      <c r="B862" s="324"/>
      <c r="C862" s="324"/>
      <c r="D862" s="324"/>
      <c r="E862" s="324"/>
      <c r="F862" s="324"/>
      <c r="G862" s="324"/>
      <c r="H862" s="324"/>
      <c r="I862" s="324"/>
      <c r="J862" s="324"/>
      <c r="K862" s="324"/>
      <c r="L862" s="324"/>
      <c r="M862" s="324"/>
      <c r="N862" s="324"/>
      <c r="O862" s="324"/>
      <c r="P862" s="324"/>
      <c r="Q862" s="324"/>
      <c r="R862" s="324"/>
      <c r="S862" s="324"/>
      <c r="T862" s="324"/>
      <c r="U862" s="324"/>
      <c r="V862" s="324"/>
      <c r="W862" s="324"/>
    </row>
    <row r="863">
      <c r="A863" s="323"/>
      <c r="B863" s="324"/>
      <c r="C863" s="324"/>
      <c r="D863" s="324"/>
      <c r="E863" s="324"/>
      <c r="F863" s="324"/>
      <c r="G863" s="324"/>
      <c r="H863" s="324"/>
      <c r="I863" s="324"/>
      <c r="J863" s="324"/>
      <c r="K863" s="324"/>
      <c r="L863" s="324"/>
      <c r="M863" s="324"/>
      <c r="N863" s="324"/>
      <c r="O863" s="324"/>
      <c r="P863" s="324"/>
      <c r="Q863" s="324"/>
      <c r="R863" s="324"/>
      <c r="S863" s="324"/>
      <c r="T863" s="324"/>
      <c r="U863" s="324"/>
      <c r="V863" s="324"/>
      <c r="W863" s="324"/>
    </row>
    <row r="864">
      <c r="A864" s="323"/>
      <c r="B864" s="324"/>
      <c r="C864" s="324"/>
      <c r="D864" s="324"/>
      <c r="E864" s="324"/>
      <c r="F864" s="324"/>
      <c r="G864" s="324"/>
      <c r="H864" s="324"/>
      <c r="I864" s="324"/>
      <c r="J864" s="324"/>
      <c r="K864" s="324"/>
      <c r="L864" s="324"/>
      <c r="M864" s="324"/>
      <c r="N864" s="324"/>
      <c r="O864" s="324"/>
      <c r="P864" s="324"/>
      <c r="Q864" s="324"/>
      <c r="R864" s="324"/>
      <c r="S864" s="324"/>
      <c r="T864" s="324"/>
      <c r="U864" s="324"/>
      <c r="V864" s="324"/>
      <c r="W864" s="324"/>
    </row>
    <row r="865">
      <c r="A865" s="323"/>
      <c r="B865" s="324"/>
      <c r="C865" s="324"/>
      <c r="D865" s="324"/>
      <c r="E865" s="324"/>
      <c r="F865" s="324"/>
      <c r="G865" s="324"/>
      <c r="H865" s="324"/>
      <c r="I865" s="324"/>
      <c r="J865" s="324"/>
      <c r="K865" s="324"/>
      <c r="L865" s="324"/>
      <c r="M865" s="324"/>
      <c r="N865" s="324"/>
      <c r="O865" s="324"/>
      <c r="P865" s="324"/>
      <c r="Q865" s="324"/>
      <c r="R865" s="324"/>
      <c r="S865" s="324"/>
      <c r="T865" s="324"/>
      <c r="U865" s="324"/>
      <c r="V865" s="324"/>
      <c r="W865" s="324"/>
    </row>
    <row r="866">
      <c r="A866" s="323"/>
      <c r="B866" s="324"/>
      <c r="C866" s="324"/>
      <c r="D866" s="324"/>
      <c r="E866" s="324"/>
      <c r="F866" s="324"/>
      <c r="G866" s="324"/>
      <c r="H866" s="324"/>
      <c r="I866" s="324"/>
      <c r="J866" s="324"/>
      <c r="K866" s="324"/>
      <c r="L866" s="324"/>
      <c r="M866" s="324"/>
      <c r="N866" s="324"/>
      <c r="O866" s="324"/>
      <c r="P866" s="324"/>
      <c r="Q866" s="324"/>
      <c r="R866" s="324"/>
      <c r="S866" s="324"/>
      <c r="T866" s="324"/>
      <c r="U866" s="324"/>
      <c r="V866" s="324"/>
      <c r="W866" s="324"/>
    </row>
    <row r="867">
      <c r="A867" s="323"/>
      <c r="B867" s="324"/>
      <c r="C867" s="324"/>
      <c r="D867" s="324"/>
      <c r="E867" s="324"/>
      <c r="F867" s="324"/>
      <c r="G867" s="324"/>
      <c r="H867" s="324"/>
      <c r="I867" s="324"/>
      <c r="J867" s="324"/>
      <c r="K867" s="324"/>
      <c r="L867" s="324"/>
      <c r="M867" s="324"/>
      <c r="N867" s="324"/>
      <c r="O867" s="324"/>
      <c r="P867" s="324"/>
      <c r="Q867" s="324"/>
      <c r="R867" s="324"/>
      <c r="S867" s="324"/>
      <c r="T867" s="324"/>
      <c r="U867" s="324"/>
      <c r="V867" s="324"/>
      <c r="W867" s="324"/>
    </row>
    <row r="868">
      <c r="A868" s="323"/>
      <c r="B868" s="324"/>
      <c r="C868" s="324"/>
      <c r="D868" s="324"/>
      <c r="E868" s="324"/>
      <c r="F868" s="324"/>
      <c r="G868" s="324"/>
      <c r="H868" s="324"/>
      <c r="I868" s="324"/>
      <c r="J868" s="324"/>
      <c r="K868" s="324"/>
      <c r="L868" s="324"/>
      <c r="M868" s="324"/>
      <c r="N868" s="324"/>
      <c r="O868" s="324"/>
      <c r="P868" s="324"/>
      <c r="Q868" s="324"/>
      <c r="R868" s="324"/>
      <c r="S868" s="324"/>
      <c r="T868" s="324"/>
      <c r="U868" s="324"/>
      <c r="V868" s="324"/>
      <c r="W868" s="324"/>
    </row>
    <row r="869">
      <c r="A869" s="323"/>
      <c r="B869" s="324"/>
      <c r="C869" s="324"/>
      <c r="D869" s="324"/>
      <c r="E869" s="324"/>
      <c r="F869" s="324"/>
      <c r="G869" s="324"/>
      <c r="H869" s="324"/>
      <c r="I869" s="324"/>
      <c r="J869" s="324"/>
      <c r="K869" s="324"/>
      <c r="L869" s="324"/>
      <c r="M869" s="324"/>
      <c r="N869" s="324"/>
      <c r="O869" s="324"/>
      <c r="P869" s="324"/>
      <c r="Q869" s="324"/>
      <c r="R869" s="324"/>
      <c r="S869" s="324"/>
      <c r="T869" s="324"/>
      <c r="U869" s="324"/>
      <c r="V869" s="324"/>
      <c r="W869" s="324"/>
    </row>
    <row r="870">
      <c r="A870" s="323"/>
      <c r="B870" s="324"/>
      <c r="C870" s="324"/>
      <c r="D870" s="324"/>
      <c r="E870" s="324"/>
      <c r="F870" s="324"/>
      <c r="G870" s="324"/>
      <c r="H870" s="324"/>
      <c r="I870" s="324"/>
      <c r="J870" s="324"/>
      <c r="K870" s="324"/>
      <c r="L870" s="324"/>
      <c r="M870" s="324"/>
      <c r="N870" s="324"/>
      <c r="O870" s="324"/>
      <c r="P870" s="324"/>
      <c r="Q870" s="324"/>
      <c r="R870" s="324"/>
      <c r="S870" s="324"/>
      <c r="T870" s="324"/>
      <c r="U870" s="324"/>
      <c r="V870" s="324"/>
      <c r="W870" s="324"/>
    </row>
    <row r="871">
      <c r="A871" s="323"/>
      <c r="B871" s="324"/>
      <c r="C871" s="324"/>
      <c r="D871" s="324"/>
      <c r="E871" s="324"/>
      <c r="F871" s="324"/>
      <c r="G871" s="324"/>
      <c r="H871" s="324"/>
      <c r="I871" s="324"/>
      <c r="J871" s="324"/>
      <c r="K871" s="324"/>
      <c r="L871" s="324"/>
      <c r="M871" s="324"/>
      <c r="N871" s="324"/>
      <c r="O871" s="324"/>
      <c r="P871" s="324"/>
      <c r="Q871" s="324"/>
      <c r="R871" s="324"/>
      <c r="S871" s="324"/>
      <c r="T871" s="324"/>
      <c r="U871" s="324"/>
      <c r="V871" s="324"/>
      <c r="W871" s="324"/>
    </row>
    <row r="872">
      <c r="A872" s="323"/>
      <c r="B872" s="324"/>
      <c r="C872" s="324"/>
      <c r="D872" s="324"/>
      <c r="E872" s="324"/>
      <c r="F872" s="324"/>
      <c r="G872" s="324"/>
      <c r="H872" s="324"/>
      <c r="I872" s="324"/>
      <c r="J872" s="324"/>
      <c r="K872" s="324"/>
      <c r="L872" s="324"/>
      <c r="M872" s="324"/>
      <c r="N872" s="324"/>
      <c r="O872" s="324"/>
      <c r="P872" s="324"/>
      <c r="Q872" s="324"/>
      <c r="R872" s="324"/>
      <c r="S872" s="324"/>
      <c r="T872" s="324"/>
      <c r="U872" s="324"/>
      <c r="V872" s="324"/>
      <c r="W872" s="324"/>
    </row>
    <row r="873">
      <c r="A873" s="323"/>
      <c r="B873" s="324"/>
      <c r="C873" s="324"/>
      <c r="D873" s="324"/>
      <c r="E873" s="324"/>
      <c r="F873" s="324"/>
      <c r="G873" s="324"/>
      <c r="H873" s="324"/>
      <c r="I873" s="324"/>
      <c r="J873" s="324"/>
      <c r="K873" s="324"/>
      <c r="L873" s="324"/>
      <c r="M873" s="324"/>
      <c r="N873" s="324"/>
      <c r="O873" s="324"/>
      <c r="P873" s="324"/>
      <c r="Q873" s="324"/>
      <c r="R873" s="324"/>
      <c r="S873" s="324"/>
      <c r="T873" s="324"/>
      <c r="U873" s="324"/>
      <c r="V873" s="324"/>
      <c r="W873" s="324"/>
    </row>
    <row r="874">
      <c r="A874" s="323"/>
      <c r="B874" s="324"/>
      <c r="C874" s="324"/>
      <c r="D874" s="324"/>
      <c r="E874" s="324"/>
      <c r="F874" s="324"/>
      <c r="G874" s="324"/>
      <c r="H874" s="324"/>
      <c r="I874" s="324"/>
      <c r="J874" s="324"/>
      <c r="K874" s="324"/>
      <c r="L874" s="324"/>
      <c r="M874" s="324"/>
      <c r="N874" s="324"/>
      <c r="O874" s="324"/>
      <c r="P874" s="324"/>
      <c r="Q874" s="324"/>
      <c r="R874" s="324"/>
      <c r="S874" s="324"/>
      <c r="T874" s="324"/>
      <c r="U874" s="324"/>
      <c r="V874" s="324"/>
      <c r="W874" s="324"/>
    </row>
    <row r="875">
      <c r="A875" s="323"/>
      <c r="B875" s="324"/>
      <c r="C875" s="324"/>
      <c r="D875" s="324"/>
      <c r="E875" s="324"/>
      <c r="F875" s="324"/>
      <c r="G875" s="324"/>
      <c r="H875" s="324"/>
      <c r="I875" s="324"/>
      <c r="J875" s="324"/>
      <c r="K875" s="324"/>
      <c r="L875" s="324"/>
      <c r="M875" s="324"/>
      <c r="N875" s="324"/>
      <c r="O875" s="324"/>
      <c r="P875" s="324"/>
      <c r="Q875" s="324"/>
      <c r="R875" s="324"/>
      <c r="S875" s="324"/>
      <c r="T875" s="324"/>
      <c r="U875" s="324"/>
      <c r="V875" s="324"/>
      <c r="W875" s="324"/>
    </row>
    <row r="876">
      <c r="A876" s="323"/>
      <c r="B876" s="324"/>
      <c r="C876" s="324"/>
      <c r="D876" s="324"/>
      <c r="E876" s="324"/>
      <c r="F876" s="324"/>
      <c r="G876" s="324"/>
      <c r="H876" s="324"/>
      <c r="I876" s="324"/>
      <c r="J876" s="324"/>
      <c r="K876" s="324"/>
      <c r="L876" s="324"/>
      <c r="M876" s="324"/>
      <c r="N876" s="324"/>
      <c r="O876" s="324"/>
      <c r="P876" s="324"/>
      <c r="Q876" s="324"/>
      <c r="R876" s="324"/>
      <c r="S876" s="324"/>
      <c r="T876" s="324"/>
      <c r="U876" s="324"/>
      <c r="V876" s="324"/>
      <c r="W876" s="324"/>
    </row>
    <row r="877">
      <c r="A877" s="323"/>
      <c r="B877" s="324"/>
      <c r="C877" s="324"/>
      <c r="D877" s="324"/>
      <c r="E877" s="324"/>
      <c r="F877" s="324"/>
      <c r="G877" s="324"/>
      <c r="H877" s="324"/>
      <c r="I877" s="324"/>
      <c r="J877" s="324"/>
      <c r="K877" s="324"/>
      <c r="L877" s="324"/>
      <c r="M877" s="324"/>
      <c r="N877" s="324"/>
      <c r="O877" s="324"/>
      <c r="P877" s="324"/>
      <c r="Q877" s="324"/>
      <c r="R877" s="324"/>
      <c r="S877" s="324"/>
      <c r="T877" s="324"/>
      <c r="U877" s="324"/>
      <c r="V877" s="324"/>
      <c r="W877" s="324"/>
    </row>
    <row r="878">
      <c r="A878" s="323"/>
      <c r="B878" s="324"/>
      <c r="C878" s="324"/>
      <c r="D878" s="324"/>
      <c r="E878" s="324"/>
      <c r="F878" s="324"/>
      <c r="G878" s="324"/>
      <c r="H878" s="324"/>
      <c r="I878" s="324"/>
      <c r="J878" s="324"/>
      <c r="K878" s="324"/>
      <c r="L878" s="324"/>
      <c r="M878" s="324"/>
      <c r="N878" s="324"/>
      <c r="O878" s="324"/>
      <c r="P878" s="324"/>
      <c r="Q878" s="324"/>
      <c r="R878" s="324"/>
      <c r="S878" s="324"/>
      <c r="T878" s="324"/>
      <c r="U878" s="324"/>
      <c r="V878" s="324"/>
      <c r="W878" s="324"/>
    </row>
    <row r="879">
      <c r="A879" s="323"/>
      <c r="B879" s="324"/>
      <c r="C879" s="324"/>
      <c r="D879" s="324"/>
      <c r="E879" s="324"/>
      <c r="F879" s="324"/>
      <c r="G879" s="324"/>
      <c r="H879" s="324"/>
      <c r="I879" s="324"/>
      <c r="J879" s="324"/>
      <c r="K879" s="324"/>
      <c r="L879" s="324"/>
      <c r="M879" s="324"/>
      <c r="N879" s="324"/>
      <c r="O879" s="324"/>
      <c r="P879" s="324"/>
      <c r="Q879" s="324"/>
      <c r="R879" s="324"/>
      <c r="S879" s="324"/>
      <c r="T879" s="324"/>
      <c r="U879" s="324"/>
      <c r="V879" s="324"/>
      <c r="W879" s="324"/>
    </row>
    <row r="880">
      <c r="A880" s="323"/>
      <c r="B880" s="324"/>
      <c r="C880" s="324"/>
      <c r="D880" s="324"/>
      <c r="E880" s="324"/>
      <c r="F880" s="324"/>
      <c r="G880" s="324"/>
      <c r="H880" s="324"/>
      <c r="I880" s="324"/>
      <c r="J880" s="324"/>
      <c r="K880" s="324"/>
      <c r="L880" s="324"/>
      <c r="M880" s="324"/>
      <c r="N880" s="324"/>
      <c r="O880" s="324"/>
      <c r="P880" s="324"/>
      <c r="Q880" s="324"/>
      <c r="R880" s="324"/>
      <c r="S880" s="324"/>
      <c r="T880" s="324"/>
      <c r="U880" s="324"/>
      <c r="V880" s="324"/>
      <c r="W880" s="324"/>
    </row>
    <row r="881">
      <c r="A881" s="323"/>
      <c r="B881" s="324"/>
      <c r="C881" s="324"/>
      <c r="D881" s="324"/>
      <c r="E881" s="324"/>
      <c r="F881" s="324"/>
      <c r="G881" s="324"/>
      <c r="H881" s="324"/>
      <c r="I881" s="324"/>
      <c r="J881" s="324"/>
      <c r="K881" s="324"/>
      <c r="L881" s="324"/>
      <c r="M881" s="324"/>
      <c r="N881" s="324"/>
      <c r="O881" s="324"/>
      <c r="P881" s="324"/>
      <c r="Q881" s="324"/>
      <c r="R881" s="324"/>
      <c r="S881" s="324"/>
      <c r="T881" s="324"/>
      <c r="U881" s="324"/>
      <c r="V881" s="324"/>
      <c r="W881" s="324"/>
    </row>
    <row r="882">
      <c r="A882" s="323"/>
      <c r="B882" s="324"/>
      <c r="C882" s="324"/>
      <c r="D882" s="324"/>
      <c r="E882" s="324"/>
      <c r="F882" s="324"/>
      <c r="G882" s="324"/>
      <c r="H882" s="324"/>
      <c r="I882" s="324"/>
      <c r="J882" s="324"/>
      <c r="K882" s="324"/>
      <c r="L882" s="324"/>
      <c r="M882" s="324"/>
      <c r="N882" s="324"/>
      <c r="O882" s="324"/>
      <c r="P882" s="324"/>
      <c r="Q882" s="324"/>
      <c r="R882" s="324"/>
      <c r="S882" s="324"/>
      <c r="T882" s="324"/>
      <c r="U882" s="324"/>
      <c r="V882" s="324"/>
      <c r="W882" s="324"/>
    </row>
    <row r="883">
      <c r="A883" s="323"/>
      <c r="B883" s="324"/>
      <c r="C883" s="324"/>
      <c r="D883" s="324"/>
      <c r="E883" s="324"/>
      <c r="F883" s="324"/>
      <c r="G883" s="324"/>
      <c r="H883" s="324"/>
      <c r="I883" s="324"/>
      <c r="J883" s="324"/>
      <c r="K883" s="324"/>
      <c r="L883" s="324"/>
      <c r="M883" s="324"/>
      <c r="N883" s="324"/>
      <c r="O883" s="324"/>
      <c r="P883" s="324"/>
      <c r="Q883" s="324"/>
      <c r="R883" s="324"/>
      <c r="S883" s="324"/>
      <c r="T883" s="324"/>
      <c r="U883" s="324"/>
      <c r="V883" s="324"/>
      <c r="W883" s="324"/>
    </row>
    <row r="884">
      <c r="A884" s="323"/>
      <c r="B884" s="324"/>
      <c r="C884" s="324"/>
      <c r="D884" s="324"/>
      <c r="E884" s="324"/>
      <c r="F884" s="324"/>
      <c r="G884" s="324"/>
      <c r="H884" s="324"/>
      <c r="I884" s="324"/>
      <c r="J884" s="324"/>
      <c r="K884" s="324"/>
      <c r="L884" s="324"/>
      <c r="M884" s="324"/>
      <c r="N884" s="324"/>
      <c r="O884" s="324"/>
      <c r="P884" s="324"/>
      <c r="Q884" s="324"/>
      <c r="R884" s="324"/>
      <c r="S884" s="324"/>
      <c r="T884" s="324"/>
      <c r="U884" s="324"/>
      <c r="V884" s="324"/>
      <c r="W884" s="324"/>
    </row>
    <row r="885">
      <c r="A885" s="323"/>
      <c r="B885" s="324"/>
      <c r="C885" s="324"/>
      <c r="D885" s="324"/>
      <c r="E885" s="324"/>
      <c r="F885" s="324"/>
      <c r="G885" s="324"/>
      <c r="H885" s="324"/>
      <c r="I885" s="324"/>
      <c r="J885" s="324"/>
      <c r="K885" s="324"/>
      <c r="L885" s="324"/>
      <c r="M885" s="324"/>
      <c r="N885" s="324"/>
      <c r="O885" s="324"/>
      <c r="P885" s="324"/>
      <c r="Q885" s="324"/>
      <c r="R885" s="324"/>
      <c r="S885" s="324"/>
      <c r="T885" s="324"/>
      <c r="U885" s="324"/>
      <c r="V885" s="324"/>
      <c r="W885" s="324"/>
    </row>
    <row r="886">
      <c r="A886" s="323"/>
      <c r="B886" s="324"/>
      <c r="C886" s="324"/>
      <c r="D886" s="324"/>
      <c r="E886" s="324"/>
      <c r="F886" s="324"/>
      <c r="G886" s="324"/>
      <c r="H886" s="324"/>
      <c r="I886" s="324"/>
      <c r="J886" s="324"/>
      <c r="K886" s="324"/>
      <c r="L886" s="324"/>
      <c r="M886" s="324"/>
      <c r="N886" s="324"/>
      <c r="O886" s="324"/>
      <c r="P886" s="324"/>
      <c r="Q886" s="324"/>
      <c r="R886" s="324"/>
      <c r="S886" s="324"/>
      <c r="T886" s="324"/>
      <c r="U886" s="324"/>
      <c r="V886" s="324"/>
      <c r="W886" s="324"/>
    </row>
    <row r="887">
      <c r="A887" s="323"/>
      <c r="B887" s="324"/>
      <c r="C887" s="324"/>
      <c r="D887" s="324"/>
      <c r="E887" s="324"/>
      <c r="F887" s="324"/>
      <c r="G887" s="324"/>
      <c r="H887" s="324"/>
      <c r="I887" s="324"/>
      <c r="J887" s="324"/>
      <c r="K887" s="324"/>
      <c r="L887" s="324"/>
      <c r="M887" s="324"/>
      <c r="N887" s="324"/>
      <c r="O887" s="324"/>
      <c r="P887" s="324"/>
      <c r="Q887" s="324"/>
      <c r="R887" s="324"/>
      <c r="S887" s="324"/>
      <c r="T887" s="324"/>
      <c r="U887" s="324"/>
      <c r="V887" s="324"/>
      <c r="W887" s="324"/>
    </row>
    <row r="888">
      <c r="A888" s="323"/>
      <c r="B888" s="324"/>
      <c r="C888" s="324"/>
      <c r="D888" s="324"/>
      <c r="E888" s="324"/>
      <c r="F888" s="324"/>
      <c r="G888" s="324"/>
      <c r="H888" s="324"/>
      <c r="I888" s="324"/>
      <c r="J888" s="324"/>
      <c r="K888" s="324"/>
      <c r="L888" s="324"/>
      <c r="M888" s="324"/>
      <c r="N888" s="324"/>
      <c r="O888" s="324"/>
      <c r="P888" s="324"/>
      <c r="Q888" s="324"/>
      <c r="R888" s="324"/>
      <c r="S888" s="324"/>
      <c r="T888" s="324"/>
      <c r="U888" s="324"/>
      <c r="V888" s="324"/>
      <c r="W888" s="324"/>
    </row>
    <row r="889">
      <c r="A889" s="323"/>
      <c r="B889" s="324"/>
      <c r="C889" s="324"/>
      <c r="D889" s="324"/>
      <c r="E889" s="324"/>
      <c r="F889" s="324"/>
      <c r="G889" s="324"/>
      <c r="H889" s="324"/>
      <c r="I889" s="324"/>
      <c r="J889" s="324"/>
      <c r="K889" s="324"/>
      <c r="L889" s="324"/>
      <c r="M889" s="324"/>
      <c r="N889" s="324"/>
      <c r="O889" s="324"/>
      <c r="P889" s="324"/>
      <c r="Q889" s="324"/>
      <c r="R889" s="324"/>
      <c r="S889" s="324"/>
      <c r="T889" s="324"/>
      <c r="U889" s="324"/>
      <c r="V889" s="324"/>
      <c r="W889" s="324"/>
    </row>
    <row r="890">
      <c r="A890" s="323"/>
      <c r="B890" s="324"/>
      <c r="C890" s="324"/>
      <c r="D890" s="324"/>
      <c r="E890" s="324"/>
      <c r="F890" s="324"/>
      <c r="G890" s="324"/>
      <c r="H890" s="324"/>
      <c r="I890" s="324"/>
      <c r="J890" s="324"/>
      <c r="K890" s="324"/>
      <c r="L890" s="324"/>
      <c r="M890" s="324"/>
      <c r="N890" s="324"/>
      <c r="O890" s="324"/>
      <c r="P890" s="324"/>
      <c r="Q890" s="324"/>
      <c r="R890" s="324"/>
      <c r="S890" s="324"/>
      <c r="T890" s="324"/>
      <c r="U890" s="324"/>
      <c r="V890" s="324"/>
      <c r="W890" s="324"/>
    </row>
    <row r="891">
      <c r="A891" s="323"/>
      <c r="B891" s="324"/>
      <c r="C891" s="324"/>
      <c r="D891" s="324"/>
      <c r="E891" s="324"/>
      <c r="F891" s="324"/>
      <c r="G891" s="324"/>
      <c r="H891" s="324"/>
      <c r="I891" s="324"/>
      <c r="J891" s="324"/>
      <c r="K891" s="324"/>
      <c r="L891" s="324"/>
      <c r="M891" s="324"/>
      <c r="N891" s="324"/>
      <c r="O891" s="324"/>
      <c r="P891" s="324"/>
      <c r="Q891" s="324"/>
      <c r="R891" s="324"/>
      <c r="S891" s="324"/>
      <c r="T891" s="324"/>
      <c r="U891" s="324"/>
      <c r="V891" s="324"/>
      <c r="W891" s="324"/>
    </row>
    <row r="892">
      <c r="A892" s="323"/>
      <c r="B892" s="324"/>
      <c r="C892" s="324"/>
      <c r="D892" s="324"/>
      <c r="E892" s="324"/>
      <c r="F892" s="324"/>
      <c r="G892" s="324"/>
      <c r="H892" s="324"/>
      <c r="I892" s="324"/>
      <c r="J892" s="324"/>
      <c r="K892" s="324"/>
      <c r="L892" s="324"/>
      <c r="M892" s="324"/>
      <c r="N892" s="324"/>
      <c r="O892" s="324"/>
      <c r="P892" s="324"/>
      <c r="Q892" s="324"/>
      <c r="R892" s="324"/>
      <c r="S892" s="324"/>
      <c r="T892" s="324"/>
      <c r="U892" s="324"/>
      <c r="V892" s="324"/>
      <c r="W892" s="324"/>
    </row>
    <row r="893">
      <c r="A893" s="323"/>
      <c r="B893" s="324"/>
      <c r="C893" s="324"/>
      <c r="D893" s="324"/>
      <c r="E893" s="324"/>
      <c r="F893" s="324"/>
      <c r="G893" s="324"/>
      <c r="H893" s="324"/>
      <c r="I893" s="324"/>
      <c r="J893" s="324"/>
      <c r="K893" s="324"/>
      <c r="L893" s="324"/>
      <c r="M893" s="324"/>
      <c r="N893" s="324"/>
      <c r="O893" s="324"/>
      <c r="P893" s="324"/>
      <c r="Q893" s="324"/>
      <c r="R893" s="324"/>
      <c r="S893" s="324"/>
      <c r="T893" s="324"/>
      <c r="U893" s="324"/>
      <c r="V893" s="324"/>
      <c r="W893" s="324"/>
    </row>
    <row r="894">
      <c r="A894" s="323"/>
      <c r="B894" s="324"/>
      <c r="C894" s="324"/>
      <c r="D894" s="324"/>
      <c r="E894" s="324"/>
      <c r="F894" s="324"/>
      <c r="G894" s="324"/>
      <c r="H894" s="324"/>
      <c r="I894" s="324"/>
      <c r="J894" s="324"/>
      <c r="K894" s="324"/>
      <c r="L894" s="324"/>
      <c r="M894" s="324"/>
      <c r="N894" s="324"/>
      <c r="O894" s="324"/>
      <c r="P894" s="324"/>
      <c r="Q894" s="324"/>
      <c r="R894" s="324"/>
      <c r="S894" s="324"/>
      <c r="T894" s="324"/>
      <c r="U894" s="324"/>
      <c r="V894" s="324"/>
      <c r="W894" s="324"/>
    </row>
    <row r="895">
      <c r="A895" s="323"/>
      <c r="B895" s="324"/>
      <c r="C895" s="324"/>
      <c r="D895" s="324"/>
      <c r="E895" s="324"/>
      <c r="F895" s="324"/>
      <c r="G895" s="324"/>
      <c r="H895" s="324"/>
      <c r="I895" s="324"/>
      <c r="J895" s="324"/>
      <c r="K895" s="324"/>
      <c r="L895" s="324"/>
      <c r="M895" s="324"/>
      <c r="N895" s="324"/>
      <c r="O895" s="324"/>
      <c r="P895" s="324"/>
      <c r="Q895" s="324"/>
      <c r="R895" s="324"/>
      <c r="S895" s="324"/>
      <c r="T895" s="324"/>
      <c r="U895" s="324"/>
      <c r="V895" s="324"/>
      <c r="W895" s="324"/>
    </row>
    <row r="896">
      <c r="A896" s="323"/>
      <c r="B896" s="324"/>
      <c r="C896" s="324"/>
      <c r="D896" s="324"/>
      <c r="E896" s="324"/>
      <c r="F896" s="324"/>
      <c r="G896" s="324"/>
      <c r="H896" s="324"/>
      <c r="I896" s="324"/>
      <c r="J896" s="324"/>
      <c r="K896" s="324"/>
      <c r="L896" s="324"/>
      <c r="M896" s="324"/>
      <c r="N896" s="324"/>
      <c r="O896" s="324"/>
      <c r="P896" s="324"/>
      <c r="Q896" s="324"/>
      <c r="R896" s="324"/>
      <c r="S896" s="324"/>
      <c r="T896" s="324"/>
      <c r="U896" s="324"/>
      <c r="V896" s="324"/>
      <c r="W896" s="324"/>
    </row>
    <row r="897">
      <c r="A897" s="323"/>
      <c r="B897" s="324"/>
      <c r="C897" s="324"/>
      <c r="D897" s="324"/>
      <c r="E897" s="324"/>
      <c r="F897" s="324"/>
      <c r="G897" s="324"/>
      <c r="H897" s="324"/>
      <c r="I897" s="324"/>
      <c r="J897" s="324"/>
      <c r="K897" s="324"/>
      <c r="L897" s="324"/>
      <c r="M897" s="324"/>
      <c r="N897" s="324"/>
      <c r="O897" s="324"/>
      <c r="P897" s="324"/>
      <c r="Q897" s="324"/>
      <c r="R897" s="324"/>
      <c r="S897" s="324"/>
      <c r="T897" s="324"/>
      <c r="U897" s="324"/>
      <c r="V897" s="324"/>
      <c r="W897" s="324"/>
    </row>
    <row r="898">
      <c r="A898" s="323"/>
      <c r="B898" s="324"/>
      <c r="C898" s="324"/>
      <c r="D898" s="324"/>
      <c r="E898" s="324"/>
      <c r="F898" s="324"/>
      <c r="G898" s="324"/>
      <c r="H898" s="324"/>
      <c r="I898" s="324"/>
      <c r="J898" s="324"/>
      <c r="K898" s="324"/>
      <c r="L898" s="324"/>
      <c r="M898" s="324"/>
      <c r="N898" s="324"/>
      <c r="O898" s="324"/>
      <c r="P898" s="324"/>
      <c r="Q898" s="324"/>
      <c r="R898" s="324"/>
      <c r="S898" s="324"/>
      <c r="T898" s="324"/>
      <c r="U898" s="324"/>
      <c r="V898" s="324"/>
      <c r="W898" s="324"/>
    </row>
    <row r="899">
      <c r="A899" s="323"/>
      <c r="B899" s="324"/>
      <c r="C899" s="324"/>
      <c r="D899" s="324"/>
      <c r="E899" s="324"/>
      <c r="F899" s="324"/>
      <c r="G899" s="324"/>
      <c r="H899" s="324"/>
      <c r="I899" s="324"/>
      <c r="J899" s="324"/>
      <c r="K899" s="324"/>
      <c r="L899" s="324"/>
      <c r="M899" s="324"/>
      <c r="N899" s="324"/>
      <c r="O899" s="324"/>
      <c r="P899" s="324"/>
      <c r="Q899" s="324"/>
      <c r="R899" s="324"/>
      <c r="S899" s="324"/>
      <c r="T899" s="324"/>
      <c r="U899" s="324"/>
      <c r="V899" s="324"/>
      <c r="W899" s="324"/>
    </row>
    <row r="900">
      <c r="A900" s="323"/>
      <c r="B900" s="324"/>
      <c r="C900" s="324"/>
      <c r="D900" s="324"/>
      <c r="E900" s="324"/>
      <c r="F900" s="324"/>
      <c r="G900" s="324"/>
      <c r="H900" s="324"/>
      <c r="I900" s="324"/>
      <c r="J900" s="324"/>
      <c r="K900" s="324"/>
      <c r="L900" s="324"/>
      <c r="M900" s="324"/>
      <c r="N900" s="324"/>
      <c r="O900" s="324"/>
      <c r="P900" s="324"/>
      <c r="Q900" s="324"/>
      <c r="R900" s="324"/>
      <c r="S900" s="324"/>
      <c r="T900" s="324"/>
      <c r="U900" s="324"/>
      <c r="V900" s="324"/>
      <c r="W900" s="324"/>
    </row>
    <row r="901">
      <c r="A901" s="323"/>
      <c r="B901" s="324"/>
      <c r="C901" s="324"/>
      <c r="D901" s="324"/>
      <c r="E901" s="324"/>
      <c r="F901" s="324"/>
      <c r="G901" s="324"/>
      <c r="H901" s="324"/>
      <c r="I901" s="324"/>
      <c r="J901" s="324"/>
      <c r="K901" s="324"/>
      <c r="L901" s="324"/>
      <c r="M901" s="324"/>
      <c r="N901" s="324"/>
      <c r="O901" s="324"/>
      <c r="P901" s="324"/>
      <c r="Q901" s="324"/>
      <c r="R901" s="324"/>
      <c r="S901" s="324"/>
      <c r="T901" s="324"/>
      <c r="U901" s="324"/>
      <c r="V901" s="324"/>
      <c r="W901" s="324"/>
    </row>
    <row r="902">
      <c r="A902" s="323"/>
      <c r="B902" s="324"/>
      <c r="C902" s="324"/>
      <c r="D902" s="324"/>
      <c r="E902" s="324"/>
      <c r="F902" s="324"/>
      <c r="G902" s="324"/>
      <c r="H902" s="324"/>
      <c r="I902" s="324"/>
      <c r="J902" s="324"/>
      <c r="K902" s="324"/>
      <c r="L902" s="324"/>
      <c r="M902" s="324"/>
      <c r="N902" s="324"/>
      <c r="O902" s="324"/>
      <c r="P902" s="324"/>
      <c r="Q902" s="324"/>
      <c r="R902" s="324"/>
      <c r="S902" s="324"/>
      <c r="T902" s="324"/>
      <c r="U902" s="324"/>
      <c r="V902" s="324"/>
      <c r="W902" s="324"/>
    </row>
    <row r="903">
      <c r="A903" s="323"/>
      <c r="B903" s="324"/>
      <c r="C903" s="324"/>
      <c r="D903" s="324"/>
      <c r="E903" s="324"/>
      <c r="F903" s="324"/>
      <c r="G903" s="324"/>
      <c r="H903" s="324"/>
      <c r="I903" s="324"/>
      <c r="J903" s="324"/>
      <c r="K903" s="324"/>
      <c r="L903" s="324"/>
      <c r="M903" s="324"/>
      <c r="N903" s="324"/>
      <c r="O903" s="324"/>
      <c r="P903" s="324"/>
      <c r="Q903" s="324"/>
      <c r="R903" s="324"/>
      <c r="S903" s="324"/>
      <c r="T903" s="324"/>
      <c r="U903" s="324"/>
      <c r="V903" s="324"/>
      <c r="W903" s="324"/>
    </row>
    <row r="904">
      <c r="A904" s="323"/>
      <c r="B904" s="324"/>
      <c r="C904" s="324"/>
      <c r="D904" s="324"/>
      <c r="E904" s="324"/>
      <c r="F904" s="324"/>
      <c r="G904" s="324"/>
      <c r="H904" s="324"/>
      <c r="I904" s="324"/>
      <c r="J904" s="324"/>
      <c r="K904" s="324"/>
      <c r="L904" s="324"/>
      <c r="M904" s="324"/>
      <c r="N904" s="324"/>
      <c r="O904" s="324"/>
      <c r="P904" s="324"/>
      <c r="Q904" s="324"/>
      <c r="R904" s="324"/>
      <c r="S904" s="324"/>
      <c r="T904" s="324"/>
      <c r="U904" s="324"/>
      <c r="V904" s="324"/>
      <c r="W904" s="324"/>
    </row>
    <row r="905">
      <c r="A905" s="323"/>
      <c r="B905" s="324"/>
      <c r="C905" s="324"/>
      <c r="D905" s="324"/>
      <c r="E905" s="324"/>
      <c r="F905" s="324"/>
      <c r="G905" s="324"/>
      <c r="H905" s="324"/>
      <c r="I905" s="324"/>
      <c r="J905" s="324"/>
      <c r="K905" s="324"/>
      <c r="L905" s="324"/>
      <c r="M905" s="324"/>
      <c r="N905" s="324"/>
      <c r="O905" s="324"/>
      <c r="P905" s="324"/>
      <c r="Q905" s="324"/>
      <c r="R905" s="324"/>
      <c r="S905" s="324"/>
      <c r="T905" s="324"/>
      <c r="U905" s="324"/>
      <c r="V905" s="324"/>
      <c r="W905" s="324"/>
    </row>
    <row r="906">
      <c r="A906" s="323"/>
      <c r="B906" s="324"/>
      <c r="C906" s="324"/>
      <c r="D906" s="324"/>
      <c r="E906" s="324"/>
      <c r="F906" s="324"/>
      <c r="G906" s="324"/>
      <c r="H906" s="324"/>
      <c r="I906" s="324"/>
      <c r="J906" s="324"/>
      <c r="K906" s="324"/>
      <c r="L906" s="324"/>
      <c r="M906" s="324"/>
      <c r="N906" s="324"/>
      <c r="O906" s="324"/>
      <c r="P906" s="324"/>
      <c r="Q906" s="324"/>
      <c r="R906" s="324"/>
      <c r="S906" s="324"/>
      <c r="T906" s="324"/>
      <c r="U906" s="324"/>
      <c r="V906" s="324"/>
      <c r="W906" s="324"/>
    </row>
    <row r="907">
      <c r="A907" s="323"/>
      <c r="B907" s="324"/>
      <c r="C907" s="324"/>
      <c r="D907" s="324"/>
      <c r="E907" s="324"/>
      <c r="F907" s="324"/>
      <c r="G907" s="324"/>
      <c r="H907" s="324"/>
      <c r="I907" s="324"/>
      <c r="J907" s="324"/>
      <c r="K907" s="324"/>
      <c r="L907" s="324"/>
      <c r="M907" s="324"/>
      <c r="N907" s="324"/>
      <c r="O907" s="324"/>
      <c r="P907" s="324"/>
      <c r="Q907" s="324"/>
      <c r="R907" s="324"/>
      <c r="S907" s="324"/>
      <c r="T907" s="324"/>
      <c r="U907" s="324"/>
      <c r="V907" s="324"/>
      <c r="W907" s="324"/>
    </row>
    <row r="908">
      <c r="A908" s="323"/>
      <c r="B908" s="324"/>
      <c r="C908" s="324"/>
      <c r="D908" s="324"/>
      <c r="E908" s="324"/>
      <c r="F908" s="324"/>
      <c r="G908" s="324"/>
      <c r="H908" s="324"/>
      <c r="I908" s="324"/>
      <c r="J908" s="324"/>
      <c r="K908" s="324"/>
      <c r="L908" s="324"/>
      <c r="M908" s="324"/>
      <c r="N908" s="324"/>
      <c r="O908" s="324"/>
      <c r="P908" s="324"/>
      <c r="Q908" s="324"/>
      <c r="R908" s="324"/>
      <c r="S908" s="324"/>
      <c r="T908" s="324"/>
      <c r="U908" s="324"/>
      <c r="V908" s="324"/>
      <c r="W908" s="324"/>
    </row>
    <row r="909">
      <c r="A909" s="323"/>
      <c r="B909" s="324"/>
      <c r="C909" s="324"/>
      <c r="D909" s="324"/>
      <c r="E909" s="324"/>
      <c r="F909" s="324"/>
      <c r="G909" s="324"/>
      <c r="H909" s="324"/>
      <c r="I909" s="324"/>
      <c r="J909" s="324"/>
      <c r="K909" s="324"/>
      <c r="L909" s="324"/>
      <c r="M909" s="324"/>
      <c r="N909" s="324"/>
      <c r="O909" s="324"/>
      <c r="P909" s="324"/>
      <c r="Q909" s="324"/>
      <c r="R909" s="324"/>
      <c r="S909" s="324"/>
      <c r="T909" s="324"/>
      <c r="U909" s="324"/>
      <c r="V909" s="324"/>
      <c r="W909" s="324"/>
    </row>
    <row r="910">
      <c r="A910" s="323"/>
      <c r="B910" s="324"/>
      <c r="C910" s="324"/>
      <c r="D910" s="324"/>
      <c r="E910" s="324"/>
      <c r="F910" s="324"/>
      <c r="G910" s="324"/>
      <c r="H910" s="324"/>
      <c r="I910" s="324"/>
      <c r="J910" s="324"/>
      <c r="K910" s="324"/>
      <c r="L910" s="324"/>
      <c r="M910" s="324"/>
      <c r="N910" s="324"/>
      <c r="O910" s="324"/>
      <c r="P910" s="324"/>
      <c r="Q910" s="324"/>
      <c r="R910" s="324"/>
      <c r="S910" s="324"/>
      <c r="T910" s="324"/>
      <c r="U910" s="324"/>
      <c r="V910" s="324"/>
      <c r="W910" s="324"/>
    </row>
    <row r="911">
      <c r="A911" s="323"/>
      <c r="B911" s="324"/>
      <c r="C911" s="324"/>
      <c r="D911" s="324"/>
      <c r="E911" s="324"/>
      <c r="F911" s="324"/>
      <c r="G911" s="324"/>
      <c r="H911" s="324"/>
      <c r="I911" s="324"/>
      <c r="J911" s="324"/>
      <c r="K911" s="324"/>
      <c r="L911" s="324"/>
      <c r="M911" s="324"/>
      <c r="N911" s="324"/>
      <c r="O911" s="324"/>
      <c r="P911" s="324"/>
      <c r="Q911" s="324"/>
      <c r="R911" s="324"/>
      <c r="S911" s="324"/>
      <c r="T911" s="324"/>
      <c r="U911" s="324"/>
      <c r="V911" s="324"/>
      <c r="W911" s="324"/>
    </row>
    <row r="912">
      <c r="A912" s="323"/>
      <c r="B912" s="324"/>
      <c r="C912" s="324"/>
      <c r="D912" s="324"/>
      <c r="E912" s="324"/>
      <c r="F912" s="324"/>
      <c r="G912" s="324"/>
      <c r="H912" s="324"/>
      <c r="I912" s="324"/>
      <c r="J912" s="324"/>
      <c r="K912" s="324"/>
      <c r="L912" s="324"/>
      <c r="M912" s="324"/>
      <c r="N912" s="324"/>
      <c r="O912" s="324"/>
      <c r="P912" s="324"/>
      <c r="Q912" s="324"/>
      <c r="R912" s="324"/>
      <c r="S912" s="324"/>
      <c r="T912" s="324"/>
      <c r="U912" s="324"/>
      <c r="V912" s="324"/>
      <c r="W912" s="324"/>
    </row>
    <row r="913">
      <c r="A913" s="323"/>
      <c r="B913" s="324"/>
      <c r="C913" s="324"/>
      <c r="D913" s="324"/>
      <c r="E913" s="324"/>
      <c r="F913" s="324"/>
      <c r="G913" s="324"/>
      <c r="H913" s="324"/>
      <c r="I913" s="324"/>
      <c r="J913" s="324"/>
      <c r="K913" s="324"/>
      <c r="L913" s="324"/>
      <c r="M913" s="324"/>
      <c r="N913" s="324"/>
      <c r="O913" s="324"/>
      <c r="P913" s="324"/>
      <c r="Q913" s="324"/>
      <c r="R913" s="324"/>
      <c r="S913" s="324"/>
      <c r="T913" s="324"/>
      <c r="U913" s="324"/>
      <c r="V913" s="324"/>
      <c r="W913" s="324"/>
    </row>
    <row r="914">
      <c r="A914" s="323"/>
      <c r="B914" s="324"/>
      <c r="C914" s="324"/>
      <c r="D914" s="324"/>
      <c r="E914" s="324"/>
      <c r="F914" s="324"/>
      <c r="G914" s="324"/>
      <c r="H914" s="324"/>
      <c r="I914" s="324"/>
      <c r="J914" s="324"/>
      <c r="K914" s="324"/>
      <c r="L914" s="324"/>
      <c r="M914" s="324"/>
      <c r="N914" s="324"/>
      <c r="O914" s="324"/>
      <c r="P914" s="324"/>
      <c r="Q914" s="324"/>
      <c r="R914" s="324"/>
      <c r="S914" s="324"/>
      <c r="T914" s="324"/>
      <c r="U914" s="324"/>
      <c r="V914" s="324"/>
      <c r="W914" s="324"/>
    </row>
    <row r="915">
      <c r="A915" s="323"/>
      <c r="B915" s="324"/>
      <c r="C915" s="324"/>
      <c r="D915" s="324"/>
      <c r="E915" s="324"/>
      <c r="F915" s="324"/>
      <c r="G915" s="324"/>
      <c r="H915" s="324"/>
      <c r="I915" s="324"/>
      <c r="J915" s="324"/>
      <c r="K915" s="324"/>
      <c r="L915" s="324"/>
      <c r="M915" s="324"/>
      <c r="N915" s="324"/>
      <c r="O915" s="324"/>
      <c r="P915" s="324"/>
      <c r="Q915" s="324"/>
      <c r="R915" s="324"/>
      <c r="S915" s="324"/>
      <c r="T915" s="324"/>
      <c r="U915" s="324"/>
      <c r="V915" s="324"/>
      <c r="W915" s="324"/>
    </row>
    <row r="916">
      <c r="A916" s="323"/>
      <c r="B916" s="324"/>
      <c r="C916" s="324"/>
      <c r="D916" s="324"/>
      <c r="E916" s="324"/>
      <c r="F916" s="324"/>
      <c r="G916" s="324"/>
      <c r="H916" s="324"/>
      <c r="I916" s="324"/>
      <c r="J916" s="324"/>
      <c r="K916" s="324"/>
      <c r="L916" s="324"/>
      <c r="M916" s="324"/>
      <c r="N916" s="324"/>
      <c r="O916" s="324"/>
      <c r="P916" s="324"/>
      <c r="Q916" s="324"/>
      <c r="R916" s="324"/>
      <c r="S916" s="324"/>
      <c r="T916" s="324"/>
      <c r="U916" s="324"/>
      <c r="V916" s="324"/>
      <c r="W916" s="324"/>
    </row>
    <row r="917">
      <c r="A917" s="323"/>
      <c r="B917" s="324"/>
      <c r="C917" s="324"/>
      <c r="D917" s="324"/>
      <c r="E917" s="324"/>
      <c r="F917" s="324"/>
      <c r="G917" s="324"/>
      <c r="H917" s="324"/>
      <c r="I917" s="324"/>
      <c r="J917" s="324"/>
      <c r="K917" s="324"/>
      <c r="L917" s="324"/>
      <c r="M917" s="324"/>
      <c r="N917" s="324"/>
      <c r="O917" s="324"/>
      <c r="P917" s="324"/>
      <c r="Q917" s="324"/>
      <c r="R917" s="324"/>
      <c r="S917" s="324"/>
      <c r="T917" s="324"/>
      <c r="U917" s="324"/>
      <c r="V917" s="324"/>
      <c r="W917" s="324"/>
    </row>
    <row r="918">
      <c r="A918" s="323"/>
      <c r="B918" s="324"/>
      <c r="C918" s="324"/>
      <c r="D918" s="324"/>
      <c r="E918" s="324"/>
      <c r="F918" s="324"/>
      <c r="G918" s="324"/>
      <c r="H918" s="324"/>
      <c r="I918" s="324"/>
      <c r="J918" s="324"/>
      <c r="K918" s="324"/>
      <c r="L918" s="324"/>
      <c r="M918" s="324"/>
      <c r="N918" s="324"/>
      <c r="O918" s="324"/>
      <c r="P918" s="324"/>
      <c r="Q918" s="324"/>
      <c r="R918" s="324"/>
      <c r="S918" s="324"/>
      <c r="T918" s="324"/>
      <c r="U918" s="324"/>
      <c r="V918" s="324"/>
      <c r="W918" s="324"/>
    </row>
    <row r="919">
      <c r="A919" s="323"/>
      <c r="B919" s="324"/>
      <c r="C919" s="324"/>
      <c r="D919" s="324"/>
      <c r="E919" s="324"/>
      <c r="F919" s="324"/>
      <c r="G919" s="324"/>
      <c r="H919" s="324"/>
      <c r="I919" s="324"/>
      <c r="J919" s="324"/>
      <c r="K919" s="324"/>
      <c r="L919" s="324"/>
      <c r="M919" s="324"/>
      <c r="N919" s="324"/>
      <c r="O919" s="324"/>
      <c r="P919" s="324"/>
      <c r="Q919" s="324"/>
      <c r="R919" s="324"/>
      <c r="S919" s="324"/>
      <c r="T919" s="324"/>
      <c r="U919" s="324"/>
      <c r="V919" s="324"/>
      <c r="W919" s="324"/>
    </row>
    <row r="920">
      <c r="A920" s="323"/>
      <c r="B920" s="324"/>
      <c r="C920" s="324"/>
      <c r="D920" s="324"/>
      <c r="E920" s="324"/>
      <c r="F920" s="324"/>
      <c r="G920" s="324"/>
      <c r="H920" s="324"/>
      <c r="I920" s="324"/>
      <c r="J920" s="324"/>
      <c r="K920" s="324"/>
      <c r="L920" s="324"/>
      <c r="M920" s="324"/>
      <c r="N920" s="324"/>
      <c r="O920" s="324"/>
      <c r="P920" s="324"/>
      <c r="Q920" s="324"/>
      <c r="R920" s="324"/>
      <c r="S920" s="324"/>
      <c r="T920" s="324"/>
      <c r="U920" s="324"/>
      <c r="V920" s="324"/>
      <c r="W920" s="324"/>
    </row>
    <row r="921">
      <c r="A921" s="323"/>
      <c r="B921" s="324"/>
      <c r="C921" s="324"/>
      <c r="D921" s="324"/>
      <c r="E921" s="324"/>
      <c r="F921" s="324"/>
      <c r="G921" s="324"/>
      <c r="H921" s="324"/>
      <c r="I921" s="324"/>
      <c r="J921" s="324"/>
      <c r="K921" s="324"/>
      <c r="L921" s="324"/>
      <c r="M921" s="324"/>
      <c r="N921" s="324"/>
      <c r="O921" s="324"/>
      <c r="P921" s="324"/>
      <c r="Q921" s="324"/>
      <c r="R921" s="324"/>
      <c r="S921" s="324"/>
      <c r="T921" s="324"/>
      <c r="U921" s="324"/>
      <c r="V921" s="324"/>
      <c r="W921" s="324"/>
    </row>
    <row r="922">
      <c r="A922" s="323"/>
      <c r="B922" s="324"/>
      <c r="C922" s="324"/>
      <c r="D922" s="324"/>
      <c r="E922" s="324"/>
      <c r="F922" s="324"/>
      <c r="G922" s="324"/>
      <c r="H922" s="324"/>
      <c r="I922" s="324"/>
      <c r="J922" s="324"/>
      <c r="K922" s="324"/>
      <c r="L922" s="324"/>
      <c r="M922" s="324"/>
      <c r="N922" s="324"/>
      <c r="O922" s="324"/>
      <c r="P922" s="324"/>
      <c r="Q922" s="324"/>
      <c r="R922" s="324"/>
      <c r="S922" s="324"/>
      <c r="T922" s="324"/>
      <c r="U922" s="324"/>
      <c r="V922" s="324"/>
      <c r="W922" s="324"/>
    </row>
    <row r="923">
      <c r="A923" s="323"/>
      <c r="B923" s="324"/>
      <c r="C923" s="324"/>
      <c r="D923" s="324"/>
      <c r="E923" s="324"/>
      <c r="F923" s="324"/>
      <c r="G923" s="324"/>
      <c r="H923" s="324"/>
      <c r="I923" s="324"/>
      <c r="J923" s="324"/>
      <c r="K923" s="324"/>
      <c r="L923" s="324"/>
      <c r="M923" s="324"/>
      <c r="N923" s="324"/>
      <c r="O923" s="324"/>
      <c r="P923" s="324"/>
      <c r="Q923" s="324"/>
      <c r="R923" s="324"/>
      <c r="S923" s="324"/>
      <c r="T923" s="324"/>
      <c r="U923" s="324"/>
      <c r="V923" s="324"/>
      <c r="W923" s="324"/>
    </row>
    <row r="924">
      <c r="A924" s="323"/>
      <c r="B924" s="324"/>
      <c r="C924" s="324"/>
      <c r="D924" s="324"/>
      <c r="E924" s="324"/>
      <c r="F924" s="324"/>
      <c r="G924" s="324"/>
      <c r="H924" s="324"/>
      <c r="I924" s="324"/>
      <c r="J924" s="324"/>
      <c r="K924" s="324"/>
      <c r="L924" s="324"/>
      <c r="M924" s="324"/>
      <c r="N924" s="324"/>
      <c r="O924" s="324"/>
      <c r="P924" s="324"/>
      <c r="Q924" s="324"/>
      <c r="R924" s="324"/>
      <c r="S924" s="324"/>
      <c r="T924" s="324"/>
      <c r="U924" s="324"/>
      <c r="V924" s="324"/>
      <c r="W924" s="324"/>
    </row>
    <row r="925">
      <c r="A925" s="323"/>
      <c r="B925" s="324"/>
      <c r="C925" s="324"/>
      <c r="D925" s="324"/>
      <c r="E925" s="324"/>
      <c r="F925" s="324"/>
      <c r="G925" s="324"/>
      <c r="H925" s="324"/>
      <c r="I925" s="324"/>
      <c r="J925" s="324"/>
      <c r="K925" s="324"/>
      <c r="L925" s="324"/>
      <c r="M925" s="324"/>
      <c r="N925" s="324"/>
      <c r="O925" s="324"/>
      <c r="P925" s="324"/>
      <c r="Q925" s="324"/>
      <c r="R925" s="324"/>
      <c r="S925" s="324"/>
      <c r="T925" s="324"/>
      <c r="U925" s="324"/>
      <c r="V925" s="324"/>
      <c r="W925" s="324"/>
    </row>
    <row r="926">
      <c r="A926" s="323"/>
      <c r="B926" s="324"/>
      <c r="C926" s="324"/>
      <c r="D926" s="324"/>
      <c r="E926" s="324"/>
      <c r="F926" s="324"/>
      <c r="G926" s="324"/>
      <c r="H926" s="324"/>
      <c r="I926" s="324"/>
      <c r="J926" s="324"/>
      <c r="K926" s="324"/>
      <c r="L926" s="324"/>
      <c r="M926" s="324"/>
      <c r="N926" s="324"/>
      <c r="O926" s="324"/>
      <c r="P926" s="324"/>
      <c r="Q926" s="324"/>
      <c r="R926" s="324"/>
      <c r="S926" s="324"/>
      <c r="T926" s="324"/>
      <c r="U926" s="324"/>
      <c r="V926" s="324"/>
      <c r="W926" s="324"/>
    </row>
    <row r="927">
      <c r="A927" s="323"/>
      <c r="B927" s="324"/>
      <c r="C927" s="324"/>
      <c r="D927" s="324"/>
      <c r="E927" s="324"/>
      <c r="F927" s="324"/>
      <c r="G927" s="324"/>
      <c r="H927" s="324"/>
      <c r="I927" s="324"/>
      <c r="J927" s="324"/>
      <c r="K927" s="324"/>
      <c r="L927" s="324"/>
      <c r="M927" s="324"/>
      <c r="N927" s="324"/>
      <c r="O927" s="324"/>
      <c r="P927" s="324"/>
      <c r="Q927" s="324"/>
      <c r="R927" s="324"/>
      <c r="S927" s="324"/>
      <c r="T927" s="324"/>
      <c r="U927" s="324"/>
      <c r="V927" s="324"/>
      <c r="W927" s="324"/>
    </row>
    <row r="928">
      <c r="A928" s="323"/>
      <c r="B928" s="324"/>
      <c r="C928" s="324"/>
      <c r="D928" s="324"/>
      <c r="E928" s="324"/>
      <c r="F928" s="324"/>
      <c r="G928" s="324"/>
      <c r="H928" s="324"/>
      <c r="I928" s="324"/>
      <c r="J928" s="324"/>
      <c r="K928" s="324"/>
      <c r="L928" s="324"/>
      <c r="M928" s="324"/>
      <c r="N928" s="324"/>
      <c r="O928" s="324"/>
      <c r="P928" s="324"/>
      <c r="Q928" s="324"/>
      <c r="R928" s="324"/>
      <c r="S928" s="324"/>
      <c r="T928" s="324"/>
      <c r="U928" s="324"/>
      <c r="V928" s="324"/>
      <c r="W928" s="324"/>
    </row>
    <row r="929">
      <c r="A929" s="323"/>
      <c r="B929" s="324"/>
      <c r="C929" s="324"/>
      <c r="D929" s="324"/>
      <c r="E929" s="324"/>
      <c r="F929" s="324"/>
      <c r="G929" s="324"/>
      <c r="H929" s="324"/>
      <c r="I929" s="324"/>
      <c r="J929" s="324"/>
      <c r="K929" s="324"/>
      <c r="L929" s="324"/>
      <c r="M929" s="324"/>
      <c r="N929" s="324"/>
      <c r="O929" s="324"/>
      <c r="P929" s="324"/>
      <c r="Q929" s="324"/>
      <c r="R929" s="324"/>
      <c r="S929" s="324"/>
      <c r="T929" s="324"/>
      <c r="U929" s="324"/>
      <c r="V929" s="324"/>
      <c r="W929" s="324"/>
    </row>
    <row r="930">
      <c r="A930" s="323"/>
      <c r="B930" s="324"/>
      <c r="C930" s="324"/>
      <c r="D930" s="324"/>
      <c r="E930" s="324"/>
      <c r="F930" s="324"/>
      <c r="G930" s="324"/>
      <c r="H930" s="324"/>
      <c r="I930" s="324"/>
      <c r="J930" s="324"/>
      <c r="K930" s="324"/>
      <c r="L930" s="324"/>
      <c r="M930" s="324"/>
      <c r="N930" s="324"/>
      <c r="O930" s="324"/>
      <c r="P930" s="324"/>
      <c r="Q930" s="324"/>
      <c r="R930" s="324"/>
      <c r="S930" s="324"/>
      <c r="T930" s="324"/>
      <c r="U930" s="324"/>
      <c r="V930" s="324"/>
      <c r="W930" s="324"/>
    </row>
    <row r="931">
      <c r="A931" s="323"/>
      <c r="B931" s="324"/>
      <c r="C931" s="324"/>
      <c r="D931" s="324"/>
      <c r="E931" s="324"/>
      <c r="F931" s="324"/>
      <c r="G931" s="324"/>
      <c r="H931" s="324"/>
      <c r="I931" s="324"/>
      <c r="J931" s="324"/>
      <c r="K931" s="324"/>
      <c r="L931" s="324"/>
      <c r="M931" s="324"/>
      <c r="N931" s="324"/>
      <c r="O931" s="324"/>
      <c r="P931" s="324"/>
      <c r="Q931" s="324"/>
      <c r="R931" s="324"/>
      <c r="S931" s="324"/>
      <c r="T931" s="324"/>
      <c r="U931" s="324"/>
      <c r="V931" s="324"/>
      <c r="W931" s="324"/>
    </row>
    <row r="932">
      <c r="A932" s="323"/>
      <c r="B932" s="324"/>
      <c r="C932" s="324"/>
      <c r="D932" s="324"/>
      <c r="E932" s="324"/>
      <c r="F932" s="324"/>
      <c r="G932" s="324"/>
      <c r="H932" s="324"/>
      <c r="I932" s="324"/>
      <c r="J932" s="324"/>
      <c r="K932" s="324"/>
      <c r="L932" s="324"/>
      <c r="M932" s="324"/>
      <c r="N932" s="324"/>
      <c r="O932" s="324"/>
      <c r="P932" s="324"/>
      <c r="Q932" s="324"/>
      <c r="R932" s="324"/>
      <c r="S932" s="324"/>
      <c r="T932" s="324"/>
      <c r="U932" s="324"/>
      <c r="V932" s="324"/>
      <c r="W932" s="324"/>
    </row>
    <row r="933">
      <c r="A933" s="323"/>
      <c r="B933" s="324"/>
      <c r="C933" s="324"/>
      <c r="D933" s="324"/>
      <c r="E933" s="324"/>
      <c r="F933" s="324"/>
      <c r="G933" s="324"/>
      <c r="H933" s="324"/>
      <c r="I933" s="324"/>
      <c r="J933" s="324"/>
      <c r="K933" s="324"/>
      <c r="L933" s="324"/>
      <c r="M933" s="324"/>
      <c r="N933" s="324"/>
      <c r="O933" s="324"/>
      <c r="P933" s="324"/>
      <c r="Q933" s="324"/>
      <c r="R933" s="324"/>
      <c r="S933" s="324"/>
      <c r="T933" s="324"/>
      <c r="U933" s="324"/>
      <c r="V933" s="324"/>
      <c r="W933" s="324"/>
    </row>
    <row r="934">
      <c r="A934" s="323"/>
      <c r="B934" s="324"/>
      <c r="C934" s="324"/>
      <c r="D934" s="324"/>
      <c r="E934" s="324"/>
      <c r="F934" s="324"/>
      <c r="G934" s="324"/>
      <c r="H934" s="324"/>
      <c r="I934" s="324"/>
      <c r="J934" s="324"/>
      <c r="K934" s="324"/>
      <c r="L934" s="324"/>
      <c r="M934" s="324"/>
      <c r="N934" s="324"/>
      <c r="O934" s="324"/>
      <c r="P934" s="324"/>
      <c r="Q934" s="324"/>
      <c r="R934" s="324"/>
      <c r="S934" s="324"/>
      <c r="T934" s="324"/>
      <c r="U934" s="324"/>
      <c r="V934" s="324"/>
      <c r="W934" s="324"/>
    </row>
    <row r="935">
      <c r="A935" s="323"/>
      <c r="B935" s="324"/>
      <c r="C935" s="324"/>
      <c r="D935" s="324"/>
      <c r="E935" s="324"/>
      <c r="F935" s="324"/>
      <c r="G935" s="324"/>
      <c r="H935" s="324"/>
      <c r="I935" s="324"/>
      <c r="J935" s="324"/>
      <c r="K935" s="324"/>
      <c r="L935" s="324"/>
      <c r="M935" s="324"/>
      <c r="N935" s="324"/>
      <c r="O935" s="324"/>
      <c r="P935" s="324"/>
      <c r="Q935" s="324"/>
      <c r="R935" s="324"/>
      <c r="S935" s="324"/>
      <c r="T935" s="324"/>
      <c r="U935" s="324"/>
      <c r="V935" s="324"/>
      <c r="W935" s="324"/>
    </row>
    <row r="936">
      <c r="A936" s="323"/>
      <c r="B936" s="324"/>
      <c r="C936" s="324"/>
      <c r="D936" s="324"/>
      <c r="E936" s="324"/>
      <c r="F936" s="324"/>
      <c r="G936" s="324"/>
      <c r="H936" s="324"/>
      <c r="I936" s="324"/>
      <c r="J936" s="324"/>
      <c r="K936" s="324"/>
      <c r="L936" s="324"/>
      <c r="M936" s="324"/>
      <c r="N936" s="324"/>
      <c r="O936" s="324"/>
      <c r="P936" s="324"/>
      <c r="Q936" s="324"/>
      <c r="R936" s="324"/>
      <c r="S936" s="324"/>
      <c r="T936" s="324"/>
      <c r="U936" s="324"/>
      <c r="V936" s="324"/>
      <c r="W936" s="324"/>
    </row>
    <row r="937">
      <c r="A937" s="323"/>
      <c r="B937" s="324"/>
      <c r="C937" s="324"/>
      <c r="D937" s="324"/>
      <c r="E937" s="324"/>
      <c r="F937" s="324"/>
      <c r="G937" s="324"/>
      <c r="H937" s="324"/>
      <c r="I937" s="324"/>
      <c r="J937" s="324"/>
      <c r="K937" s="324"/>
      <c r="L937" s="324"/>
      <c r="M937" s="324"/>
      <c r="N937" s="324"/>
      <c r="O937" s="324"/>
      <c r="P937" s="324"/>
      <c r="Q937" s="324"/>
      <c r="R937" s="324"/>
      <c r="S937" s="324"/>
      <c r="T937" s="324"/>
      <c r="U937" s="324"/>
      <c r="V937" s="324"/>
      <c r="W937" s="324"/>
    </row>
    <row r="938">
      <c r="A938" s="323"/>
      <c r="B938" s="324"/>
      <c r="C938" s="324"/>
      <c r="D938" s="324"/>
      <c r="E938" s="324"/>
      <c r="F938" s="324"/>
      <c r="G938" s="324"/>
      <c r="H938" s="324"/>
      <c r="I938" s="324"/>
      <c r="J938" s="324"/>
      <c r="K938" s="324"/>
      <c r="L938" s="324"/>
      <c r="M938" s="324"/>
      <c r="N938" s="324"/>
      <c r="O938" s="324"/>
      <c r="P938" s="324"/>
      <c r="Q938" s="324"/>
      <c r="R938" s="324"/>
      <c r="S938" s="324"/>
      <c r="T938" s="324"/>
      <c r="U938" s="324"/>
      <c r="V938" s="324"/>
      <c r="W938" s="324"/>
    </row>
    <row r="939">
      <c r="A939" s="323"/>
      <c r="B939" s="324"/>
      <c r="C939" s="324"/>
      <c r="D939" s="324"/>
      <c r="E939" s="324"/>
      <c r="F939" s="324"/>
      <c r="G939" s="324"/>
      <c r="H939" s="324"/>
      <c r="I939" s="324"/>
      <c r="J939" s="324"/>
      <c r="K939" s="324"/>
      <c r="L939" s="324"/>
      <c r="M939" s="324"/>
      <c r="N939" s="324"/>
      <c r="O939" s="324"/>
      <c r="P939" s="324"/>
      <c r="Q939" s="324"/>
      <c r="R939" s="324"/>
      <c r="S939" s="324"/>
      <c r="T939" s="324"/>
      <c r="U939" s="324"/>
      <c r="V939" s="324"/>
      <c r="W939" s="324"/>
    </row>
    <row r="940">
      <c r="A940" s="323"/>
      <c r="B940" s="324"/>
      <c r="C940" s="324"/>
      <c r="D940" s="324"/>
      <c r="E940" s="324"/>
      <c r="F940" s="324"/>
      <c r="G940" s="324"/>
      <c r="H940" s="324"/>
      <c r="I940" s="324"/>
      <c r="J940" s="324"/>
      <c r="K940" s="324"/>
      <c r="L940" s="324"/>
      <c r="M940" s="324"/>
      <c r="N940" s="324"/>
      <c r="O940" s="324"/>
      <c r="P940" s="324"/>
      <c r="Q940" s="324"/>
      <c r="R940" s="324"/>
      <c r="S940" s="324"/>
      <c r="T940" s="324"/>
      <c r="U940" s="324"/>
      <c r="V940" s="324"/>
      <c r="W940" s="324"/>
    </row>
    <row r="941">
      <c r="A941" s="323"/>
      <c r="B941" s="324"/>
      <c r="C941" s="324"/>
      <c r="D941" s="324"/>
      <c r="E941" s="324"/>
      <c r="F941" s="324"/>
      <c r="G941" s="324"/>
      <c r="H941" s="324"/>
      <c r="I941" s="324"/>
      <c r="J941" s="324"/>
      <c r="K941" s="324"/>
      <c r="L941" s="324"/>
      <c r="M941" s="324"/>
      <c r="N941" s="324"/>
      <c r="O941" s="324"/>
      <c r="P941" s="324"/>
      <c r="Q941" s="324"/>
      <c r="R941" s="324"/>
      <c r="S941" s="324"/>
      <c r="T941" s="324"/>
      <c r="U941" s="324"/>
      <c r="V941" s="324"/>
      <c r="W941" s="324"/>
    </row>
    <row r="942">
      <c r="A942" s="323"/>
      <c r="B942" s="324"/>
      <c r="C942" s="324"/>
      <c r="D942" s="324"/>
      <c r="E942" s="324"/>
      <c r="F942" s="324"/>
      <c r="G942" s="324"/>
      <c r="H942" s="324"/>
      <c r="I942" s="324"/>
      <c r="J942" s="324"/>
      <c r="K942" s="324"/>
      <c r="L942" s="324"/>
      <c r="M942" s="324"/>
      <c r="N942" s="324"/>
      <c r="O942" s="324"/>
      <c r="P942" s="324"/>
      <c r="Q942" s="324"/>
      <c r="R942" s="324"/>
      <c r="S942" s="324"/>
      <c r="T942" s="324"/>
      <c r="U942" s="324"/>
      <c r="V942" s="324"/>
      <c r="W942" s="324"/>
    </row>
    <row r="943">
      <c r="A943" s="323"/>
      <c r="B943" s="324"/>
      <c r="C943" s="324"/>
      <c r="D943" s="324"/>
      <c r="E943" s="324"/>
      <c r="F943" s="324"/>
      <c r="G943" s="324"/>
      <c r="H943" s="324"/>
      <c r="I943" s="324"/>
      <c r="J943" s="324"/>
      <c r="K943" s="324"/>
      <c r="L943" s="324"/>
      <c r="M943" s="324"/>
      <c r="N943" s="324"/>
      <c r="O943" s="324"/>
      <c r="P943" s="324"/>
      <c r="Q943" s="324"/>
      <c r="R943" s="324"/>
      <c r="S943" s="324"/>
      <c r="T943" s="324"/>
      <c r="U943" s="324"/>
      <c r="V943" s="324"/>
      <c r="W943" s="324"/>
    </row>
    <row r="944">
      <c r="A944" s="323"/>
      <c r="B944" s="324"/>
      <c r="C944" s="324"/>
      <c r="D944" s="324"/>
      <c r="E944" s="324"/>
      <c r="F944" s="324"/>
      <c r="G944" s="324"/>
      <c r="H944" s="324"/>
      <c r="I944" s="324"/>
      <c r="J944" s="324"/>
      <c r="K944" s="324"/>
      <c r="L944" s="324"/>
      <c r="M944" s="324"/>
      <c r="N944" s="324"/>
      <c r="O944" s="324"/>
      <c r="P944" s="324"/>
      <c r="Q944" s="324"/>
      <c r="R944" s="324"/>
      <c r="S944" s="324"/>
      <c r="T944" s="324"/>
      <c r="U944" s="324"/>
      <c r="V944" s="324"/>
      <c r="W944" s="324"/>
    </row>
    <row r="945">
      <c r="A945" s="323"/>
      <c r="B945" s="324"/>
      <c r="C945" s="324"/>
      <c r="D945" s="324"/>
      <c r="E945" s="324"/>
      <c r="F945" s="324"/>
      <c r="G945" s="324"/>
      <c r="H945" s="324"/>
      <c r="I945" s="324"/>
      <c r="J945" s="324"/>
      <c r="K945" s="324"/>
      <c r="L945" s="324"/>
      <c r="M945" s="324"/>
      <c r="N945" s="324"/>
      <c r="O945" s="324"/>
      <c r="P945" s="324"/>
      <c r="Q945" s="324"/>
      <c r="R945" s="324"/>
      <c r="S945" s="324"/>
      <c r="T945" s="324"/>
      <c r="U945" s="324"/>
      <c r="V945" s="324"/>
      <c r="W945" s="324"/>
    </row>
    <row r="946">
      <c r="A946" s="323"/>
      <c r="B946" s="324"/>
      <c r="C946" s="324"/>
      <c r="D946" s="324"/>
      <c r="E946" s="324"/>
      <c r="F946" s="324"/>
      <c r="G946" s="324"/>
      <c r="H946" s="324"/>
      <c r="I946" s="324"/>
      <c r="J946" s="324"/>
      <c r="K946" s="324"/>
      <c r="L946" s="324"/>
      <c r="M946" s="324"/>
      <c r="N946" s="324"/>
      <c r="O946" s="324"/>
      <c r="P946" s="324"/>
      <c r="Q946" s="324"/>
      <c r="R946" s="324"/>
      <c r="S946" s="324"/>
      <c r="T946" s="324"/>
      <c r="U946" s="324"/>
      <c r="V946" s="324"/>
      <c r="W946" s="324"/>
    </row>
    <row r="947">
      <c r="A947" s="323"/>
      <c r="B947" s="324"/>
      <c r="C947" s="324"/>
      <c r="D947" s="324"/>
      <c r="E947" s="324"/>
      <c r="F947" s="324"/>
      <c r="G947" s="324"/>
      <c r="H947" s="324"/>
      <c r="I947" s="324"/>
      <c r="J947" s="324"/>
      <c r="K947" s="324"/>
      <c r="L947" s="324"/>
      <c r="M947" s="324"/>
      <c r="N947" s="324"/>
      <c r="O947" s="324"/>
      <c r="P947" s="324"/>
      <c r="Q947" s="324"/>
      <c r="R947" s="324"/>
      <c r="S947" s="324"/>
      <c r="T947" s="324"/>
      <c r="U947" s="324"/>
      <c r="V947" s="324"/>
      <c r="W947" s="324"/>
    </row>
    <row r="948">
      <c r="A948" s="323"/>
      <c r="B948" s="324"/>
      <c r="C948" s="324"/>
      <c r="D948" s="324"/>
      <c r="E948" s="324"/>
      <c r="F948" s="324"/>
      <c r="G948" s="324"/>
      <c r="H948" s="324"/>
      <c r="I948" s="324"/>
      <c r="J948" s="324"/>
      <c r="K948" s="324"/>
      <c r="L948" s="324"/>
      <c r="M948" s="324"/>
      <c r="N948" s="324"/>
      <c r="O948" s="324"/>
      <c r="P948" s="324"/>
      <c r="Q948" s="324"/>
      <c r="R948" s="324"/>
      <c r="S948" s="324"/>
      <c r="T948" s="324"/>
      <c r="U948" s="324"/>
      <c r="V948" s="324"/>
      <c r="W948" s="324"/>
    </row>
    <row r="949">
      <c r="A949" s="323"/>
      <c r="B949" s="324"/>
      <c r="C949" s="324"/>
      <c r="D949" s="324"/>
      <c r="E949" s="324"/>
      <c r="F949" s="324"/>
      <c r="G949" s="324"/>
      <c r="H949" s="324"/>
      <c r="I949" s="324"/>
      <c r="J949" s="324"/>
      <c r="K949" s="324"/>
      <c r="L949" s="324"/>
      <c r="M949" s="324"/>
      <c r="N949" s="324"/>
      <c r="O949" s="324"/>
      <c r="P949" s="324"/>
      <c r="Q949" s="324"/>
      <c r="R949" s="324"/>
      <c r="S949" s="324"/>
      <c r="T949" s="324"/>
      <c r="U949" s="324"/>
      <c r="V949" s="324"/>
      <c r="W949" s="324"/>
    </row>
    <row r="950">
      <c r="A950" s="323"/>
      <c r="B950" s="324"/>
      <c r="C950" s="324"/>
      <c r="D950" s="324"/>
      <c r="E950" s="324"/>
      <c r="F950" s="324"/>
      <c r="G950" s="324"/>
      <c r="H950" s="324"/>
      <c r="I950" s="324"/>
      <c r="J950" s="324"/>
      <c r="K950" s="324"/>
      <c r="L950" s="324"/>
      <c r="M950" s="324"/>
      <c r="N950" s="324"/>
      <c r="O950" s="324"/>
      <c r="P950" s="324"/>
      <c r="Q950" s="324"/>
      <c r="R950" s="324"/>
      <c r="S950" s="324"/>
      <c r="T950" s="324"/>
      <c r="U950" s="324"/>
      <c r="V950" s="324"/>
      <c r="W950" s="324"/>
    </row>
    <row r="951">
      <c r="A951" s="323"/>
      <c r="B951" s="324"/>
      <c r="C951" s="324"/>
      <c r="D951" s="324"/>
      <c r="E951" s="324"/>
      <c r="F951" s="324"/>
      <c r="G951" s="324"/>
      <c r="H951" s="324"/>
      <c r="I951" s="324"/>
      <c r="J951" s="324"/>
      <c r="K951" s="324"/>
      <c r="L951" s="324"/>
      <c r="M951" s="324"/>
      <c r="N951" s="324"/>
      <c r="O951" s="324"/>
      <c r="P951" s="324"/>
      <c r="Q951" s="324"/>
      <c r="R951" s="324"/>
      <c r="S951" s="324"/>
      <c r="T951" s="324"/>
      <c r="U951" s="324"/>
      <c r="V951" s="324"/>
      <c r="W951" s="324"/>
    </row>
    <row r="952">
      <c r="A952" s="323"/>
      <c r="B952" s="324"/>
      <c r="C952" s="324"/>
      <c r="D952" s="324"/>
      <c r="E952" s="324"/>
      <c r="F952" s="324"/>
      <c r="G952" s="324"/>
      <c r="H952" s="324"/>
      <c r="I952" s="324"/>
      <c r="J952" s="324"/>
      <c r="K952" s="324"/>
      <c r="L952" s="324"/>
      <c r="M952" s="324"/>
      <c r="N952" s="324"/>
      <c r="O952" s="324"/>
      <c r="P952" s="324"/>
      <c r="Q952" s="324"/>
      <c r="R952" s="324"/>
      <c r="S952" s="324"/>
      <c r="T952" s="324"/>
      <c r="U952" s="324"/>
      <c r="V952" s="324"/>
      <c r="W952" s="324"/>
    </row>
    <row r="953">
      <c r="A953" s="323"/>
      <c r="B953" s="324"/>
      <c r="C953" s="324"/>
      <c r="D953" s="324"/>
      <c r="E953" s="324"/>
      <c r="F953" s="324"/>
      <c r="G953" s="324"/>
      <c r="H953" s="324"/>
      <c r="I953" s="324"/>
      <c r="J953" s="324"/>
      <c r="K953" s="324"/>
      <c r="L953" s="324"/>
      <c r="M953" s="324"/>
      <c r="N953" s="324"/>
      <c r="O953" s="324"/>
      <c r="P953" s="324"/>
      <c r="Q953" s="324"/>
      <c r="R953" s="324"/>
      <c r="S953" s="324"/>
      <c r="T953" s="324"/>
      <c r="U953" s="324"/>
      <c r="V953" s="324"/>
      <c r="W953" s="324"/>
    </row>
    <row r="954">
      <c r="A954" s="323"/>
      <c r="B954" s="324"/>
      <c r="C954" s="324"/>
      <c r="D954" s="324"/>
      <c r="E954" s="324"/>
      <c r="F954" s="324"/>
      <c r="G954" s="324"/>
      <c r="H954" s="324"/>
      <c r="I954" s="324"/>
      <c r="J954" s="324"/>
      <c r="K954" s="324"/>
      <c r="L954" s="324"/>
      <c r="M954" s="324"/>
      <c r="N954" s="324"/>
      <c r="O954" s="324"/>
      <c r="P954" s="324"/>
      <c r="Q954" s="324"/>
      <c r="R954" s="324"/>
      <c r="S954" s="324"/>
      <c r="T954" s="324"/>
      <c r="U954" s="324"/>
      <c r="V954" s="324"/>
      <c r="W954" s="324"/>
    </row>
    <row r="955">
      <c r="A955" s="323"/>
      <c r="B955" s="324"/>
      <c r="C955" s="324"/>
      <c r="D955" s="324"/>
      <c r="E955" s="324"/>
      <c r="F955" s="324"/>
      <c r="G955" s="324"/>
      <c r="H955" s="324"/>
      <c r="I955" s="324"/>
      <c r="J955" s="324"/>
      <c r="K955" s="324"/>
      <c r="L955" s="324"/>
      <c r="M955" s="324"/>
      <c r="N955" s="324"/>
      <c r="O955" s="324"/>
      <c r="P955" s="324"/>
      <c r="Q955" s="324"/>
      <c r="R955" s="324"/>
      <c r="S955" s="324"/>
      <c r="T955" s="324"/>
      <c r="U955" s="324"/>
      <c r="V955" s="324"/>
      <c r="W955" s="324"/>
    </row>
    <row r="956">
      <c r="A956" s="323"/>
      <c r="B956" s="324"/>
      <c r="C956" s="324"/>
      <c r="D956" s="324"/>
      <c r="E956" s="324"/>
      <c r="F956" s="324"/>
      <c r="G956" s="324"/>
      <c r="H956" s="324"/>
      <c r="I956" s="324"/>
      <c r="J956" s="324"/>
      <c r="K956" s="324"/>
      <c r="L956" s="324"/>
      <c r="M956" s="324"/>
      <c r="N956" s="324"/>
      <c r="O956" s="324"/>
      <c r="P956" s="324"/>
      <c r="Q956" s="324"/>
      <c r="R956" s="324"/>
      <c r="S956" s="324"/>
      <c r="T956" s="324"/>
      <c r="U956" s="324"/>
      <c r="V956" s="324"/>
      <c r="W956" s="324"/>
    </row>
    <row r="957">
      <c r="A957" s="323"/>
      <c r="B957" s="324"/>
      <c r="C957" s="324"/>
      <c r="D957" s="324"/>
      <c r="E957" s="324"/>
      <c r="F957" s="324"/>
      <c r="G957" s="324"/>
      <c r="H957" s="324"/>
      <c r="I957" s="324"/>
      <c r="J957" s="324"/>
      <c r="K957" s="324"/>
      <c r="L957" s="324"/>
      <c r="M957" s="324"/>
      <c r="N957" s="324"/>
      <c r="O957" s="324"/>
      <c r="P957" s="324"/>
      <c r="Q957" s="324"/>
      <c r="R957" s="324"/>
      <c r="S957" s="324"/>
      <c r="T957" s="324"/>
      <c r="U957" s="324"/>
      <c r="V957" s="324"/>
      <c r="W957" s="324"/>
    </row>
    <row r="958">
      <c r="A958" s="323"/>
      <c r="B958" s="324"/>
      <c r="C958" s="324"/>
      <c r="D958" s="324"/>
      <c r="E958" s="324"/>
      <c r="F958" s="324"/>
      <c r="G958" s="324"/>
      <c r="H958" s="324"/>
      <c r="I958" s="324"/>
      <c r="J958" s="324"/>
      <c r="K958" s="324"/>
      <c r="L958" s="324"/>
      <c r="M958" s="324"/>
      <c r="N958" s="324"/>
      <c r="O958" s="324"/>
      <c r="P958" s="324"/>
      <c r="Q958" s="324"/>
      <c r="R958" s="324"/>
      <c r="S958" s="324"/>
      <c r="T958" s="324"/>
      <c r="U958" s="324"/>
      <c r="V958" s="324"/>
      <c r="W958" s="324"/>
    </row>
    <row r="959">
      <c r="A959" s="323"/>
      <c r="B959" s="324"/>
      <c r="C959" s="324"/>
      <c r="D959" s="324"/>
      <c r="E959" s="324"/>
      <c r="F959" s="324"/>
      <c r="G959" s="324"/>
      <c r="H959" s="324"/>
      <c r="I959" s="324"/>
      <c r="J959" s="324"/>
      <c r="K959" s="324"/>
      <c r="L959" s="324"/>
      <c r="M959" s="324"/>
      <c r="N959" s="324"/>
      <c r="O959" s="324"/>
      <c r="P959" s="324"/>
      <c r="Q959" s="324"/>
      <c r="R959" s="324"/>
      <c r="S959" s="324"/>
      <c r="T959" s="324"/>
      <c r="U959" s="324"/>
      <c r="V959" s="324"/>
      <c r="W959" s="324"/>
    </row>
    <row r="960">
      <c r="A960" s="323"/>
      <c r="B960" s="324"/>
      <c r="C960" s="324"/>
      <c r="D960" s="324"/>
      <c r="E960" s="324"/>
      <c r="F960" s="324"/>
      <c r="G960" s="324"/>
      <c r="H960" s="324"/>
      <c r="I960" s="324"/>
      <c r="J960" s="324"/>
      <c r="K960" s="324"/>
      <c r="L960" s="324"/>
      <c r="M960" s="324"/>
      <c r="N960" s="324"/>
      <c r="O960" s="324"/>
      <c r="P960" s="324"/>
      <c r="Q960" s="324"/>
      <c r="R960" s="324"/>
      <c r="S960" s="324"/>
      <c r="T960" s="324"/>
      <c r="U960" s="324"/>
      <c r="V960" s="324"/>
      <c r="W960" s="324"/>
    </row>
    <row r="961">
      <c r="A961" s="323"/>
      <c r="B961" s="324"/>
      <c r="C961" s="324"/>
      <c r="D961" s="324"/>
      <c r="E961" s="324"/>
      <c r="F961" s="324"/>
      <c r="G961" s="324"/>
      <c r="H961" s="324"/>
      <c r="I961" s="324"/>
      <c r="J961" s="324"/>
      <c r="K961" s="324"/>
      <c r="L961" s="324"/>
      <c r="M961" s="324"/>
      <c r="N961" s="324"/>
      <c r="O961" s="324"/>
      <c r="P961" s="324"/>
      <c r="Q961" s="324"/>
      <c r="R961" s="324"/>
      <c r="S961" s="324"/>
      <c r="T961" s="324"/>
      <c r="U961" s="324"/>
      <c r="V961" s="324"/>
      <c r="W961" s="324"/>
    </row>
    <row r="962">
      <c r="A962" s="323"/>
      <c r="B962" s="324"/>
      <c r="C962" s="324"/>
      <c r="D962" s="324"/>
      <c r="E962" s="324"/>
      <c r="F962" s="324"/>
      <c r="G962" s="324"/>
      <c r="H962" s="324"/>
      <c r="I962" s="324"/>
      <c r="J962" s="324"/>
      <c r="K962" s="324"/>
      <c r="L962" s="324"/>
      <c r="M962" s="324"/>
      <c r="N962" s="324"/>
      <c r="O962" s="324"/>
      <c r="P962" s="324"/>
      <c r="Q962" s="324"/>
      <c r="R962" s="324"/>
      <c r="S962" s="324"/>
      <c r="T962" s="324"/>
      <c r="U962" s="324"/>
      <c r="V962" s="324"/>
      <c r="W962" s="324"/>
    </row>
    <row r="963">
      <c r="A963" s="323"/>
      <c r="B963" s="324"/>
      <c r="C963" s="324"/>
      <c r="D963" s="324"/>
      <c r="E963" s="324"/>
      <c r="F963" s="324"/>
      <c r="G963" s="324"/>
      <c r="H963" s="324"/>
      <c r="I963" s="324"/>
      <c r="J963" s="324"/>
      <c r="K963" s="324"/>
      <c r="L963" s="324"/>
      <c r="M963" s="324"/>
      <c r="N963" s="324"/>
      <c r="O963" s="324"/>
      <c r="P963" s="324"/>
      <c r="Q963" s="324"/>
      <c r="R963" s="324"/>
      <c r="S963" s="324"/>
      <c r="T963" s="324"/>
      <c r="U963" s="324"/>
      <c r="V963" s="324"/>
      <c r="W963" s="324"/>
    </row>
    <row r="964">
      <c r="A964" s="323"/>
      <c r="B964" s="324"/>
      <c r="C964" s="324"/>
      <c r="D964" s="324"/>
      <c r="E964" s="324"/>
      <c r="F964" s="324"/>
      <c r="G964" s="324"/>
      <c r="H964" s="324"/>
      <c r="I964" s="324"/>
      <c r="J964" s="324"/>
      <c r="K964" s="324"/>
      <c r="L964" s="324"/>
      <c r="M964" s="324"/>
      <c r="N964" s="324"/>
      <c r="O964" s="324"/>
      <c r="P964" s="324"/>
      <c r="Q964" s="324"/>
      <c r="R964" s="324"/>
      <c r="S964" s="324"/>
      <c r="T964" s="324"/>
      <c r="U964" s="324"/>
      <c r="V964" s="324"/>
      <c r="W964" s="324"/>
    </row>
    <row r="965">
      <c r="A965" s="323"/>
      <c r="B965" s="324"/>
      <c r="C965" s="324"/>
      <c r="D965" s="324"/>
      <c r="E965" s="324"/>
      <c r="F965" s="324"/>
      <c r="G965" s="324"/>
      <c r="H965" s="324"/>
      <c r="I965" s="324"/>
      <c r="J965" s="324"/>
      <c r="K965" s="324"/>
      <c r="L965" s="324"/>
      <c r="M965" s="324"/>
      <c r="N965" s="324"/>
      <c r="O965" s="324"/>
      <c r="P965" s="324"/>
      <c r="Q965" s="324"/>
      <c r="R965" s="324"/>
      <c r="S965" s="324"/>
      <c r="T965" s="324"/>
      <c r="U965" s="324"/>
      <c r="V965" s="324"/>
      <c r="W965" s="324"/>
    </row>
    <row r="966">
      <c r="A966" s="323"/>
      <c r="B966" s="324"/>
      <c r="C966" s="324"/>
      <c r="D966" s="324"/>
      <c r="E966" s="324"/>
      <c r="F966" s="324"/>
      <c r="G966" s="324"/>
      <c r="H966" s="324"/>
      <c r="I966" s="324"/>
      <c r="J966" s="324"/>
      <c r="K966" s="324"/>
      <c r="L966" s="324"/>
      <c r="M966" s="324"/>
      <c r="N966" s="324"/>
      <c r="O966" s="324"/>
      <c r="P966" s="324"/>
      <c r="Q966" s="324"/>
      <c r="R966" s="324"/>
      <c r="S966" s="324"/>
      <c r="T966" s="324"/>
      <c r="U966" s="324"/>
      <c r="V966" s="324"/>
      <c r="W966" s="324"/>
    </row>
    <row r="967">
      <c r="A967" s="323"/>
      <c r="B967" s="324"/>
      <c r="C967" s="324"/>
      <c r="D967" s="324"/>
      <c r="E967" s="324"/>
      <c r="F967" s="324"/>
      <c r="G967" s="324"/>
      <c r="H967" s="324"/>
      <c r="I967" s="324"/>
      <c r="J967" s="324"/>
      <c r="K967" s="324"/>
      <c r="L967" s="324"/>
      <c r="M967" s="324"/>
      <c r="N967" s="324"/>
      <c r="O967" s="324"/>
      <c r="P967" s="324"/>
      <c r="Q967" s="324"/>
      <c r="R967" s="324"/>
      <c r="S967" s="324"/>
      <c r="T967" s="324"/>
      <c r="U967" s="324"/>
      <c r="V967" s="324"/>
      <c r="W967" s="324"/>
    </row>
    <row r="968">
      <c r="A968" s="323"/>
      <c r="B968" s="324"/>
      <c r="C968" s="324"/>
      <c r="D968" s="324"/>
      <c r="E968" s="324"/>
      <c r="F968" s="324"/>
      <c r="G968" s="324"/>
      <c r="H968" s="324"/>
      <c r="I968" s="324"/>
      <c r="J968" s="324"/>
      <c r="K968" s="324"/>
      <c r="L968" s="324"/>
      <c r="M968" s="324"/>
      <c r="N968" s="324"/>
      <c r="O968" s="324"/>
      <c r="P968" s="324"/>
      <c r="Q968" s="324"/>
      <c r="R968" s="324"/>
      <c r="S968" s="324"/>
      <c r="T968" s="324"/>
      <c r="U968" s="324"/>
      <c r="V968" s="324"/>
      <c r="W968" s="324"/>
    </row>
    <row r="969">
      <c r="A969" s="323"/>
      <c r="B969" s="324"/>
      <c r="C969" s="324"/>
      <c r="D969" s="324"/>
      <c r="E969" s="324"/>
      <c r="F969" s="324"/>
      <c r="G969" s="324"/>
      <c r="H969" s="324"/>
      <c r="I969" s="324"/>
      <c r="J969" s="324"/>
      <c r="K969" s="324"/>
      <c r="L969" s="324"/>
      <c r="M969" s="324"/>
      <c r="N969" s="324"/>
      <c r="O969" s="324"/>
      <c r="P969" s="324"/>
      <c r="Q969" s="324"/>
      <c r="R969" s="324"/>
      <c r="S969" s="324"/>
      <c r="T969" s="324"/>
      <c r="U969" s="324"/>
      <c r="V969" s="324"/>
      <c r="W969" s="324"/>
    </row>
    <row r="970">
      <c r="A970" s="323"/>
      <c r="B970" s="324"/>
      <c r="C970" s="324"/>
      <c r="D970" s="324"/>
      <c r="E970" s="324"/>
      <c r="F970" s="324"/>
      <c r="G970" s="324"/>
      <c r="H970" s="324"/>
      <c r="I970" s="324"/>
      <c r="J970" s="324"/>
      <c r="K970" s="324"/>
      <c r="L970" s="324"/>
      <c r="M970" s="324"/>
      <c r="N970" s="324"/>
      <c r="O970" s="324"/>
      <c r="P970" s="324"/>
      <c r="Q970" s="324"/>
      <c r="R970" s="324"/>
      <c r="S970" s="324"/>
      <c r="T970" s="324"/>
      <c r="U970" s="324"/>
      <c r="V970" s="324"/>
      <c r="W970" s="324"/>
    </row>
    <row r="971">
      <c r="A971" s="323"/>
      <c r="B971" s="324"/>
      <c r="C971" s="324"/>
      <c r="D971" s="324"/>
      <c r="E971" s="324"/>
      <c r="F971" s="324"/>
      <c r="G971" s="324"/>
      <c r="H971" s="324"/>
      <c r="I971" s="324"/>
      <c r="J971" s="324"/>
      <c r="K971" s="324"/>
      <c r="L971" s="324"/>
      <c r="M971" s="324"/>
      <c r="N971" s="324"/>
      <c r="O971" s="324"/>
      <c r="P971" s="324"/>
      <c r="Q971" s="324"/>
      <c r="R971" s="324"/>
      <c r="S971" s="324"/>
      <c r="T971" s="324"/>
      <c r="U971" s="324"/>
      <c r="V971" s="324"/>
      <c r="W971" s="324"/>
    </row>
    <row r="972">
      <c r="A972" s="323"/>
      <c r="B972" s="324"/>
      <c r="C972" s="324"/>
      <c r="D972" s="324"/>
      <c r="E972" s="324"/>
      <c r="F972" s="324"/>
      <c r="G972" s="324"/>
      <c r="H972" s="324"/>
      <c r="I972" s="324"/>
      <c r="J972" s="324"/>
      <c r="K972" s="324"/>
      <c r="L972" s="324"/>
      <c r="M972" s="324"/>
      <c r="N972" s="324"/>
      <c r="O972" s="324"/>
      <c r="P972" s="324"/>
      <c r="Q972" s="324"/>
      <c r="R972" s="324"/>
      <c r="S972" s="324"/>
      <c r="T972" s="324"/>
      <c r="U972" s="324"/>
      <c r="V972" s="324"/>
      <c r="W972" s="324"/>
    </row>
    <row r="973">
      <c r="A973" s="323"/>
      <c r="B973" s="324"/>
      <c r="C973" s="324"/>
      <c r="D973" s="324"/>
      <c r="E973" s="324"/>
      <c r="F973" s="324"/>
      <c r="G973" s="324"/>
      <c r="H973" s="324"/>
      <c r="I973" s="324"/>
      <c r="J973" s="324"/>
      <c r="K973" s="324"/>
      <c r="L973" s="324"/>
      <c r="M973" s="324"/>
      <c r="N973" s="324"/>
      <c r="O973" s="324"/>
      <c r="P973" s="324"/>
      <c r="Q973" s="324"/>
      <c r="R973" s="324"/>
      <c r="S973" s="324"/>
      <c r="T973" s="324"/>
      <c r="U973" s="324"/>
      <c r="V973" s="324"/>
      <c r="W973" s="324"/>
    </row>
    <row r="974">
      <c r="A974" s="323"/>
      <c r="B974" s="324"/>
      <c r="C974" s="324"/>
      <c r="D974" s="324"/>
      <c r="E974" s="324"/>
      <c r="F974" s="324"/>
      <c r="G974" s="324"/>
      <c r="H974" s="324"/>
      <c r="I974" s="324"/>
      <c r="J974" s="324"/>
      <c r="K974" s="324"/>
      <c r="L974" s="324"/>
      <c r="M974" s="324"/>
      <c r="N974" s="324"/>
      <c r="O974" s="324"/>
      <c r="P974" s="324"/>
      <c r="Q974" s="324"/>
      <c r="R974" s="324"/>
      <c r="S974" s="324"/>
      <c r="T974" s="324"/>
      <c r="U974" s="324"/>
      <c r="V974" s="324"/>
      <c r="W974" s="324"/>
    </row>
    <row r="975">
      <c r="A975" s="323"/>
      <c r="B975" s="324"/>
      <c r="C975" s="324"/>
      <c r="D975" s="324"/>
      <c r="E975" s="324"/>
      <c r="F975" s="324"/>
      <c r="G975" s="324"/>
      <c r="H975" s="324"/>
      <c r="I975" s="324"/>
      <c r="J975" s="324"/>
      <c r="K975" s="324"/>
      <c r="L975" s="324"/>
      <c r="M975" s="324"/>
      <c r="N975" s="324"/>
      <c r="O975" s="324"/>
      <c r="P975" s="324"/>
      <c r="Q975" s="324"/>
      <c r="R975" s="324"/>
      <c r="S975" s="324"/>
      <c r="T975" s="324"/>
      <c r="U975" s="324"/>
      <c r="V975" s="324"/>
      <c r="W975" s="324"/>
    </row>
    <row r="976">
      <c r="A976" s="323"/>
      <c r="B976" s="324"/>
      <c r="C976" s="324"/>
      <c r="D976" s="324"/>
      <c r="E976" s="324"/>
      <c r="F976" s="324"/>
      <c r="G976" s="324"/>
      <c r="H976" s="324"/>
      <c r="I976" s="324"/>
      <c r="J976" s="324"/>
      <c r="K976" s="324"/>
      <c r="L976" s="324"/>
      <c r="M976" s="324"/>
      <c r="N976" s="324"/>
      <c r="O976" s="324"/>
      <c r="P976" s="324"/>
      <c r="Q976" s="324"/>
      <c r="R976" s="324"/>
      <c r="S976" s="324"/>
      <c r="T976" s="324"/>
      <c r="U976" s="324"/>
      <c r="V976" s="324"/>
      <c r="W976" s="324"/>
    </row>
    <row r="977">
      <c r="A977" s="323"/>
      <c r="B977" s="324"/>
      <c r="C977" s="324"/>
      <c r="D977" s="324"/>
      <c r="E977" s="324"/>
      <c r="F977" s="324"/>
      <c r="G977" s="324"/>
      <c r="H977" s="324"/>
      <c r="I977" s="324"/>
      <c r="J977" s="324"/>
      <c r="K977" s="324"/>
      <c r="L977" s="324"/>
      <c r="M977" s="324"/>
      <c r="N977" s="324"/>
      <c r="O977" s="324"/>
      <c r="P977" s="324"/>
      <c r="Q977" s="324"/>
      <c r="R977" s="324"/>
      <c r="S977" s="324"/>
      <c r="T977" s="324"/>
      <c r="U977" s="324"/>
      <c r="V977" s="324"/>
      <c r="W977" s="324"/>
    </row>
    <row r="978">
      <c r="A978" s="323"/>
      <c r="B978" s="324"/>
      <c r="C978" s="324"/>
      <c r="D978" s="324"/>
      <c r="E978" s="324"/>
      <c r="F978" s="324"/>
      <c r="G978" s="324"/>
      <c r="H978" s="324"/>
      <c r="I978" s="324"/>
      <c r="J978" s="324"/>
      <c r="K978" s="324"/>
      <c r="L978" s="324"/>
      <c r="M978" s="324"/>
      <c r="N978" s="324"/>
      <c r="O978" s="324"/>
      <c r="P978" s="324"/>
      <c r="Q978" s="324"/>
      <c r="R978" s="324"/>
      <c r="S978" s="324"/>
      <c r="T978" s="324"/>
      <c r="U978" s="324"/>
      <c r="V978" s="324"/>
      <c r="W978" s="324"/>
    </row>
    <row r="979">
      <c r="A979" s="323"/>
      <c r="B979" s="324"/>
      <c r="C979" s="324"/>
      <c r="D979" s="324"/>
      <c r="E979" s="324"/>
      <c r="F979" s="324"/>
      <c r="G979" s="324"/>
      <c r="H979" s="324"/>
      <c r="I979" s="324"/>
      <c r="J979" s="324"/>
      <c r="K979" s="324"/>
      <c r="L979" s="324"/>
      <c r="M979" s="324"/>
      <c r="N979" s="324"/>
      <c r="O979" s="324"/>
      <c r="P979" s="324"/>
      <c r="Q979" s="324"/>
      <c r="R979" s="324"/>
      <c r="S979" s="324"/>
      <c r="T979" s="324"/>
      <c r="U979" s="324"/>
      <c r="V979" s="324"/>
      <c r="W979" s="324"/>
    </row>
    <row r="980">
      <c r="A980" s="323"/>
      <c r="B980" s="324"/>
      <c r="C980" s="324"/>
      <c r="D980" s="324"/>
      <c r="E980" s="324"/>
      <c r="F980" s="324"/>
      <c r="G980" s="324"/>
      <c r="H980" s="324"/>
      <c r="I980" s="324"/>
      <c r="J980" s="324"/>
      <c r="K980" s="324"/>
      <c r="L980" s="324"/>
      <c r="M980" s="324"/>
      <c r="N980" s="324"/>
      <c r="O980" s="324"/>
      <c r="P980" s="324"/>
      <c r="Q980" s="324"/>
      <c r="R980" s="324"/>
      <c r="S980" s="324"/>
      <c r="T980" s="324"/>
      <c r="U980" s="324"/>
      <c r="V980" s="324"/>
      <c r="W980" s="324"/>
    </row>
    <row r="981">
      <c r="A981" s="323"/>
      <c r="B981" s="324"/>
      <c r="C981" s="324"/>
      <c r="D981" s="324"/>
      <c r="E981" s="324"/>
      <c r="F981" s="324"/>
      <c r="G981" s="324"/>
      <c r="H981" s="324"/>
      <c r="I981" s="324"/>
      <c r="J981" s="324"/>
      <c r="K981" s="324"/>
      <c r="L981" s="324"/>
      <c r="M981" s="324"/>
      <c r="N981" s="324"/>
      <c r="O981" s="324"/>
      <c r="P981" s="324"/>
      <c r="Q981" s="324"/>
      <c r="R981" s="324"/>
      <c r="S981" s="324"/>
      <c r="T981" s="324"/>
      <c r="U981" s="324"/>
      <c r="V981" s="324"/>
      <c r="W981" s="324"/>
    </row>
    <row r="982">
      <c r="A982" s="323"/>
      <c r="B982" s="324"/>
      <c r="C982" s="324"/>
      <c r="D982" s="324"/>
      <c r="E982" s="324"/>
      <c r="F982" s="324"/>
      <c r="G982" s="324"/>
      <c r="H982" s="324"/>
      <c r="I982" s="324"/>
      <c r="J982" s="324"/>
      <c r="K982" s="324"/>
      <c r="L982" s="324"/>
      <c r="M982" s="324"/>
      <c r="N982" s="324"/>
      <c r="O982" s="324"/>
      <c r="P982" s="324"/>
      <c r="Q982" s="324"/>
      <c r="R982" s="324"/>
      <c r="S982" s="324"/>
      <c r="T982" s="324"/>
      <c r="U982" s="324"/>
      <c r="V982" s="324"/>
      <c r="W982" s="324"/>
    </row>
    <row r="983">
      <c r="A983" s="323"/>
      <c r="B983" s="324"/>
      <c r="C983" s="324"/>
      <c r="D983" s="324"/>
      <c r="E983" s="324"/>
      <c r="F983" s="324"/>
      <c r="G983" s="324"/>
      <c r="H983" s="324"/>
      <c r="I983" s="324"/>
      <c r="J983" s="324"/>
      <c r="K983" s="324"/>
      <c r="L983" s="324"/>
      <c r="M983" s="324"/>
      <c r="N983" s="324"/>
      <c r="O983" s="324"/>
      <c r="P983" s="324"/>
      <c r="Q983" s="324"/>
      <c r="R983" s="324"/>
      <c r="S983" s="324"/>
      <c r="T983" s="324"/>
      <c r="U983" s="324"/>
      <c r="V983" s="324"/>
      <c r="W983" s="324"/>
    </row>
    <row r="984">
      <c r="A984" s="323"/>
      <c r="B984" s="324"/>
      <c r="C984" s="324"/>
      <c r="D984" s="324"/>
      <c r="E984" s="324"/>
      <c r="F984" s="324"/>
      <c r="G984" s="324"/>
      <c r="H984" s="324"/>
      <c r="I984" s="324"/>
      <c r="J984" s="324"/>
      <c r="K984" s="324"/>
      <c r="L984" s="324"/>
      <c r="M984" s="324"/>
      <c r="N984" s="324"/>
      <c r="O984" s="324"/>
      <c r="P984" s="324"/>
      <c r="Q984" s="324"/>
      <c r="R984" s="324"/>
      <c r="S984" s="324"/>
      <c r="T984" s="324"/>
      <c r="U984" s="324"/>
      <c r="V984" s="324"/>
      <c r="W984" s="324"/>
    </row>
    <row r="985">
      <c r="A985" s="323"/>
      <c r="B985" s="324"/>
      <c r="C985" s="324"/>
      <c r="D985" s="324"/>
      <c r="E985" s="324"/>
      <c r="F985" s="324"/>
      <c r="G985" s="324"/>
      <c r="H985" s="324"/>
      <c r="I985" s="324"/>
      <c r="J985" s="324"/>
      <c r="K985" s="324"/>
      <c r="L985" s="324"/>
      <c r="M985" s="324"/>
      <c r="N985" s="324"/>
      <c r="O985" s="324"/>
      <c r="P985" s="324"/>
      <c r="Q985" s="324"/>
      <c r="R985" s="324"/>
      <c r="S985" s="324"/>
      <c r="T985" s="324"/>
      <c r="U985" s="324"/>
      <c r="V985" s="324"/>
      <c r="W985" s="324"/>
    </row>
    <row r="986">
      <c r="A986" s="323"/>
      <c r="B986" s="324"/>
      <c r="C986" s="324"/>
      <c r="D986" s="324"/>
      <c r="E986" s="324"/>
      <c r="F986" s="324"/>
      <c r="G986" s="324"/>
      <c r="H986" s="324"/>
      <c r="I986" s="324"/>
      <c r="J986" s="324"/>
      <c r="K986" s="324"/>
      <c r="L986" s="324"/>
      <c r="M986" s="324"/>
      <c r="N986" s="324"/>
      <c r="O986" s="324"/>
      <c r="P986" s="324"/>
      <c r="Q986" s="324"/>
      <c r="R986" s="324"/>
      <c r="S986" s="324"/>
      <c r="T986" s="324"/>
      <c r="U986" s="324"/>
      <c r="V986" s="324"/>
      <c r="W986" s="324"/>
    </row>
    <row r="987">
      <c r="A987" s="323"/>
      <c r="B987" s="324"/>
      <c r="C987" s="324"/>
      <c r="D987" s="324"/>
      <c r="E987" s="324"/>
      <c r="F987" s="324"/>
      <c r="G987" s="324"/>
      <c r="H987" s="324"/>
      <c r="I987" s="324"/>
      <c r="J987" s="324"/>
      <c r="K987" s="324"/>
      <c r="L987" s="324"/>
      <c r="M987" s="324"/>
      <c r="N987" s="324"/>
      <c r="O987" s="324"/>
      <c r="P987" s="324"/>
      <c r="Q987" s="324"/>
      <c r="R987" s="324"/>
      <c r="S987" s="324"/>
      <c r="T987" s="324"/>
      <c r="U987" s="324"/>
      <c r="V987" s="324"/>
      <c r="W987" s="324"/>
    </row>
    <row r="988">
      <c r="A988" s="323"/>
      <c r="B988" s="324"/>
      <c r="C988" s="324"/>
      <c r="D988" s="324"/>
      <c r="E988" s="324"/>
      <c r="F988" s="324"/>
      <c r="G988" s="324"/>
      <c r="H988" s="324"/>
      <c r="I988" s="324"/>
      <c r="J988" s="324"/>
      <c r="K988" s="324"/>
      <c r="L988" s="324"/>
      <c r="M988" s="324"/>
      <c r="N988" s="324"/>
      <c r="O988" s="324"/>
      <c r="P988" s="324"/>
      <c r="Q988" s="324"/>
      <c r="R988" s="324"/>
      <c r="S988" s="324"/>
      <c r="T988" s="324"/>
      <c r="U988" s="324"/>
      <c r="V988" s="324"/>
      <c r="W988" s="324"/>
    </row>
    <row r="989">
      <c r="A989" s="323"/>
      <c r="B989" s="324"/>
      <c r="C989" s="324"/>
      <c r="D989" s="324"/>
      <c r="E989" s="324"/>
      <c r="F989" s="324"/>
      <c r="G989" s="324"/>
      <c r="H989" s="324"/>
      <c r="I989" s="324"/>
      <c r="J989" s="324"/>
      <c r="K989" s="324"/>
      <c r="L989" s="324"/>
      <c r="M989" s="324"/>
      <c r="N989" s="324"/>
      <c r="O989" s="324"/>
      <c r="P989" s="324"/>
      <c r="Q989" s="324"/>
      <c r="R989" s="324"/>
      <c r="S989" s="324"/>
      <c r="T989" s="324"/>
      <c r="U989" s="324"/>
      <c r="V989" s="324"/>
      <c r="W989" s="324"/>
    </row>
    <row r="990">
      <c r="A990" s="323"/>
      <c r="B990" s="324"/>
      <c r="C990" s="324"/>
      <c r="D990" s="324"/>
      <c r="E990" s="324"/>
      <c r="F990" s="324"/>
      <c r="G990" s="324"/>
      <c r="H990" s="324"/>
      <c r="I990" s="324"/>
      <c r="J990" s="324"/>
      <c r="K990" s="324"/>
      <c r="L990" s="324"/>
      <c r="M990" s="324"/>
      <c r="N990" s="324"/>
      <c r="O990" s="324"/>
      <c r="P990" s="324"/>
      <c r="Q990" s="324"/>
      <c r="R990" s="324"/>
      <c r="S990" s="324"/>
      <c r="T990" s="324"/>
      <c r="U990" s="324"/>
      <c r="V990" s="324"/>
      <c r="W990" s="324"/>
    </row>
    <row r="991">
      <c r="A991" s="323"/>
      <c r="B991" s="324"/>
      <c r="C991" s="324"/>
      <c r="D991" s="324"/>
      <c r="E991" s="324"/>
      <c r="F991" s="324"/>
      <c r="G991" s="324"/>
      <c r="H991" s="324"/>
      <c r="I991" s="324"/>
      <c r="J991" s="324"/>
      <c r="K991" s="324"/>
      <c r="L991" s="324"/>
      <c r="M991" s="324"/>
      <c r="N991" s="324"/>
      <c r="O991" s="324"/>
      <c r="P991" s="324"/>
      <c r="Q991" s="324"/>
      <c r="R991" s="324"/>
      <c r="S991" s="324"/>
      <c r="T991" s="324"/>
      <c r="U991" s="324"/>
      <c r="V991" s="324"/>
      <c r="W991" s="324"/>
    </row>
    <row r="992">
      <c r="A992" s="323"/>
      <c r="B992" s="324"/>
      <c r="C992" s="324"/>
      <c r="D992" s="324"/>
      <c r="E992" s="324"/>
      <c r="F992" s="324"/>
      <c r="G992" s="324"/>
      <c r="H992" s="324"/>
      <c r="I992" s="324"/>
      <c r="J992" s="324"/>
      <c r="K992" s="324"/>
      <c r="L992" s="324"/>
      <c r="M992" s="324"/>
      <c r="N992" s="324"/>
      <c r="O992" s="324"/>
      <c r="P992" s="324"/>
      <c r="Q992" s="324"/>
      <c r="R992" s="324"/>
      <c r="S992" s="324"/>
      <c r="T992" s="324"/>
      <c r="U992" s="324"/>
      <c r="V992" s="324"/>
      <c r="W992" s="324"/>
    </row>
    <row r="993">
      <c r="A993" s="323"/>
      <c r="B993" s="324"/>
      <c r="C993" s="324"/>
      <c r="D993" s="324"/>
      <c r="E993" s="324"/>
      <c r="F993" s="324"/>
      <c r="G993" s="324"/>
      <c r="H993" s="324"/>
      <c r="I993" s="324"/>
      <c r="J993" s="324"/>
      <c r="K993" s="324"/>
      <c r="L993" s="324"/>
      <c r="M993" s="324"/>
      <c r="N993" s="324"/>
      <c r="O993" s="324"/>
      <c r="P993" s="324"/>
      <c r="Q993" s="324"/>
      <c r="R993" s="324"/>
      <c r="S993" s="324"/>
      <c r="T993" s="324"/>
      <c r="U993" s="324"/>
      <c r="V993" s="324"/>
      <c r="W993" s="324"/>
    </row>
    <row r="994">
      <c r="A994" s="323"/>
      <c r="B994" s="324"/>
      <c r="C994" s="324"/>
      <c r="D994" s="324"/>
      <c r="E994" s="324"/>
      <c r="F994" s="324"/>
      <c r="G994" s="324"/>
      <c r="H994" s="324"/>
      <c r="I994" s="324"/>
      <c r="J994" s="324"/>
      <c r="K994" s="324"/>
      <c r="L994" s="324"/>
      <c r="M994" s="324"/>
      <c r="N994" s="324"/>
      <c r="O994" s="324"/>
      <c r="P994" s="324"/>
      <c r="Q994" s="324"/>
      <c r="R994" s="324"/>
      <c r="S994" s="324"/>
      <c r="T994" s="324"/>
      <c r="U994" s="324"/>
      <c r="V994" s="324"/>
      <c r="W994" s="324"/>
    </row>
    <row r="995">
      <c r="A995" s="323"/>
      <c r="B995" s="324"/>
      <c r="C995" s="324"/>
      <c r="D995" s="324"/>
      <c r="E995" s="324"/>
      <c r="F995" s="324"/>
      <c r="G995" s="324"/>
      <c r="H995" s="324"/>
      <c r="I995" s="324"/>
      <c r="J995" s="324"/>
      <c r="K995" s="324"/>
      <c r="L995" s="324"/>
      <c r="M995" s="324"/>
      <c r="N995" s="324"/>
      <c r="O995" s="324"/>
      <c r="P995" s="324"/>
      <c r="Q995" s="324"/>
      <c r="R995" s="324"/>
      <c r="S995" s="324"/>
      <c r="T995" s="324"/>
      <c r="U995" s="324"/>
      <c r="V995" s="324"/>
      <c r="W995" s="324"/>
    </row>
    <row r="996">
      <c r="A996" s="323"/>
      <c r="B996" s="324"/>
      <c r="C996" s="324"/>
      <c r="D996" s="324"/>
      <c r="E996" s="324"/>
      <c r="F996" s="324"/>
      <c r="G996" s="324"/>
      <c r="H996" s="324"/>
      <c r="I996" s="324"/>
      <c r="J996" s="324"/>
      <c r="K996" s="324"/>
      <c r="L996" s="324"/>
      <c r="M996" s="324"/>
      <c r="N996" s="324"/>
      <c r="O996" s="324"/>
      <c r="P996" s="324"/>
      <c r="Q996" s="324"/>
      <c r="R996" s="324"/>
      <c r="S996" s="324"/>
      <c r="T996" s="324"/>
      <c r="U996" s="324"/>
      <c r="V996" s="324"/>
      <c r="W996" s="324"/>
    </row>
    <row r="997">
      <c r="A997" s="323"/>
      <c r="B997" s="324"/>
      <c r="C997" s="324"/>
      <c r="D997" s="324"/>
      <c r="E997" s="324"/>
      <c r="F997" s="324"/>
      <c r="G997" s="324"/>
      <c r="H997" s="324"/>
      <c r="I997" s="324"/>
      <c r="J997" s="324"/>
      <c r="K997" s="324"/>
      <c r="L997" s="324"/>
      <c r="M997" s="324"/>
      <c r="N997" s="324"/>
      <c r="O997" s="324"/>
      <c r="P997" s="324"/>
      <c r="Q997" s="324"/>
      <c r="R997" s="324"/>
      <c r="S997" s="324"/>
      <c r="T997" s="324"/>
      <c r="U997" s="324"/>
      <c r="V997" s="324"/>
      <c r="W997" s="324"/>
    </row>
    <row r="998">
      <c r="A998" s="323"/>
      <c r="B998" s="324"/>
      <c r="C998" s="324"/>
      <c r="D998" s="324"/>
      <c r="E998" s="324"/>
      <c r="F998" s="324"/>
      <c r="G998" s="324"/>
      <c r="H998" s="324"/>
      <c r="I998" s="324"/>
      <c r="J998" s="324"/>
      <c r="K998" s="324"/>
      <c r="L998" s="324"/>
      <c r="M998" s="324"/>
      <c r="N998" s="324"/>
      <c r="O998" s="324"/>
      <c r="P998" s="324"/>
      <c r="Q998" s="324"/>
      <c r="R998" s="324"/>
      <c r="S998" s="324"/>
      <c r="T998" s="324"/>
      <c r="U998" s="324"/>
      <c r="V998" s="324"/>
      <c r="W998" s="324"/>
    </row>
    <row r="999">
      <c r="A999" s="323"/>
      <c r="B999" s="324"/>
      <c r="C999" s="324"/>
      <c r="D999" s="324"/>
      <c r="E999" s="324"/>
      <c r="F999" s="324"/>
      <c r="G999" s="324"/>
      <c r="H999" s="324"/>
      <c r="I999" s="324"/>
      <c r="J999" s="324"/>
      <c r="K999" s="324"/>
      <c r="L999" s="324"/>
      <c r="M999" s="324"/>
      <c r="N999" s="324"/>
      <c r="O999" s="324"/>
      <c r="P999" s="324"/>
      <c r="Q999" s="324"/>
      <c r="R999" s="324"/>
      <c r="S999" s="324"/>
      <c r="T999" s="324"/>
      <c r="U999" s="324"/>
      <c r="V999" s="324"/>
      <c r="W999" s="324"/>
    </row>
    <row r="1000">
      <c r="A1000" s="323"/>
      <c r="B1000" s="324"/>
      <c r="C1000" s="324"/>
      <c r="D1000" s="324"/>
      <c r="E1000" s="324"/>
      <c r="F1000" s="324"/>
      <c r="G1000" s="324"/>
      <c r="H1000" s="324"/>
      <c r="I1000" s="324"/>
      <c r="J1000" s="324"/>
      <c r="K1000" s="324"/>
      <c r="L1000" s="324"/>
      <c r="M1000" s="324"/>
      <c r="N1000" s="324"/>
      <c r="O1000" s="324"/>
      <c r="P1000" s="324"/>
      <c r="Q1000" s="324"/>
      <c r="R1000" s="324"/>
      <c r="S1000" s="324"/>
      <c r="T1000" s="324"/>
      <c r="U1000" s="324"/>
      <c r="V1000" s="324"/>
      <c r="W1000" s="324"/>
    </row>
    <row r="1001">
      <c r="A1001" s="323"/>
      <c r="B1001" s="324"/>
      <c r="C1001" s="324"/>
      <c r="D1001" s="324"/>
      <c r="E1001" s="324"/>
      <c r="F1001" s="324"/>
      <c r="G1001" s="324"/>
      <c r="H1001" s="324"/>
      <c r="I1001" s="324"/>
      <c r="J1001" s="324"/>
      <c r="K1001" s="324"/>
      <c r="L1001" s="324"/>
      <c r="M1001" s="324"/>
      <c r="N1001" s="324"/>
      <c r="O1001" s="324"/>
      <c r="P1001" s="324"/>
      <c r="Q1001" s="324"/>
      <c r="R1001" s="324"/>
      <c r="S1001" s="324"/>
      <c r="T1001" s="324"/>
      <c r="U1001" s="324"/>
      <c r="V1001" s="324"/>
      <c r="W1001" s="324"/>
    </row>
    <row r="1002">
      <c r="A1002" s="323"/>
      <c r="B1002" s="324"/>
      <c r="C1002" s="324"/>
      <c r="D1002" s="324"/>
      <c r="E1002" s="324"/>
      <c r="F1002" s="324"/>
      <c r="G1002" s="324"/>
      <c r="H1002" s="324"/>
      <c r="I1002" s="324"/>
      <c r="J1002" s="324"/>
      <c r="K1002" s="324"/>
      <c r="L1002" s="324"/>
      <c r="M1002" s="324"/>
      <c r="N1002" s="324"/>
      <c r="O1002" s="324"/>
      <c r="P1002" s="324"/>
      <c r="Q1002" s="324"/>
      <c r="R1002" s="324"/>
      <c r="S1002" s="324"/>
      <c r="T1002" s="324"/>
      <c r="U1002" s="324"/>
      <c r="V1002" s="324"/>
      <c r="W1002" s="324"/>
    </row>
    <row r="1003">
      <c r="A1003" s="323"/>
      <c r="B1003" s="324"/>
      <c r="C1003" s="324"/>
      <c r="D1003" s="324"/>
      <c r="E1003" s="324"/>
      <c r="F1003" s="324"/>
      <c r="G1003" s="324"/>
      <c r="H1003" s="324"/>
      <c r="I1003" s="324"/>
      <c r="J1003" s="324"/>
      <c r="K1003" s="324"/>
      <c r="L1003" s="324"/>
      <c r="M1003" s="324"/>
      <c r="N1003" s="324"/>
      <c r="O1003" s="324"/>
      <c r="P1003" s="324"/>
      <c r="Q1003" s="324"/>
      <c r="R1003" s="324"/>
      <c r="S1003" s="324"/>
      <c r="T1003" s="324"/>
      <c r="U1003" s="324"/>
      <c r="V1003" s="324"/>
      <c r="W1003" s="324"/>
    </row>
    <row r="1004">
      <c r="A1004" s="323"/>
      <c r="B1004" s="324"/>
      <c r="C1004" s="324"/>
      <c r="D1004" s="324"/>
      <c r="E1004" s="324"/>
      <c r="F1004" s="324"/>
      <c r="G1004" s="324"/>
      <c r="H1004" s="324"/>
      <c r="I1004" s="324"/>
      <c r="J1004" s="324"/>
      <c r="K1004" s="324"/>
      <c r="L1004" s="324"/>
      <c r="M1004" s="324"/>
      <c r="N1004" s="324"/>
      <c r="O1004" s="324"/>
      <c r="P1004" s="324"/>
      <c r="Q1004" s="324"/>
      <c r="R1004" s="324"/>
      <c r="S1004" s="324"/>
      <c r="T1004" s="324"/>
      <c r="U1004" s="324"/>
      <c r="V1004" s="324"/>
      <c r="W1004" s="324"/>
    </row>
    <row r="1005">
      <c r="A1005" s="323"/>
      <c r="B1005" s="324"/>
      <c r="C1005" s="324"/>
      <c r="D1005" s="324"/>
      <c r="E1005" s="324"/>
      <c r="F1005" s="324"/>
      <c r="G1005" s="324"/>
      <c r="H1005" s="324"/>
      <c r="I1005" s="324"/>
      <c r="J1005" s="324"/>
      <c r="K1005" s="324"/>
      <c r="L1005" s="324"/>
      <c r="M1005" s="324"/>
      <c r="N1005" s="324"/>
      <c r="O1005" s="324"/>
      <c r="P1005" s="324"/>
      <c r="Q1005" s="324"/>
      <c r="R1005" s="324"/>
      <c r="S1005" s="324"/>
      <c r="T1005" s="324"/>
      <c r="U1005" s="324"/>
      <c r="V1005" s="324"/>
      <c r="W1005" s="324"/>
    </row>
    <row r="1006">
      <c r="A1006" s="323"/>
      <c r="B1006" s="324"/>
      <c r="C1006" s="324"/>
      <c r="D1006" s="324"/>
      <c r="E1006" s="324"/>
      <c r="F1006" s="324"/>
      <c r="G1006" s="324"/>
      <c r="H1006" s="324"/>
      <c r="I1006" s="324"/>
      <c r="J1006" s="324"/>
      <c r="K1006" s="324"/>
      <c r="L1006" s="324"/>
      <c r="M1006" s="324"/>
      <c r="N1006" s="324"/>
      <c r="O1006" s="324"/>
      <c r="P1006" s="324"/>
      <c r="Q1006" s="324"/>
      <c r="R1006" s="324"/>
      <c r="S1006" s="324"/>
      <c r="T1006" s="324"/>
      <c r="U1006" s="324"/>
      <c r="V1006" s="324"/>
      <c r="W1006" s="324"/>
    </row>
    <row r="1007">
      <c r="A1007" s="323"/>
      <c r="B1007" s="324"/>
      <c r="C1007" s="324"/>
      <c r="D1007" s="324"/>
      <c r="E1007" s="324"/>
      <c r="F1007" s="324"/>
      <c r="G1007" s="324"/>
      <c r="H1007" s="324"/>
      <c r="I1007" s="324"/>
      <c r="J1007" s="324"/>
      <c r="K1007" s="324"/>
      <c r="L1007" s="324"/>
      <c r="M1007" s="324"/>
      <c r="N1007" s="324"/>
      <c r="O1007" s="324"/>
      <c r="P1007" s="324"/>
      <c r="Q1007" s="324"/>
      <c r="R1007" s="324"/>
      <c r="S1007" s="324"/>
      <c r="T1007" s="324"/>
      <c r="U1007" s="324"/>
      <c r="V1007" s="324"/>
      <c r="W1007" s="324"/>
    </row>
    <row r="1008">
      <c r="A1008" s="323"/>
      <c r="B1008" s="324"/>
      <c r="C1008" s="324"/>
      <c r="D1008" s="324"/>
      <c r="E1008" s="324"/>
      <c r="F1008" s="324"/>
      <c r="G1008" s="324"/>
      <c r="H1008" s="324"/>
      <c r="I1008" s="324"/>
      <c r="J1008" s="324"/>
      <c r="K1008" s="324"/>
      <c r="L1008" s="324"/>
      <c r="M1008" s="324"/>
      <c r="N1008" s="324"/>
      <c r="O1008" s="324"/>
      <c r="P1008" s="324"/>
      <c r="Q1008" s="324"/>
      <c r="R1008" s="324"/>
      <c r="S1008" s="324"/>
      <c r="T1008" s="324"/>
      <c r="U1008" s="324"/>
      <c r="V1008" s="324"/>
      <c r="W1008" s="324"/>
    </row>
    <row r="1009">
      <c r="A1009" s="323"/>
      <c r="B1009" s="324"/>
      <c r="C1009" s="324"/>
      <c r="D1009" s="324"/>
      <c r="E1009" s="324"/>
      <c r="F1009" s="324"/>
      <c r="G1009" s="324"/>
      <c r="H1009" s="324"/>
      <c r="I1009" s="324"/>
      <c r="J1009" s="324"/>
      <c r="K1009" s="324"/>
      <c r="L1009" s="324"/>
      <c r="M1009" s="324"/>
      <c r="N1009" s="324"/>
      <c r="O1009" s="324"/>
      <c r="P1009" s="324"/>
      <c r="Q1009" s="324"/>
      <c r="R1009" s="324"/>
      <c r="S1009" s="324"/>
      <c r="T1009" s="324"/>
      <c r="U1009" s="324"/>
      <c r="V1009" s="324"/>
      <c r="W1009" s="324"/>
    </row>
    <row r="1010">
      <c r="A1010" s="323"/>
      <c r="B1010" s="324"/>
      <c r="C1010" s="324"/>
      <c r="D1010" s="324"/>
      <c r="E1010" s="324"/>
      <c r="F1010" s="324"/>
      <c r="G1010" s="324"/>
      <c r="H1010" s="324"/>
      <c r="I1010" s="324"/>
      <c r="J1010" s="324"/>
      <c r="K1010" s="324"/>
      <c r="L1010" s="324"/>
      <c r="M1010" s="324"/>
      <c r="N1010" s="324"/>
      <c r="O1010" s="324"/>
      <c r="P1010" s="324"/>
      <c r="Q1010" s="324"/>
      <c r="R1010" s="324"/>
      <c r="S1010" s="324"/>
      <c r="T1010" s="324"/>
      <c r="U1010" s="324"/>
      <c r="V1010" s="324"/>
      <c r="W1010" s="324"/>
    </row>
    <row r="1011">
      <c r="A1011" s="323"/>
      <c r="B1011" s="324"/>
      <c r="C1011" s="324"/>
      <c r="D1011" s="324"/>
      <c r="E1011" s="324"/>
      <c r="F1011" s="324"/>
      <c r="G1011" s="324"/>
      <c r="H1011" s="324"/>
      <c r="I1011" s="324"/>
      <c r="J1011" s="324"/>
      <c r="K1011" s="324"/>
      <c r="L1011" s="324"/>
      <c r="M1011" s="324"/>
      <c r="N1011" s="324"/>
      <c r="O1011" s="324"/>
      <c r="P1011" s="324"/>
      <c r="Q1011" s="324"/>
      <c r="R1011" s="324"/>
      <c r="S1011" s="324"/>
      <c r="T1011" s="324"/>
      <c r="U1011" s="324"/>
      <c r="V1011" s="324"/>
      <c r="W1011" s="324"/>
    </row>
    <row r="1012">
      <c r="A1012" s="323"/>
      <c r="B1012" s="324"/>
      <c r="C1012" s="324"/>
      <c r="D1012" s="324"/>
      <c r="E1012" s="324"/>
      <c r="F1012" s="324"/>
      <c r="G1012" s="324"/>
      <c r="H1012" s="324"/>
      <c r="I1012" s="324"/>
      <c r="J1012" s="324"/>
      <c r="K1012" s="324"/>
      <c r="L1012" s="324"/>
      <c r="M1012" s="324"/>
      <c r="N1012" s="324"/>
      <c r="O1012" s="324"/>
      <c r="P1012" s="324"/>
      <c r="Q1012" s="324"/>
      <c r="R1012" s="324"/>
      <c r="S1012" s="324"/>
      <c r="T1012" s="324"/>
      <c r="U1012" s="324"/>
      <c r="V1012" s="324"/>
      <c r="W1012" s="324"/>
    </row>
    <row r="1013">
      <c r="A1013" s="323"/>
      <c r="B1013" s="324"/>
      <c r="C1013" s="324"/>
      <c r="D1013" s="324"/>
      <c r="E1013" s="324"/>
      <c r="F1013" s="324"/>
      <c r="G1013" s="324"/>
      <c r="H1013" s="324"/>
      <c r="I1013" s="324"/>
      <c r="J1013" s="324"/>
      <c r="K1013" s="324"/>
      <c r="L1013" s="324"/>
      <c r="M1013" s="324"/>
      <c r="N1013" s="324"/>
      <c r="O1013" s="324"/>
      <c r="P1013" s="324"/>
      <c r="Q1013" s="324"/>
      <c r="R1013" s="324"/>
      <c r="S1013" s="324"/>
      <c r="T1013" s="324"/>
      <c r="U1013" s="324"/>
      <c r="V1013" s="324"/>
      <c r="W1013" s="324"/>
    </row>
    <row r="1014">
      <c r="A1014" s="323"/>
      <c r="B1014" s="324"/>
      <c r="C1014" s="324"/>
      <c r="D1014" s="324"/>
      <c r="E1014" s="324"/>
      <c r="F1014" s="324"/>
      <c r="G1014" s="324"/>
      <c r="H1014" s="324"/>
      <c r="I1014" s="324"/>
      <c r="J1014" s="324"/>
      <c r="K1014" s="324"/>
      <c r="L1014" s="324"/>
      <c r="M1014" s="324"/>
      <c r="N1014" s="324"/>
      <c r="O1014" s="324"/>
      <c r="P1014" s="324"/>
      <c r="Q1014" s="324"/>
      <c r="R1014" s="324"/>
      <c r="S1014" s="324"/>
      <c r="T1014" s="324"/>
      <c r="U1014" s="324"/>
      <c r="V1014" s="324"/>
      <c r="W1014" s="324"/>
    </row>
    <row r="1015">
      <c r="A1015" s="323"/>
      <c r="B1015" s="324"/>
      <c r="C1015" s="324"/>
      <c r="D1015" s="324"/>
      <c r="E1015" s="324"/>
      <c r="F1015" s="324"/>
      <c r="G1015" s="324"/>
      <c r="H1015" s="324"/>
      <c r="I1015" s="324"/>
      <c r="J1015" s="324"/>
      <c r="K1015" s="324"/>
      <c r="L1015" s="324"/>
      <c r="M1015" s="324"/>
      <c r="N1015" s="324"/>
      <c r="O1015" s="324"/>
      <c r="P1015" s="324"/>
      <c r="Q1015" s="324"/>
      <c r="R1015" s="324"/>
      <c r="S1015" s="324"/>
      <c r="T1015" s="324"/>
      <c r="U1015" s="324"/>
      <c r="V1015" s="324"/>
      <c r="W1015" s="324"/>
    </row>
    <row r="1016">
      <c r="A1016" s="323"/>
      <c r="B1016" s="324"/>
      <c r="C1016" s="324"/>
      <c r="D1016" s="324"/>
      <c r="E1016" s="324"/>
      <c r="F1016" s="324"/>
      <c r="G1016" s="324"/>
      <c r="H1016" s="324"/>
      <c r="I1016" s="324"/>
      <c r="J1016" s="324"/>
      <c r="K1016" s="324"/>
      <c r="L1016" s="324"/>
      <c r="M1016" s="324"/>
      <c r="N1016" s="324"/>
      <c r="O1016" s="324"/>
      <c r="P1016" s="324"/>
      <c r="Q1016" s="324"/>
      <c r="R1016" s="324"/>
      <c r="S1016" s="324"/>
      <c r="T1016" s="324"/>
      <c r="U1016" s="324"/>
      <c r="V1016" s="324"/>
      <c r="W1016" s="324"/>
    </row>
    <row r="1017">
      <c r="A1017" s="323"/>
      <c r="B1017" s="324"/>
      <c r="C1017" s="324"/>
      <c r="D1017" s="324"/>
      <c r="E1017" s="324"/>
      <c r="F1017" s="324"/>
      <c r="G1017" s="324"/>
      <c r="H1017" s="324"/>
      <c r="I1017" s="324"/>
      <c r="J1017" s="324"/>
      <c r="K1017" s="324"/>
      <c r="L1017" s="324"/>
      <c r="M1017" s="324"/>
      <c r="N1017" s="324"/>
      <c r="O1017" s="324"/>
      <c r="P1017" s="324"/>
      <c r="Q1017" s="324"/>
      <c r="R1017" s="324"/>
      <c r="S1017" s="324"/>
      <c r="T1017" s="324"/>
      <c r="U1017" s="324"/>
      <c r="V1017" s="324"/>
      <c r="W1017" s="324"/>
    </row>
    <row r="1018">
      <c r="A1018" s="323"/>
      <c r="B1018" s="324"/>
      <c r="C1018" s="324"/>
      <c r="D1018" s="324"/>
      <c r="E1018" s="324"/>
      <c r="F1018" s="324"/>
      <c r="G1018" s="324"/>
      <c r="H1018" s="324"/>
      <c r="I1018" s="324"/>
      <c r="J1018" s="324"/>
      <c r="K1018" s="324"/>
      <c r="L1018" s="324"/>
      <c r="M1018" s="324"/>
      <c r="N1018" s="324"/>
      <c r="O1018" s="324"/>
      <c r="P1018" s="324"/>
      <c r="Q1018" s="324"/>
      <c r="R1018" s="324"/>
      <c r="S1018" s="324"/>
      <c r="T1018" s="324"/>
      <c r="U1018" s="324"/>
      <c r="V1018" s="324"/>
      <c r="W1018" s="324"/>
    </row>
    <row r="1019">
      <c r="A1019" s="323"/>
      <c r="B1019" s="324"/>
      <c r="C1019" s="324"/>
      <c r="D1019" s="324"/>
      <c r="E1019" s="324"/>
      <c r="F1019" s="324"/>
      <c r="G1019" s="324"/>
      <c r="H1019" s="324"/>
      <c r="I1019" s="324"/>
      <c r="J1019" s="324"/>
      <c r="K1019" s="324"/>
      <c r="L1019" s="324"/>
      <c r="M1019" s="324"/>
      <c r="N1019" s="324"/>
      <c r="O1019" s="324"/>
      <c r="P1019" s="324"/>
      <c r="Q1019" s="324"/>
      <c r="R1019" s="324"/>
      <c r="S1019" s="324"/>
      <c r="T1019" s="324"/>
      <c r="U1019" s="324"/>
      <c r="V1019" s="324"/>
      <c r="W1019" s="324"/>
    </row>
    <row r="1020">
      <c r="A1020" s="323"/>
      <c r="B1020" s="324"/>
      <c r="C1020" s="324"/>
      <c r="D1020" s="324"/>
      <c r="E1020" s="324"/>
      <c r="F1020" s="324"/>
      <c r="G1020" s="324"/>
      <c r="H1020" s="324"/>
      <c r="I1020" s="324"/>
      <c r="J1020" s="324"/>
      <c r="K1020" s="324"/>
      <c r="L1020" s="324"/>
      <c r="M1020" s="324"/>
      <c r="N1020" s="324"/>
      <c r="O1020" s="324"/>
      <c r="P1020" s="324"/>
      <c r="Q1020" s="324"/>
      <c r="R1020" s="324"/>
      <c r="S1020" s="324"/>
      <c r="T1020" s="324"/>
      <c r="U1020" s="324"/>
      <c r="V1020" s="324"/>
      <c r="W1020" s="324"/>
    </row>
    <row r="1021">
      <c r="A1021" s="323"/>
      <c r="B1021" s="324"/>
      <c r="C1021" s="324"/>
      <c r="D1021" s="324"/>
      <c r="E1021" s="324"/>
      <c r="F1021" s="324"/>
      <c r="G1021" s="324"/>
      <c r="H1021" s="324"/>
      <c r="I1021" s="324"/>
      <c r="J1021" s="324"/>
      <c r="K1021" s="324"/>
      <c r="L1021" s="324"/>
      <c r="M1021" s="324"/>
      <c r="N1021" s="324"/>
      <c r="O1021" s="324"/>
      <c r="P1021" s="324"/>
      <c r="Q1021" s="324"/>
      <c r="R1021" s="324"/>
      <c r="S1021" s="324"/>
      <c r="T1021" s="324"/>
      <c r="U1021" s="324"/>
      <c r="V1021" s="324"/>
      <c r="W1021" s="324"/>
    </row>
    <row r="1022">
      <c r="A1022" s="323"/>
      <c r="B1022" s="324"/>
      <c r="C1022" s="324"/>
      <c r="D1022" s="324"/>
      <c r="E1022" s="324"/>
      <c r="F1022" s="324"/>
      <c r="G1022" s="324"/>
      <c r="H1022" s="324"/>
      <c r="I1022" s="324"/>
      <c r="J1022" s="324"/>
      <c r="K1022" s="324"/>
      <c r="L1022" s="324"/>
      <c r="M1022" s="324"/>
      <c r="N1022" s="324"/>
      <c r="O1022" s="324"/>
      <c r="P1022" s="324"/>
      <c r="Q1022" s="324"/>
      <c r="R1022" s="324"/>
      <c r="S1022" s="324"/>
      <c r="T1022" s="324"/>
      <c r="U1022" s="324"/>
      <c r="V1022" s="324"/>
      <c r="W1022" s="324"/>
    </row>
    <row r="1023">
      <c r="A1023" s="323"/>
      <c r="B1023" s="324"/>
      <c r="C1023" s="324"/>
      <c r="D1023" s="324"/>
      <c r="E1023" s="324"/>
      <c r="F1023" s="324"/>
      <c r="G1023" s="324"/>
      <c r="H1023" s="324"/>
      <c r="I1023" s="324"/>
      <c r="J1023" s="324"/>
      <c r="K1023" s="324"/>
      <c r="L1023" s="324"/>
      <c r="M1023" s="324"/>
      <c r="N1023" s="324"/>
      <c r="O1023" s="324"/>
      <c r="P1023" s="324"/>
      <c r="Q1023" s="324"/>
      <c r="R1023" s="324"/>
      <c r="S1023" s="324"/>
      <c r="T1023" s="324"/>
      <c r="U1023" s="324"/>
      <c r="V1023" s="324"/>
      <c r="W1023" s="324"/>
    </row>
    <row r="1024">
      <c r="A1024" s="323"/>
      <c r="B1024" s="324"/>
      <c r="C1024" s="324"/>
      <c r="D1024" s="324"/>
      <c r="E1024" s="324"/>
      <c r="F1024" s="324"/>
      <c r="G1024" s="324"/>
      <c r="H1024" s="324"/>
      <c r="I1024" s="324"/>
      <c r="J1024" s="324"/>
      <c r="K1024" s="324"/>
      <c r="L1024" s="324"/>
      <c r="M1024" s="324"/>
      <c r="N1024" s="324"/>
      <c r="O1024" s="324"/>
      <c r="P1024" s="324"/>
      <c r="Q1024" s="324"/>
      <c r="R1024" s="324"/>
      <c r="S1024" s="324"/>
      <c r="T1024" s="324"/>
      <c r="U1024" s="324"/>
      <c r="V1024" s="324"/>
      <c r="W1024" s="324"/>
    </row>
    <row r="1025">
      <c r="A1025" s="323"/>
      <c r="B1025" s="324"/>
      <c r="C1025" s="324"/>
      <c r="D1025" s="324"/>
      <c r="E1025" s="324"/>
      <c r="F1025" s="324"/>
      <c r="G1025" s="324"/>
      <c r="H1025" s="324"/>
      <c r="I1025" s="324"/>
      <c r="J1025" s="324"/>
      <c r="K1025" s="324"/>
      <c r="L1025" s="324"/>
      <c r="M1025" s="324"/>
      <c r="N1025" s="324"/>
      <c r="O1025" s="324"/>
      <c r="P1025" s="324"/>
      <c r="Q1025" s="324"/>
      <c r="R1025" s="324"/>
      <c r="S1025" s="324"/>
      <c r="T1025" s="324"/>
      <c r="U1025" s="324"/>
      <c r="V1025" s="324"/>
      <c r="W1025" s="324"/>
    </row>
    <row r="1026">
      <c r="A1026" s="323"/>
      <c r="B1026" s="324"/>
      <c r="C1026" s="324"/>
      <c r="D1026" s="324"/>
      <c r="E1026" s="324"/>
      <c r="F1026" s="324"/>
      <c r="G1026" s="324"/>
      <c r="H1026" s="324"/>
      <c r="I1026" s="324"/>
      <c r="J1026" s="324"/>
      <c r="K1026" s="324"/>
      <c r="L1026" s="324"/>
      <c r="M1026" s="324"/>
      <c r="N1026" s="324"/>
      <c r="O1026" s="324"/>
      <c r="P1026" s="324"/>
      <c r="Q1026" s="324"/>
      <c r="R1026" s="324"/>
      <c r="S1026" s="324"/>
      <c r="T1026" s="324"/>
      <c r="U1026" s="324"/>
      <c r="V1026" s="324"/>
      <c r="W1026" s="324"/>
    </row>
    <row r="1027">
      <c r="A1027" s="323"/>
      <c r="B1027" s="324"/>
      <c r="C1027" s="324"/>
      <c r="D1027" s="324"/>
      <c r="E1027" s="324"/>
      <c r="F1027" s="324"/>
      <c r="G1027" s="324"/>
      <c r="H1027" s="324"/>
      <c r="I1027" s="324"/>
      <c r="J1027" s="324"/>
      <c r="K1027" s="324"/>
      <c r="L1027" s="324"/>
      <c r="M1027" s="324"/>
      <c r="N1027" s="324"/>
      <c r="O1027" s="324"/>
      <c r="P1027" s="324"/>
      <c r="Q1027" s="324"/>
      <c r="R1027" s="324"/>
      <c r="S1027" s="324"/>
      <c r="T1027" s="324"/>
      <c r="U1027" s="324"/>
      <c r="V1027" s="324"/>
      <c r="W1027" s="324"/>
    </row>
    <row r="1028">
      <c r="A1028" s="323"/>
      <c r="B1028" s="324"/>
      <c r="C1028" s="324"/>
      <c r="D1028" s="324"/>
      <c r="E1028" s="324"/>
      <c r="F1028" s="324"/>
      <c r="G1028" s="324"/>
      <c r="H1028" s="324"/>
      <c r="I1028" s="324"/>
      <c r="J1028" s="324"/>
      <c r="K1028" s="324"/>
      <c r="L1028" s="324"/>
      <c r="M1028" s="324"/>
      <c r="N1028" s="324"/>
      <c r="O1028" s="324"/>
      <c r="P1028" s="324"/>
      <c r="Q1028" s="324"/>
      <c r="R1028" s="324"/>
      <c r="S1028" s="324"/>
      <c r="T1028" s="324"/>
      <c r="U1028" s="324"/>
      <c r="V1028" s="324"/>
      <c r="W1028" s="324"/>
    </row>
    <row r="1029">
      <c r="A1029" s="323"/>
      <c r="B1029" s="324"/>
      <c r="C1029" s="324"/>
      <c r="D1029" s="324"/>
      <c r="E1029" s="324"/>
      <c r="F1029" s="324"/>
      <c r="G1029" s="324"/>
      <c r="H1029" s="324"/>
      <c r="I1029" s="324"/>
      <c r="J1029" s="324"/>
      <c r="K1029" s="324"/>
      <c r="L1029" s="324"/>
      <c r="M1029" s="324"/>
      <c r="N1029" s="324"/>
      <c r="O1029" s="324"/>
      <c r="P1029" s="324"/>
      <c r="Q1029" s="324"/>
      <c r="R1029" s="324"/>
      <c r="S1029" s="324"/>
      <c r="T1029" s="324"/>
      <c r="U1029" s="324"/>
      <c r="V1029" s="324"/>
      <c r="W1029" s="324"/>
    </row>
    <row r="1030">
      <c r="A1030" s="323"/>
      <c r="B1030" s="324"/>
      <c r="C1030" s="324"/>
      <c r="D1030" s="324"/>
      <c r="E1030" s="324"/>
      <c r="F1030" s="324"/>
      <c r="G1030" s="324"/>
      <c r="H1030" s="324"/>
      <c r="I1030" s="324"/>
      <c r="J1030" s="324"/>
      <c r="K1030" s="324"/>
      <c r="L1030" s="324"/>
      <c r="M1030" s="324"/>
      <c r="N1030" s="324"/>
      <c r="O1030" s="324"/>
      <c r="P1030" s="324"/>
      <c r="Q1030" s="324"/>
      <c r="R1030" s="324"/>
      <c r="S1030" s="324"/>
      <c r="T1030" s="324"/>
      <c r="U1030" s="324"/>
      <c r="V1030" s="324"/>
      <c r="W1030" s="324"/>
    </row>
    <row r="1031">
      <c r="A1031" s="323"/>
      <c r="B1031" s="324"/>
      <c r="C1031" s="324"/>
      <c r="D1031" s="324"/>
      <c r="E1031" s="324"/>
      <c r="F1031" s="324"/>
      <c r="G1031" s="324"/>
      <c r="H1031" s="324"/>
      <c r="I1031" s="324"/>
      <c r="J1031" s="324"/>
      <c r="K1031" s="324"/>
      <c r="L1031" s="324"/>
      <c r="M1031" s="324"/>
      <c r="N1031" s="324"/>
      <c r="O1031" s="324"/>
      <c r="P1031" s="324"/>
      <c r="Q1031" s="324"/>
      <c r="R1031" s="324"/>
      <c r="S1031" s="324"/>
      <c r="T1031" s="324"/>
      <c r="U1031" s="324"/>
      <c r="V1031" s="324"/>
      <c r="W1031" s="324"/>
    </row>
    <row r="1032">
      <c r="A1032" s="323"/>
      <c r="B1032" s="324"/>
      <c r="C1032" s="324"/>
      <c r="D1032" s="324"/>
      <c r="E1032" s="324"/>
      <c r="F1032" s="324"/>
      <c r="G1032" s="324"/>
      <c r="H1032" s="324"/>
      <c r="I1032" s="324"/>
      <c r="J1032" s="324"/>
      <c r="K1032" s="324"/>
      <c r="L1032" s="324"/>
      <c r="M1032" s="324"/>
      <c r="N1032" s="324"/>
      <c r="O1032" s="324"/>
      <c r="P1032" s="324"/>
      <c r="Q1032" s="324"/>
      <c r="R1032" s="324"/>
      <c r="S1032" s="324"/>
      <c r="T1032" s="324"/>
      <c r="U1032" s="324"/>
      <c r="V1032" s="324"/>
      <c r="W1032" s="324"/>
    </row>
    <row r="1033">
      <c r="A1033" s="323"/>
      <c r="B1033" s="324"/>
      <c r="C1033" s="324"/>
      <c r="D1033" s="324"/>
      <c r="E1033" s="324"/>
      <c r="F1033" s="324"/>
      <c r="G1033" s="324"/>
      <c r="H1033" s="324"/>
      <c r="I1033" s="324"/>
      <c r="J1033" s="324"/>
      <c r="K1033" s="324"/>
      <c r="L1033" s="324"/>
      <c r="M1033" s="324"/>
      <c r="N1033" s="324"/>
      <c r="O1033" s="324"/>
      <c r="P1033" s="324"/>
      <c r="Q1033" s="324"/>
      <c r="R1033" s="324"/>
      <c r="S1033" s="324"/>
      <c r="T1033" s="324"/>
      <c r="U1033" s="324"/>
      <c r="V1033" s="324"/>
      <c r="W1033" s="324"/>
    </row>
    <row r="1034">
      <c r="A1034" s="323"/>
      <c r="B1034" s="324"/>
      <c r="C1034" s="324"/>
      <c r="D1034" s="324"/>
      <c r="E1034" s="324"/>
      <c r="F1034" s="324"/>
      <c r="G1034" s="324"/>
      <c r="H1034" s="324"/>
      <c r="I1034" s="324"/>
      <c r="J1034" s="324"/>
      <c r="K1034" s="324"/>
      <c r="L1034" s="324"/>
      <c r="M1034" s="324"/>
      <c r="N1034" s="324"/>
      <c r="O1034" s="324"/>
      <c r="P1034" s="324"/>
      <c r="Q1034" s="324"/>
      <c r="R1034" s="324"/>
      <c r="S1034" s="324"/>
      <c r="T1034" s="324"/>
      <c r="U1034" s="324"/>
      <c r="V1034" s="324"/>
      <c r="W1034" s="324"/>
    </row>
    <row r="1035">
      <c r="A1035" s="323"/>
      <c r="B1035" s="324"/>
      <c r="C1035" s="324"/>
      <c r="D1035" s="324"/>
      <c r="E1035" s="324"/>
      <c r="F1035" s="324"/>
      <c r="G1035" s="324"/>
      <c r="H1035" s="324"/>
      <c r="I1035" s="324"/>
      <c r="J1035" s="324"/>
      <c r="K1035" s="324"/>
      <c r="L1035" s="324"/>
      <c r="M1035" s="324"/>
      <c r="N1035" s="324"/>
      <c r="O1035" s="324"/>
      <c r="P1035" s="324"/>
      <c r="Q1035" s="324"/>
      <c r="R1035" s="324"/>
      <c r="S1035" s="324"/>
      <c r="T1035" s="324"/>
      <c r="U1035" s="324"/>
      <c r="V1035" s="324"/>
      <c r="W1035" s="324"/>
    </row>
    <row r="1036">
      <c r="A1036" s="323"/>
      <c r="B1036" s="324"/>
      <c r="C1036" s="324"/>
      <c r="D1036" s="324"/>
      <c r="E1036" s="324"/>
      <c r="F1036" s="324"/>
      <c r="G1036" s="324"/>
      <c r="H1036" s="324"/>
      <c r="I1036" s="324"/>
      <c r="J1036" s="324"/>
      <c r="K1036" s="324"/>
      <c r="L1036" s="324"/>
      <c r="M1036" s="324"/>
      <c r="N1036" s="324"/>
      <c r="O1036" s="324"/>
      <c r="P1036" s="324"/>
      <c r="Q1036" s="324"/>
      <c r="R1036" s="324"/>
      <c r="S1036" s="324"/>
      <c r="T1036" s="324"/>
      <c r="U1036" s="324"/>
      <c r="V1036" s="324"/>
      <c r="W1036" s="324"/>
    </row>
    <row r="1037">
      <c r="A1037" s="323"/>
      <c r="B1037" s="324"/>
      <c r="C1037" s="324"/>
      <c r="D1037" s="324"/>
      <c r="E1037" s="324"/>
      <c r="F1037" s="324"/>
      <c r="G1037" s="324"/>
      <c r="H1037" s="324"/>
      <c r="I1037" s="324"/>
      <c r="J1037" s="324"/>
      <c r="K1037" s="324"/>
      <c r="L1037" s="324"/>
      <c r="M1037" s="324"/>
      <c r="N1037" s="324"/>
      <c r="O1037" s="324"/>
      <c r="P1037" s="324"/>
      <c r="Q1037" s="324"/>
      <c r="R1037" s="324"/>
      <c r="S1037" s="324"/>
      <c r="T1037" s="324"/>
      <c r="U1037" s="324"/>
      <c r="V1037" s="324"/>
      <c r="W1037" s="324"/>
    </row>
    <row r="1038">
      <c r="A1038" s="323"/>
      <c r="B1038" s="324"/>
      <c r="C1038" s="324"/>
      <c r="D1038" s="324"/>
      <c r="E1038" s="324"/>
      <c r="F1038" s="324"/>
      <c r="G1038" s="324"/>
      <c r="H1038" s="324"/>
      <c r="I1038" s="324"/>
      <c r="J1038" s="324"/>
      <c r="K1038" s="324"/>
      <c r="L1038" s="324"/>
      <c r="M1038" s="324"/>
      <c r="N1038" s="324"/>
      <c r="O1038" s="324"/>
      <c r="P1038" s="324"/>
      <c r="Q1038" s="324"/>
      <c r="R1038" s="324"/>
      <c r="S1038" s="324"/>
      <c r="T1038" s="324"/>
      <c r="U1038" s="324"/>
      <c r="V1038" s="324"/>
      <c r="W1038" s="324"/>
    </row>
    <row r="1039">
      <c r="A1039" s="323"/>
      <c r="B1039" s="324"/>
      <c r="C1039" s="324"/>
      <c r="D1039" s="324"/>
      <c r="E1039" s="324"/>
      <c r="F1039" s="324"/>
      <c r="G1039" s="324"/>
      <c r="H1039" s="324"/>
      <c r="I1039" s="324"/>
      <c r="J1039" s="324"/>
      <c r="K1039" s="324"/>
      <c r="L1039" s="324"/>
      <c r="M1039" s="324"/>
      <c r="N1039" s="324"/>
      <c r="O1039" s="324"/>
      <c r="P1039" s="324"/>
      <c r="Q1039" s="324"/>
      <c r="R1039" s="324"/>
      <c r="S1039" s="324"/>
      <c r="T1039" s="324"/>
      <c r="U1039" s="324"/>
      <c r="V1039" s="324"/>
      <c r="W1039" s="324"/>
    </row>
    <row r="1040">
      <c r="A1040" s="323"/>
      <c r="B1040" s="324"/>
      <c r="C1040" s="324"/>
      <c r="D1040" s="324"/>
      <c r="E1040" s="324"/>
      <c r="F1040" s="324"/>
      <c r="G1040" s="324"/>
      <c r="H1040" s="324"/>
      <c r="I1040" s="324"/>
      <c r="J1040" s="324"/>
      <c r="K1040" s="324"/>
      <c r="L1040" s="324"/>
      <c r="M1040" s="324"/>
      <c r="N1040" s="324"/>
      <c r="O1040" s="324"/>
      <c r="P1040" s="324"/>
      <c r="Q1040" s="324"/>
      <c r="R1040" s="324"/>
      <c r="S1040" s="324"/>
      <c r="T1040" s="324"/>
      <c r="U1040" s="324"/>
      <c r="V1040" s="324"/>
      <c r="W1040" s="324"/>
    </row>
    <row r="1041">
      <c r="A1041" s="323"/>
      <c r="B1041" s="324"/>
      <c r="C1041" s="324"/>
      <c r="D1041" s="324"/>
      <c r="E1041" s="324"/>
      <c r="F1041" s="324"/>
      <c r="G1041" s="324"/>
      <c r="H1041" s="324"/>
      <c r="I1041" s="324"/>
      <c r="J1041" s="324"/>
      <c r="K1041" s="324"/>
      <c r="L1041" s="324"/>
      <c r="M1041" s="324"/>
      <c r="N1041" s="324"/>
      <c r="O1041" s="324"/>
      <c r="P1041" s="324"/>
      <c r="Q1041" s="324"/>
      <c r="R1041" s="324"/>
      <c r="S1041" s="324"/>
      <c r="T1041" s="324"/>
      <c r="U1041" s="324"/>
      <c r="V1041" s="324"/>
      <c r="W1041" s="324"/>
    </row>
    <row r="1042">
      <c r="A1042" s="323"/>
      <c r="B1042" s="324"/>
      <c r="C1042" s="324"/>
      <c r="D1042" s="324"/>
      <c r="E1042" s="324"/>
      <c r="F1042" s="324"/>
      <c r="G1042" s="324"/>
      <c r="H1042" s="324"/>
      <c r="I1042" s="324"/>
      <c r="J1042" s="324"/>
      <c r="K1042" s="324"/>
      <c r="L1042" s="324"/>
      <c r="M1042" s="324"/>
      <c r="N1042" s="324"/>
      <c r="O1042" s="324"/>
      <c r="P1042" s="324"/>
      <c r="Q1042" s="324"/>
      <c r="R1042" s="324"/>
      <c r="S1042" s="324"/>
      <c r="T1042" s="324"/>
      <c r="U1042" s="324"/>
      <c r="V1042" s="324"/>
      <c r="W1042" s="324"/>
    </row>
    <row r="1043">
      <c r="A1043" s="323"/>
      <c r="B1043" s="324"/>
      <c r="C1043" s="324"/>
      <c r="D1043" s="324"/>
      <c r="E1043" s="324"/>
      <c r="F1043" s="324"/>
      <c r="G1043" s="324"/>
      <c r="H1043" s="324"/>
      <c r="I1043" s="324"/>
      <c r="J1043" s="324"/>
      <c r="K1043" s="324"/>
      <c r="L1043" s="324"/>
      <c r="M1043" s="324"/>
      <c r="N1043" s="324"/>
      <c r="O1043" s="324"/>
      <c r="P1043" s="324"/>
      <c r="Q1043" s="324"/>
      <c r="R1043" s="324"/>
      <c r="S1043" s="324"/>
      <c r="T1043" s="324"/>
      <c r="U1043" s="324"/>
      <c r="V1043" s="324"/>
      <c r="W1043" s="324"/>
    </row>
    <row r="1044">
      <c r="A1044" s="323"/>
      <c r="B1044" s="324"/>
      <c r="C1044" s="324"/>
      <c r="D1044" s="324"/>
      <c r="E1044" s="324"/>
      <c r="F1044" s="324"/>
      <c r="G1044" s="324"/>
      <c r="H1044" s="324"/>
      <c r="I1044" s="324"/>
      <c r="J1044" s="324"/>
      <c r="K1044" s="324"/>
      <c r="L1044" s="324"/>
      <c r="M1044" s="324"/>
      <c r="N1044" s="324"/>
      <c r="O1044" s="324"/>
      <c r="P1044" s="324"/>
      <c r="Q1044" s="324"/>
      <c r="R1044" s="324"/>
      <c r="S1044" s="324"/>
      <c r="T1044" s="324"/>
      <c r="U1044" s="324"/>
      <c r="V1044" s="324"/>
      <c r="W1044" s="324"/>
    </row>
    <row r="1045">
      <c r="A1045" s="323"/>
      <c r="B1045" s="324"/>
      <c r="C1045" s="324"/>
      <c r="D1045" s="324"/>
      <c r="E1045" s="324"/>
      <c r="F1045" s="324"/>
      <c r="G1045" s="324"/>
      <c r="H1045" s="324"/>
      <c r="I1045" s="324"/>
      <c r="J1045" s="324"/>
      <c r="K1045" s="324"/>
      <c r="L1045" s="324"/>
      <c r="M1045" s="324"/>
      <c r="N1045" s="324"/>
      <c r="O1045" s="324"/>
      <c r="P1045" s="324"/>
      <c r="Q1045" s="324"/>
      <c r="R1045" s="324"/>
      <c r="S1045" s="324"/>
      <c r="T1045" s="324"/>
      <c r="U1045" s="324"/>
      <c r="V1045" s="324"/>
      <c r="W1045" s="324"/>
    </row>
    <row r="1046">
      <c r="A1046" s="323"/>
      <c r="B1046" s="324"/>
      <c r="C1046" s="324"/>
      <c r="D1046" s="324"/>
      <c r="E1046" s="324"/>
      <c r="F1046" s="324"/>
      <c r="G1046" s="324"/>
      <c r="H1046" s="324"/>
      <c r="I1046" s="324"/>
      <c r="J1046" s="324"/>
      <c r="K1046" s="324"/>
      <c r="L1046" s="324"/>
      <c r="M1046" s="324"/>
      <c r="N1046" s="324"/>
      <c r="O1046" s="324"/>
      <c r="P1046" s="324"/>
      <c r="Q1046" s="324"/>
      <c r="R1046" s="324"/>
      <c r="S1046" s="324"/>
      <c r="T1046" s="324"/>
      <c r="U1046" s="324"/>
      <c r="V1046" s="324"/>
      <c r="W1046" s="324"/>
    </row>
    <row r="1047">
      <c r="A1047" s="323"/>
      <c r="B1047" s="324"/>
      <c r="C1047" s="324"/>
      <c r="D1047" s="324"/>
      <c r="E1047" s="324"/>
      <c r="F1047" s="324"/>
      <c r="G1047" s="324"/>
      <c r="H1047" s="324"/>
      <c r="I1047" s="324"/>
      <c r="J1047" s="324"/>
      <c r="K1047" s="324"/>
      <c r="L1047" s="324"/>
      <c r="M1047" s="324"/>
      <c r="N1047" s="324"/>
      <c r="O1047" s="324"/>
      <c r="P1047" s="324"/>
      <c r="Q1047" s="324"/>
      <c r="R1047" s="324"/>
      <c r="S1047" s="324"/>
      <c r="T1047" s="324"/>
      <c r="U1047" s="324"/>
      <c r="V1047" s="324"/>
      <c r="W1047" s="324"/>
    </row>
    <row r="1048">
      <c r="A1048" s="323"/>
      <c r="D1048" s="324"/>
      <c r="E1048" s="324"/>
      <c r="F1048" s="324"/>
      <c r="G1048" s="324"/>
      <c r="H1048" s="324"/>
      <c r="I1048" s="324"/>
      <c r="J1048" s="324"/>
      <c r="K1048" s="324"/>
      <c r="L1048" s="324"/>
      <c r="M1048" s="324"/>
      <c r="N1048" s="324"/>
      <c r="O1048" s="324"/>
      <c r="P1048" s="324"/>
      <c r="Q1048" s="324"/>
      <c r="R1048" s="324"/>
      <c r="S1048" s="324"/>
      <c r="T1048" s="324"/>
      <c r="U1048" s="324"/>
      <c r="V1048" s="324"/>
      <c r="W1048" s="324"/>
    </row>
    <row r="1049">
      <c r="A1049" s="323"/>
      <c r="D1049" s="324"/>
      <c r="E1049" s="324"/>
      <c r="F1049" s="324"/>
      <c r="G1049" s="324"/>
      <c r="H1049" s="324"/>
      <c r="I1049" s="324"/>
      <c r="J1049" s="324"/>
      <c r="K1049" s="324"/>
      <c r="L1049" s="324"/>
      <c r="M1049" s="324"/>
      <c r="N1049" s="324"/>
      <c r="O1049" s="324"/>
      <c r="P1049" s="324"/>
      <c r="Q1049" s="324"/>
      <c r="R1049" s="324"/>
      <c r="S1049" s="324"/>
      <c r="T1049" s="324"/>
      <c r="U1049" s="324"/>
      <c r="V1049" s="324"/>
      <c r="W1049" s="324"/>
    </row>
    <row r="1050">
      <c r="A1050" s="323"/>
      <c r="D1050" s="324"/>
      <c r="E1050" s="324"/>
      <c r="F1050" s="324"/>
      <c r="G1050" s="324"/>
      <c r="H1050" s="324"/>
      <c r="I1050" s="324"/>
      <c r="J1050" s="324"/>
      <c r="K1050" s="324"/>
      <c r="L1050" s="324"/>
      <c r="M1050" s="324"/>
      <c r="N1050" s="324"/>
      <c r="O1050" s="324"/>
      <c r="P1050" s="324"/>
      <c r="Q1050" s="324"/>
      <c r="R1050" s="324"/>
      <c r="S1050" s="324"/>
      <c r="T1050" s="324"/>
      <c r="U1050" s="324"/>
      <c r="V1050" s="324"/>
      <c r="W1050" s="324"/>
    </row>
    <row r="1051">
      <c r="A1051" s="323"/>
      <c r="D1051" s="324"/>
      <c r="E1051" s="324"/>
      <c r="F1051" s="324"/>
      <c r="G1051" s="324"/>
      <c r="H1051" s="324"/>
      <c r="I1051" s="324"/>
      <c r="J1051" s="324"/>
      <c r="K1051" s="324"/>
      <c r="L1051" s="324"/>
      <c r="M1051" s="324"/>
      <c r="N1051" s="324"/>
      <c r="O1051" s="324"/>
      <c r="P1051" s="324"/>
      <c r="Q1051" s="324"/>
      <c r="R1051" s="324"/>
      <c r="S1051" s="324"/>
      <c r="T1051" s="324"/>
      <c r="U1051" s="324"/>
      <c r="V1051" s="324"/>
      <c r="W1051" s="324"/>
    </row>
    <row r="1052">
      <c r="A1052" s="323"/>
      <c r="D1052" s="324"/>
      <c r="E1052" s="324"/>
      <c r="F1052" s="324"/>
      <c r="G1052" s="324"/>
      <c r="H1052" s="324"/>
      <c r="I1052" s="324"/>
      <c r="J1052" s="324"/>
      <c r="K1052" s="324"/>
      <c r="L1052" s="324"/>
      <c r="M1052" s="324"/>
      <c r="N1052" s="324"/>
      <c r="O1052" s="324"/>
      <c r="P1052" s="324"/>
      <c r="Q1052" s="324"/>
      <c r="R1052" s="324"/>
      <c r="S1052" s="324"/>
      <c r="T1052" s="324"/>
      <c r="U1052" s="324"/>
      <c r="V1052" s="324"/>
      <c r="W1052" s="324"/>
    </row>
    <row r="1053">
      <c r="A1053" s="323"/>
      <c r="D1053" s="324"/>
      <c r="E1053" s="324"/>
      <c r="F1053" s="324"/>
      <c r="G1053" s="324"/>
      <c r="H1053" s="324"/>
      <c r="I1053" s="324"/>
      <c r="J1053" s="324"/>
      <c r="K1053" s="324"/>
      <c r="L1053" s="324"/>
      <c r="M1053" s="324"/>
      <c r="N1053" s="324"/>
      <c r="O1053" s="324"/>
      <c r="P1053" s="324"/>
      <c r="Q1053" s="324"/>
      <c r="R1053" s="324"/>
      <c r="S1053" s="324"/>
      <c r="T1053" s="324"/>
      <c r="U1053" s="324"/>
      <c r="V1053" s="324"/>
      <c r="W1053" s="32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3.0"/>
    <col customWidth="1" min="2" max="2" width="74.88"/>
    <col customWidth="1" min="3" max="3" width="22.13"/>
    <col customWidth="1" min="4" max="21" width="12.63"/>
  </cols>
  <sheetData>
    <row r="1">
      <c r="A1" s="89"/>
      <c r="B1" s="89"/>
      <c r="C1" s="91"/>
      <c r="D1" s="92"/>
      <c r="E1" s="89"/>
      <c r="F1" s="89"/>
      <c r="G1" s="89"/>
      <c r="H1" s="89"/>
      <c r="I1" s="89"/>
      <c r="J1" s="89"/>
      <c r="K1" s="89"/>
      <c r="L1" s="89"/>
      <c r="M1" s="89"/>
      <c r="N1" s="89"/>
      <c r="O1" s="89"/>
      <c r="P1" s="89"/>
      <c r="Q1" s="89"/>
      <c r="R1" s="89"/>
      <c r="S1" s="89"/>
      <c r="T1" s="89"/>
      <c r="U1" s="89"/>
    </row>
    <row r="2">
      <c r="A2" s="89"/>
      <c r="B2" s="96" t="s">
        <v>75</v>
      </c>
      <c r="C2" s="91"/>
      <c r="D2" s="92"/>
      <c r="E2" s="89"/>
      <c r="F2" s="89"/>
      <c r="G2" s="89"/>
      <c r="H2" s="89"/>
      <c r="I2" s="89"/>
      <c r="J2" s="89"/>
      <c r="K2" s="89"/>
      <c r="L2" s="89"/>
      <c r="M2" s="89"/>
      <c r="N2" s="89"/>
      <c r="O2" s="89"/>
      <c r="P2" s="89"/>
      <c r="Q2" s="89"/>
      <c r="R2" s="89"/>
      <c r="S2" s="89"/>
      <c r="T2" s="89"/>
      <c r="U2" s="89"/>
    </row>
    <row r="3">
      <c r="A3" s="89"/>
      <c r="B3" s="96" t="s">
        <v>82</v>
      </c>
      <c r="C3" s="91"/>
      <c r="D3" s="92"/>
      <c r="E3" s="89"/>
      <c r="F3" s="89"/>
      <c r="G3" s="89"/>
      <c r="H3" s="89"/>
      <c r="I3" s="89"/>
      <c r="J3" s="89"/>
      <c r="K3" s="89"/>
      <c r="L3" s="89"/>
      <c r="M3" s="89"/>
      <c r="N3" s="89"/>
      <c r="O3" s="89"/>
      <c r="P3" s="89"/>
      <c r="Q3" s="89"/>
      <c r="R3" s="89"/>
      <c r="S3" s="89"/>
      <c r="T3" s="89"/>
      <c r="U3" s="89"/>
    </row>
    <row r="4">
      <c r="A4" s="89"/>
      <c r="B4" s="89"/>
      <c r="C4" s="91"/>
      <c r="D4" s="92"/>
      <c r="E4" s="89"/>
      <c r="F4" s="89"/>
      <c r="G4" s="89"/>
      <c r="H4" s="89"/>
      <c r="I4" s="89"/>
      <c r="J4" s="89"/>
      <c r="K4" s="89"/>
      <c r="L4" s="89"/>
      <c r="M4" s="89"/>
      <c r="N4" s="89"/>
      <c r="O4" s="89"/>
      <c r="P4" s="89"/>
      <c r="Q4" s="89"/>
      <c r="R4" s="89"/>
      <c r="S4" s="89"/>
      <c r="T4" s="89"/>
      <c r="U4" s="89"/>
    </row>
    <row r="5">
      <c r="A5" s="103"/>
      <c r="B5" s="105" t="s">
        <v>86</v>
      </c>
      <c r="C5" s="105">
        <v>751.0</v>
      </c>
      <c r="D5" s="105">
        <v>421.0</v>
      </c>
      <c r="E5" s="105">
        <v>331.0</v>
      </c>
      <c r="F5" s="89"/>
      <c r="G5" s="89"/>
      <c r="H5" s="89"/>
      <c r="I5" s="89"/>
      <c r="J5" s="89"/>
      <c r="K5" s="89"/>
      <c r="L5" s="89"/>
      <c r="M5" s="89"/>
      <c r="N5" s="89"/>
      <c r="O5" s="89"/>
      <c r="P5" s="89"/>
      <c r="Q5" s="89"/>
      <c r="R5" s="89"/>
      <c r="S5" s="89"/>
      <c r="T5" s="89"/>
      <c r="U5" s="89"/>
    </row>
    <row r="6">
      <c r="A6" s="107"/>
      <c r="B6" s="110" t="s">
        <v>89</v>
      </c>
      <c r="C6" s="110" t="s">
        <v>93</v>
      </c>
      <c r="D6" s="110" t="s">
        <v>94</v>
      </c>
      <c r="E6" s="110" t="s">
        <v>95</v>
      </c>
      <c r="F6" s="89"/>
      <c r="G6" s="89"/>
      <c r="H6" s="89"/>
      <c r="I6" s="89"/>
      <c r="J6" s="89"/>
      <c r="K6" s="89"/>
      <c r="L6" s="89"/>
      <c r="M6" s="89"/>
      <c r="N6" s="89"/>
      <c r="O6" s="89"/>
      <c r="P6" s="89"/>
      <c r="Q6" s="89"/>
      <c r="R6" s="89"/>
      <c r="S6" s="89"/>
      <c r="T6" s="89"/>
      <c r="U6" s="89"/>
    </row>
    <row r="7">
      <c r="A7" s="111"/>
      <c r="B7" s="110" t="s">
        <v>98</v>
      </c>
      <c r="C7" s="105">
        <v>14.0</v>
      </c>
      <c r="D7" s="105">
        <v>11.0</v>
      </c>
      <c r="E7" s="105">
        <v>3.0</v>
      </c>
      <c r="F7" s="89"/>
      <c r="G7" s="89"/>
      <c r="H7" s="89"/>
      <c r="I7" s="89"/>
      <c r="J7" s="89"/>
      <c r="K7" s="89"/>
      <c r="L7" s="89"/>
      <c r="M7" s="89"/>
      <c r="N7" s="89"/>
      <c r="O7" s="89"/>
      <c r="P7" s="89"/>
      <c r="Q7" s="89"/>
      <c r="R7" s="89"/>
      <c r="S7" s="89"/>
      <c r="T7" s="89"/>
      <c r="U7" s="89"/>
    </row>
    <row r="8">
      <c r="A8" s="111"/>
      <c r="B8" s="110" t="s">
        <v>104</v>
      </c>
      <c r="C8" s="105">
        <v>0.0</v>
      </c>
      <c r="D8" s="105">
        <v>1.0</v>
      </c>
      <c r="E8" s="105">
        <v>0.0</v>
      </c>
      <c r="F8" s="89"/>
      <c r="G8" s="89"/>
      <c r="H8" s="89"/>
      <c r="I8" s="89"/>
      <c r="J8" s="89"/>
      <c r="K8" s="89"/>
      <c r="L8" s="89"/>
      <c r="M8" s="89"/>
      <c r="N8" s="89"/>
      <c r="O8" s="89"/>
      <c r="P8" s="89"/>
      <c r="Q8" s="89"/>
      <c r="R8" s="89"/>
      <c r="S8" s="89"/>
      <c r="T8" s="89"/>
      <c r="U8" s="89"/>
    </row>
    <row r="9">
      <c r="A9" s="111"/>
      <c r="B9" s="110" t="s">
        <v>110</v>
      </c>
      <c r="C9" s="105">
        <v>29.0</v>
      </c>
      <c r="D9" s="105">
        <v>2.0</v>
      </c>
      <c r="E9" s="105">
        <v>27.0</v>
      </c>
      <c r="F9" s="89"/>
      <c r="G9" s="89"/>
      <c r="H9" s="89"/>
      <c r="I9" s="89"/>
      <c r="J9" s="89"/>
      <c r="K9" s="89"/>
      <c r="L9" s="89"/>
      <c r="M9" s="89"/>
      <c r="N9" s="89"/>
      <c r="O9" s="89"/>
      <c r="P9" s="89"/>
      <c r="Q9" s="89"/>
      <c r="R9" s="89"/>
      <c r="S9" s="89"/>
      <c r="T9" s="89"/>
      <c r="U9" s="89"/>
    </row>
    <row r="10">
      <c r="A10" s="111"/>
      <c r="B10" s="110" t="s">
        <v>115</v>
      </c>
      <c r="C10" s="105">
        <v>4.0</v>
      </c>
      <c r="D10" s="105">
        <v>4.0</v>
      </c>
      <c r="E10" s="105">
        <v>0.0</v>
      </c>
      <c r="F10" s="89"/>
      <c r="G10" s="89"/>
      <c r="H10" s="89"/>
      <c r="I10" s="89"/>
      <c r="J10" s="89"/>
      <c r="K10" s="89"/>
      <c r="L10" s="89"/>
      <c r="M10" s="89"/>
      <c r="N10" s="89"/>
      <c r="O10" s="89"/>
      <c r="P10" s="89"/>
      <c r="Q10" s="89"/>
      <c r="R10" s="89"/>
      <c r="S10" s="89"/>
      <c r="T10" s="89"/>
      <c r="U10" s="89"/>
    </row>
    <row r="11">
      <c r="A11" s="111"/>
      <c r="B11" s="110" t="s">
        <v>118</v>
      </c>
      <c r="C11" s="105">
        <v>10.0</v>
      </c>
      <c r="D11" s="105">
        <v>6.0</v>
      </c>
      <c r="E11" s="105">
        <v>4.0</v>
      </c>
      <c r="F11" s="89"/>
      <c r="G11" s="89"/>
      <c r="H11" s="89"/>
      <c r="I11" s="89"/>
      <c r="J11" s="89"/>
      <c r="K11" s="89"/>
      <c r="L11" s="89"/>
      <c r="M11" s="89"/>
      <c r="N11" s="89"/>
      <c r="O11" s="89"/>
      <c r="P11" s="89"/>
      <c r="Q11" s="89"/>
      <c r="R11" s="89"/>
      <c r="S11" s="89"/>
      <c r="T11" s="89"/>
      <c r="U11" s="89"/>
    </row>
    <row r="12">
      <c r="A12" s="111"/>
      <c r="B12" s="110" t="s">
        <v>122</v>
      </c>
      <c r="C12" s="105">
        <v>20.0</v>
      </c>
      <c r="D12" s="105">
        <v>15.0</v>
      </c>
      <c r="E12" s="105">
        <v>5.0</v>
      </c>
      <c r="F12" s="89"/>
      <c r="G12" s="89"/>
      <c r="H12" s="89"/>
      <c r="I12" s="89"/>
      <c r="J12" s="89"/>
      <c r="K12" s="89"/>
      <c r="L12" s="89"/>
      <c r="M12" s="89"/>
      <c r="N12" s="89"/>
      <c r="O12" s="89"/>
      <c r="P12" s="89"/>
      <c r="Q12" s="89"/>
      <c r="R12" s="89"/>
      <c r="S12" s="89"/>
      <c r="T12" s="89"/>
      <c r="U12" s="89"/>
    </row>
    <row r="13">
      <c r="A13" s="111"/>
      <c r="B13" s="110" t="s">
        <v>125</v>
      </c>
      <c r="C13" s="105">
        <v>23.0</v>
      </c>
      <c r="D13" s="105">
        <v>15.0</v>
      </c>
      <c r="E13" s="105">
        <v>8.0</v>
      </c>
      <c r="F13" s="89"/>
      <c r="G13" s="89"/>
      <c r="H13" s="89"/>
      <c r="I13" s="89"/>
      <c r="J13" s="89"/>
      <c r="K13" s="89"/>
      <c r="L13" s="89"/>
      <c r="M13" s="89"/>
      <c r="N13" s="89"/>
      <c r="O13" s="89"/>
      <c r="P13" s="89"/>
      <c r="Q13" s="89"/>
      <c r="R13" s="89"/>
      <c r="S13" s="89"/>
      <c r="T13" s="89"/>
      <c r="U13" s="89"/>
    </row>
    <row r="14">
      <c r="A14" s="111"/>
      <c r="B14" s="110" t="s">
        <v>133</v>
      </c>
      <c r="C14" s="105">
        <v>36.0</v>
      </c>
      <c r="D14" s="105">
        <v>26.0</v>
      </c>
      <c r="E14" s="105">
        <v>10.0</v>
      </c>
      <c r="F14" s="89"/>
      <c r="G14" s="89"/>
      <c r="H14" s="89"/>
      <c r="I14" s="89"/>
      <c r="J14" s="89"/>
      <c r="K14" s="89"/>
      <c r="L14" s="89"/>
      <c r="M14" s="89"/>
      <c r="N14" s="89"/>
      <c r="O14" s="89"/>
      <c r="P14" s="89"/>
      <c r="Q14" s="89"/>
      <c r="R14" s="89"/>
      <c r="S14" s="89"/>
      <c r="T14" s="89"/>
      <c r="U14" s="89"/>
    </row>
    <row r="15">
      <c r="A15" s="111"/>
      <c r="B15" s="110" t="s">
        <v>138</v>
      </c>
      <c r="C15" s="105">
        <v>105.0</v>
      </c>
      <c r="D15" s="105">
        <v>102.0</v>
      </c>
      <c r="E15" s="105">
        <v>3.0</v>
      </c>
      <c r="F15" s="89"/>
      <c r="G15" s="89"/>
      <c r="H15" s="89"/>
      <c r="I15" s="89"/>
      <c r="J15" s="89"/>
      <c r="K15" s="89"/>
      <c r="L15" s="89"/>
      <c r="M15" s="89"/>
      <c r="N15" s="89"/>
      <c r="O15" s="89"/>
      <c r="P15" s="89"/>
      <c r="Q15" s="89"/>
      <c r="R15" s="89"/>
      <c r="S15" s="89"/>
      <c r="T15" s="89"/>
      <c r="U15" s="89"/>
    </row>
    <row r="16">
      <c r="A16" s="111"/>
      <c r="B16" s="110" t="s">
        <v>140</v>
      </c>
      <c r="C16" s="105">
        <v>39.0</v>
      </c>
      <c r="D16" s="105">
        <v>31.0</v>
      </c>
      <c r="E16" s="105">
        <v>8.0</v>
      </c>
      <c r="F16" s="89"/>
      <c r="G16" s="89"/>
      <c r="H16" s="89"/>
      <c r="I16" s="89"/>
      <c r="J16" s="89"/>
      <c r="K16" s="89"/>
      <c r="L16" s="89"/>
      <c r="M16" s="89"/>
      <c r="N16" s="89"/>
      <c r="O16" s="89"/>
      <c r="P16" s="89"/>
      <c r="Q16" s="89"/>
      <c r="R16" s="89"/>
      <c r="S16" s="89"/>
      <c r="T16" s="89"/>
      <c r="U16" s="89"/>
    </row>
    <row r="17">
      <c r="A17" s="111"/>
      <c r="B17" s="110" t="s">
        <v>146</v>
      </c>
      <c r="C17" s="105">
        <v>1.0</v>
      </c>
      <c r="D17" s="105">
        <v>1.0</v>
      </c>
      <c r="E17" s="105">
        <v>0.0</v>
      </c>
      <c r="F17" s="89"/>
      <c r="G17" s="89"/>
      <c r="H17" s="89"/>
      <c r="I17" s="89"/>
      <c r="J17" s="89"/>
      <c r="K17" s="89"/>
      <c r="L17" s="89"/>
      <c r="M17" s="89"/>
      <c r="N17" s="89"/>
      <c r="O17" s="89"/>
      <c r="P17" s="89"/>
      <c r="Q17" s="89"/>
      <c r="R17" s="89"/>
      <c r="S17" s="89"/>
      <c r="T17" s="89"/>
      <c r="U17" s="89"/>
    </row>
    <row r="18">
      <c r="A18" s="111"/>
      <c r="B18" s="110" t="s">
        <v>147</v>
      </c>
      <c r="C18" s="105">
        <v>15.0</v>
      </c>
      <c r="D18" s="105">
        <v>5.0</v>
      </c>
      <c r="E18" s="105">
        <v>10.0</v>
      </c>
      <c r="F18" s="89"/>
      <c r="G18" s="89"/>
      <c r="H18" s="89"/>
      <c r="I18" s="89"/>
      <c r="J18" s="89"/>
      <c r="K18" s="89"/>
      <c r="L18" s="89"/>
      <c r="M18" s="89"/>
      <c r="N18" s="89"/>
      <c r="O18" s="89"/>
      <c r="P18" s="89"/>
      <c r="Q18" s="89"/>
      <c r="R18" s="89"/>
      <c r="S18" s="89"/>
      <c r="T18" s="89"/>
      <c r="U18" s="89"/>
    </row>
    <row r="19">
      <c r="A19" s="111"/>
      <c r="B19" s="110" t="s">
        <v>153</v>
      </c>
      <c r="C19" s="105">
        <v>14.0</v>
      </c>
      <c r="D19" s="105">
        <v>14.0</v>
      </c>
      <c r="E19" s="105">
        <v>0.0</v>
      </c>
      <c r="F19" s="89"/>
      <c r="G19" s="89"/>
      <c r="H19" s="89"/>
      <c r="I19" s="89"/>
      <c r="J19" s="89"/>
      <c r="K19" s="89"/>
      <c r="L19" s="89"/>
      <c r="M19" s="89"/>
      <c r="N19" s="89"/>
      <c r="O19" s="89"/>
      <c r="P19" s="89"/>
      <c r="Q19" s="89"/>
      <c r="R19" s="89"/>
      <c r="S19" s="89"/>
      <c r="T19" s="89"/>
      <c r="U19" s="89"/>
    </row>
    <row r="20">
      <c r="A20" s="111"/>
      <c r="B20" s="110" t="s">
        <v>158</v>
      </c>
      <c r="C20" s="105">
        <v>17.0</v>
      </c>
      <c r="D20" s="105">
        <v>3.0</v>
      </c>
      <c r="E20" s="105">
        <v>14.0</v>
      </c>
      <c r="F20" s="89"/>
      <c r="G20" s="89"/>
      <c r="H20" s="89"/>
      <c r="I20" s="89"/>
      <c r="J20" s="89"/>
      <c r="K20" s="89"/>
      <c r="L20" s="89"/>
      <c r="M20" s="89"/>
      <c r="N20" s="89"/>
      <c r="O20" s="89"/>
      <c r="P20" s="89"/>
      <c r="Q20" s="89"/>
      <c r="R20" s="89"/>
      <c r="S20" s="89"/>
      <c r="T20" s="89"/>
      <c r="U20" s="89"/>
    </row>
    <row r="21">
      <c r="A21" s="111"/>
      <c r="B21" s="110" t="s">
        <v>162</v>
      </c>
      <c r="C21" s="105">
        <v>20.0</v>
      </c>
      <c r="D21" s="105">
        <v>4.0</v>
      </c>
      <c r="E21" s="105">
        <v>16.0</v>
      </c>
      <c r="F21" s="89"/>
      <c r="G21" s="89"/>
      <c r="H21" s="89"/>
      <c r="I21" s="89"/>
      <c r="J21" s="89"/>
      <c r="K21" s="89"/>
      <c r="L21" s="89"/>
      <c r="M21" s="89"/>
      <c r="N21" s="89"/>
      <c r="O21" s="89"/>
      <c r="P21" s="89"/>
      <c r="Q21" s="89"/>
      <c r="R21" s="89"/>
      <c r="S21" s="89"/>
      <c r="T21" s="89"/>
      <c r="U21" s="89"/>
    </row>
    <row r="22">
      <c r="A22" s="111"/>
      <c r="B22" s="110" t="s">
        <v>163</v>
      </c>
      <c r="C22" s="105">
        <v>1.0</v>
      </c>
      <c r="D22" s="105">
        <v>1.0</v>
      </c>
      <c r="E22" s="105">
        <v>0.0</v>
      </c>
      <c r="F22" s="89"/>
      <c r="G22" s="89"/>
      <c r="H22" s="89"/>
      <c r="I22" s="89"/>
      <c r="J22" s="89"/>
      <c r="K22" s="89"/>
      <c r="L22" s="89"/>
      <c r="M22" s="89"/>
      <c r="N22" s="89"/>
      <c r="O22" s="89"/>
      <c r="P22" s="89"/>
      <c r="Q22" s="89"/>
      <c r="R22" s="89"/>
      <c r="S22" s="89"/>
      <c r="T22" s="89"/>
      <c r="U22" s="89"/>
    </row>
    <row r="23">
      <c r="A23" s="111"/>
      <c r="B23" s="110" t="s">
        <v>166</v>
      </c>
      <c r="C23" s="105">
        <v>5.0</v>
      </c>
      <c r="D23" s="105">
        <v>4.0</v>
      </c>
      <c r="E23" s="105">
        <v>1.0</v>
      </c>
      <c r="F23" s="89"/>
      <c r="G23" s="89"/>
      <c r="H23" s="89"/>
      <c r="I23" s="89"/>
      <c r="J23" s="89"/>
      <c r="K23" s="89"/>
      <c r="L23" s="89"/>
      <c r="M23" s="89"/>
      <c r="N23" s="89"/>
      <c r="O23" s="89"/>
      <c r="P23" s="89"/>
      <c r="Q23" s="89"/>
      <c r="R23" s="89"/>
      <c r="S23" s="89"/>
      <c r="T23" s="89"/>
      <c r="U23" s="89"/>
    </row>
    <row r="24">
      <c r="A24" s="111"/>
      <c r="B24" s="110" t="s">
        <v>167</v>
      </c>
      <c r="C24" s="105">
        <v>28.0</v>
      </c>
      <c r="D24" s="105">
        <v>5.0</v>
      </c>
      <c r="E24" s="105">
        <v>23.0</v>
      </c>
      <c r="F24" s="89"/>
      <c r="G24" s="89"/>
      <c r="H24" s="89"/>
      <c r="I24" s="89"/>
      <c r="J24" s="89"/>
      <c r="K24" s="89"/>
      <c r="L24" s="89"/>
      <c r="M24" s="89"/>
      <c r="N24" s="89"/>
      <c r="O24" s="89"/>
      <c r="P24" s="89"/>
      <c r="Q24" s="89"/>
      <c r="R24" s="89"/>
      <c r="S24" s="89"/>
      <c r="T24" s="89"/>
      <c r="U24" s="89"/>
    </row>
    <row r="25">
      <c r="A25" s="111"/>
      <c r="B25" s="110" t="s">
        <v>173</v>
      </c>
      <c r="C25" s="105">
        <v>10.0</v>
      </c>
      <c r="D25" s="105">
        <v>3.0</v>
      </c>
      <c r="E25" s="105">
        <v>7.0</v>
      </c>
      <c r="F25" s="89"/>
      <c r="G25" s="89"/>
      <c r="H25" s="89"/>
      <c r="I25" s="89"/>
      <c r="J25" s="89"/>
      <c r="K25" s="89"/>
      <c r="L25" s="89"/>
      <c r="M25" s="89"/>
      <c r="N25" s="89"/>
      <c r="O25" s="89"/>
      <c r="P25" s="89"/>
      <c r="Q25" s="89"/>
      <c r="R25" s="89"/>
      <c r="S25" s="89"/>
      <c r="T25" s="89"/>
      <c r="U25" s="89"/>
    </row>
    <row r="26">
      <c r="A26" s="111"/>
      <c r="B26" s="110" t="s">
        <v>177</v>
      </c>
      <c r="C26" s="105">
        <v>30.0</v>
      </c>
      <c r="D26" s="105">
        <v>8.0</v>
      </c>
      <c r="E26" s="105">
        <v>22.0</v>
      </c>
      <c r="F26" s="89"/>
      <c r="G26" s="89"/>
      <c r="H26" s="89"/>
      <c r="I26" s="89"/>
      <c r="J26" s="89"/>
      <c r="K26" s="89"/>
      <c r="L26" s="89"/>
      <c r="M26" s="89"/>
      <c r="N26" s="89"/>
      <c r="O26" s="89"/>
      <c r="P26" s="89"/>
      <c r="Q26" s="89"/>
      <c r="R26" s="89"/>
      <c r="S26" s="89"/>
      <c r="T26" s="89"/>
      <c r="U26" s="89"/>
    </row>
    <row r="27">
      <c r="A27" s="111"/>
      <c r="B27" s="110" t="s">
        <v>180</v>
      </c>
      <c r="C27" s="105">
        <v>15.0</v>
      </c>
      <c r="D27" s="105">
        <v>8.0</v>
      </c>
      <c r="E27" s="105">
        <v>7.0</v>
      </c>
      <c r="F27" s="89"/>
      <c r="G27" s="89"/>
      <c r="H27" s="89"/>
      <c r="I27" s="89"/>
      <c r="J27" s="89"/>
      <c r="K27" s="89"/>
      <c r="L27" s="89"/>
      <c r="M27" s="89"/>
      <c r="N27" s="89"/>
      <c r="O27" s="89"/>
      <c r="P27" s="89"/>
      <c r="Q27" s="89"/>
      <c r="R27" s="89"/>
      <c r="S27" s="89"/>
      <c r="T27" s="89"/>
      <c r="U27" s="89"/>
    </row>
    <row r="28">
      <c r="A28" s="111"/>
      <c r="B28" s="110" t="s">
        <v>184</v>
      </c>
      <c r="C28" s="105">
        <v>2.0</v>
      </c>
      <c r="D28" s="105">
        <v>1.0</v>
      </c>
      <c r="E28" s="105">
        <v>1.0</v>
      </c>
      <c r="F28" s="89"/>
      <c r="G28" s="89"/>
      <c r="H28" s="89"/>
      <c r="I28" s="89"/>
      <c r="J28" s="89"/>
      <c r="K28" s="89"/>
      <c r="L28" s="89"/>
      <c r="M28" s="89"/>
      <c r="N28" s="89"/>
      <c r="O28" s="89"/>
      <c r="P28" s="89"/>
      <c r="Q28" s="89"/>
      <c r="R28" s="89"/>
      <c r="S28" s="89"/>
      <c r="T28" s="89"/>
      <c r="U28" s="89"/>
    </row>
    <row r="29">
      <c r="A29" s="111"/>
      <c r="B29" s="110" t="s">
        <v>188</v>
      </c>
      <c r="C29" s="105">
        <v>2.0</v>
      </c>
      <c r="D29" s="105">
        <v>1.0</v>
      </c>
      <c r="E29" s="105">
        <v>1.0</v>
      </c>
      <c r="F29" s="89"/>
      <c r="G29" s="89"/>
      <c r="H29" s="89"/>
      <c r="I29" s="89"/>
      <c r="J29" s="89"/>
      <c r="K29" s="89"/>
      <c r="L29" s="89"/>
      <c r="M29" s="89"/>
      <c r="N29" s="89"/>
      <c r="O29" s="89"/>
      <c r="P29" s="89"/>
      <c r="Q29" s="89"/>
      <c r="R29" s="89"/>
      <c r="S29" s="89"/>
      <c r="T29" s="89"/>
      <c r="U29" s="89"/>
    </row>
    <row r="30">
      <c r="A30" s="111"/>
      <c r="B30" s="110" t="s">
        <v>190</v>
      </c>
      <c r="C30" s="105">
        <v>11.0</v>
      </c>
      <c r="D30" s="105">
        <v>4.0</v>
      </c>
      <c r="E30" s="105">
        <v>7.0</v>
      </c>
      <c r="F30" s="89"/>
      <c r="G30" s="89"/>
      <c r="H30" s="89"/>
      <c r="I30" s="89"/>
      <c r="J30" s="89"/>
      <c r="K30" s="89"/>
      <c r="L30" s="89"/>
      <c r="M30" s="89"/>
      <c r="N30" s="89"/>
      <c r="O30" s="89"/>
      <c r="P30" s="89"/>
      <c r="Q30" s="89"/>
      <c r="R30" s="89"/>
      <c r="S30" s="89"/>
      <c r="T30" s="89"/>
      <c r="U30" s="89"/>
    </row>
    <row r="31">
      <c r="A31" s="111"/>
      <c r="B31" s="110" t="s">
        <v>193</v>
      </c>
      <c r="C31" s="105">
        <v>40.0</v>
      </c>
      <c r="D31" s="105">
        <v>27.0</v>
      </c>
      <c r="E31" s="105">
        <v>13.0</v>
      </c>
      <c r="F31" s="89"/>
      <c r="G31" s="89"/>
      <c r="H31" s="89"/>
      <c r="I31" s="89"/>
      <c r="J31" s="89"/>
      <c r="K31" s="89"/>
      <c r="L31" s="89"/>
      <c r="M31" s="89"/>
      <c r="N31" s="89"/>
      <c r="O31" s="89"/>
      <c r="P31" s="89"/>
      <c r="Q31" s="89"/>
      <c r="R31" s="89"/>
      <c r="S31" s="89"/>
      <c r="T31" s="89"/>
      <c r="U31" s="89"/>
    </row>
    <row r="32">
      <c r="A32" s="111"/>
      <c r="B32" s="110" t="s">
        <v>194</v>
      </c>
      <c r="C32" s="105">
        <v>40.0</v>
      </c>
      <c r="D32" s="105">
        <v>10.0</v>
      </c>
      <c r="E32" s="105">
        <v>30.0</v>
      </c>
      <c r="F32" s="89"/>
      <c r="G32" s="89"/>
      <c r="H32" s="89"/>
      <c r="I32" s="89"/>
      <c r="J32" s="89"/>
      <c r="K32" s="89"/>
      <c r="L32" s="89"/>
      <c r="M32" s="89"/>
      <c r="N32" s="89"/>
      <c r="O32" s="89"/>
      <c r="P32" s="89"/>
      <c r="Q32" s="89"/>
      <c r="R32" s="89"/>
      <c r="S32" s="89"/>
      <c r="T32" s="89"/>
      <c r="U32" s="89"/>
    </row>
    <row r="33">
      <c r="A33" s="111"/>
      <c r="B33" s="110" t="s">
        <v>198</v>
      </c>
      <c r="C33" s="105">
        <v>80.0</v>
      </c>
      <c r="D33" s="105">
        <v>60.0</v>
      </c>
      <c r="E33" s="105">
        <v>20.0</v>
      </c>
      <c r="F33" s="89"/>
      <c r="G33" s="89"/>
      <c r="H33" s="89"/>
      <c r="I33" s="89"/>
      <c r="J33" s="89"/>
      <c r="K33" s="89"/>
      <c r="L33" s="89"/>
      <c r="M33" s="89"/>
      <c r="N33" s="89"/>
      <c r="O33" s="89"/>
      <c r="P33" s="89"/>
      <c r="Q33" s="89"/>
      <c r="R33" s="89"/>
      <c r="S33" s="89"/>
      <c r="T33" s="89"/>
      <c r="U33" s="89"/>
    </row>
    <row r="34">
      <c r="A34" s="111"/>
      <c r="B34" s="110" t="s">
        <v>201</v>
      </c>
      <c r="C34" s="105">
        <v>4.0</v>
      </c>
      <c r="D34" s="105">
        <v>4.0</v>
      </c>
      <c r="E34" s="105">
        <v>0.0</v>
      </c>
      <c r="F34" s="89"/>
      <c r="G34" s="89"/>
      <c r="H34" s="89"/>
      <c r="I34" s="89"/>
      <c r="J34" s="89"/>
      <c r="K34" s="89"/>
      <c r="L34" s="89"/>
      <c r="M34" s="89"/>
      <c r="N34" s="89"/>
      <c r="O34" s="89"/>
      <c r="P34" s="89"/>
      <c r="Q34" s="89"/>
      <c r="R34" s="89"/>
      <c r="S34" s="89"/>
      <c r="T34" s="89"/>
      <c r="U34" s="89"/>
    </row>
    <row r="35">
      <c r="A35" s="111"/>
      <c r="B35" s="110" t="s">
        <v>202</v>
      </c>
      <c r="C35" s="105">
        <v>51.0</v>
      </c>
      <c r="D35" s="105">
        <v>14.0</v>
      </c>
      <c r="E35" s="105">
        <v>37.0</v>
      </c>
      <c r="F35" s="89"/>
      <c r="G35" s="89"/>
      <c r="H35" s="89"/>
      <c r="I35" s="89"/>
      <c r="J35" s="89"/>
      <c r="K35" s="89"/>
      <c r="L35" s="89"/>
      <c r="M35" s="89"/>
      <c r="N35" s="89"/>
      <c r="O35" s="89"/>
      <c r="P35" s="89"/>
      <c r="Q35" s="89"/>
      <c r="R35" s="89"/>
      <c r="S35" s="89"/>
      <c r="T35" s="89"/>
      <c r="U35" s="89"/>
    </row>
    <row r="36">
      <c r="A36" s="111"/>
      <c r="B36" s="110" t="s">
        <v>206</v>
      </c>
      <c r="C36" s="105">
        <v>50.0</v>
      </c>
      <c r="D36" s="105">
        <v>30.0</v>
      </c>
      <c r="E36" s="105">
        <v>20.0</v>
      </c>
      <c r="F36" s="89"/>
      <c r="G36" s="89"/>
      <c r="H36" s="89"/>
      <c r="I36" s="89"/>
      <c r="J36" s="89"/>
      <c r="K36" s="89"/>
      <c r="L36" s="89"/>
      <c r="M36" s="89"/>
      <c r="N36" s="89"/>
      <c r="O36" s="89"/>
      <c r="P36" s="89"/>
      <c r="Q36" s="89"/>
      <c r="R36" s="89"/>
      <c r="S36" s="89"/>
      <c r="T36" s="89"/>
      <c r="U36" s="89"/>
    </row>
    <row r="37">
      <c r="A37" s="111"/>
      <c r="B37" s="110" t="s">
        <v>209</v>
      </c>
      <c r="C37" s="105">
        <v>1.0</v>
      </c>
      <c r="D37" s="105">
        <v>1.0</v>
      </c>
      <c r="E37" s="105">
        <v>0.0</v>
      </c>
      <c r="F37" s="89"/>
      <c r="G37" s="89"/>
      <c r="H37" s="89"/>
      <c r="I37" s="89"/>
      <c r="J37" s="89"/>
      <c r="K37" s="89"/>
      <c r="L37" s="89"/>
      <c r="M37" s="89"/>
      <c r="N37" s="89"/>
      <c r="O37" s="89"/>
      <c r="P37" s="89"/>
      <c r="Q37" s="89"/>
      <c r="R37" s="89"/>
      <c r="S37" s="89"/>
      <c r="T37" s="89"/>
      <c r="U37" s="89"/>
    </row>
    <row r="38">
      <c r="A38" s="111"/>
      <c r="B38" s="110" t="s">
        <v>211</v>
      </c>
      <c r="C38" s="105">
        <v>10.0</v>
      </c>
      <c r="D38" s="105">
        <v>0.0</v>
      </c>
      <c r="E38" s="105">
        <v>10.0</v>
      </c>
      <c r="F38" s="89"/>
      <c r="G38" s="89"/>
      <c r="H38" s="89"/>
      <c r="I38" s="89"/>
      <c r="J38" s="89"/>
      <c r="K38" s="89"/>
      <c r="L38" s="89"/>
      <c r="M38" s="89"/>
      <c r="N38" s="89"/>
      <c r="O38" s="89"/>
      <c r="P38" s="89"/>
      <c r="Q38" s="89"/>
      <c r="R38" s="89"/>
      <c r="S38" s="89"/>
      <c r="T38" s="89"/>
      <c r="U38" s="89"/>
    </row>
    <row r="39">
      <c r="A39" s="111"/>
      <c r="B39" s="110" t="s">
        <v>215</v>
      </c>
      <c r="C39" s="105">
        <v>1.0</v>
      </c>
      <c r="D39" s="105">
        <v>0.0</v>
      </c>
      <c r="E39" s="105">
        <v>1.0</v>
      </c>
      <c r="F39" s="89"/>
      <c r="G39" s="89"/>
      <c r="H39" s="89"/>
      <c r="I39" s="89"/>
      <c r="J39" s="89"/>
      <c r="K39" s="89"/>
      <c r="L39" s="89"/>
      <c r="M39" s="89"/>
      <c r="N39" s="89"/>
      <c r="O39" s="89"/>
      <c r="P39" s="89"/>
      <c r="Q39" s="89"/>
      <c r="R39" s="89"/>
      <c r="S39" s="89"/>
      <c r="T39" s="89"/>
      <c r="U39" s="89"/>
    </row>
    <row r="40">
      <c r="A40" s="111"/>
      <c r="B40" s="110" t="s">
        <v>216</v>
      </c>
      <c r="C40" s="105">
        <v>2.0</v>
      </c>
      <c r="D40" s="105">
        <v>0.0</v>
      </c>
      <c r="E40" s="105">
        <v>2.0</v>
      </c>
      <c r="F40" s="89"/>
      <c r="G40" s="89"/>
      <c r="H40" s="89"/>
      <c r="I40" s="89"/>
      <c r="J40" s="89"/>
      <c r="K40" s="89"/>
      <c r="L40" s="89"/>
      <c r="M40" s="89"/>
      <c r="N40" s="89"/>
      <c r="O40" s="89"/>
      <c r="P40" s="89"/>
      <c r="Q40" s="89"/>
      <c r="R40" s="89"/>
      <c r="S40" s="89"/>
      <c r="T40" s="89"/>
      <c r="U40" s="89"/>
    </row>
    <row r="41">
      <c r="A41" s="111"/>
      <c r="B41" s="110" t="s">
        <v>220</v>
      </c>
      <c r="C41" s="105">
        <v>3.0</v>
      </c>
      <c r="D41" s="105">
        <v>0.0</v>
      </c>
      <c r="E41" s="105">
        <v>3.0</v>
      </c>
      <c r="F41" s="89"/>
      <c r="G41" s="89"/>
      <c r="H41" s="89"/>
      <c r="I41" s="89"/>
      <c r="J41" s="89"/>
      <c r="K41" s="89"/>
      <c r="L41" s="89"/>
      <c r="M41" s="89"/>
      <c r="N41" s="89"/>
      <c r="O41" s="89"/>
      <c r="P41" s="89"/>
      <c r="Q41" s="89"/>
      <c r="R41" s="89"/>
      <c r="S41" s="89"/>
      <c r="T41" s="89"/>
      <c r="U41" s="89"/>
    </row>
    <row r="42">
      <c r="A42" s="111"/>
      <c r="B42" s="110" t="s">
        <v>223</v>
      </c>
      <c r="C42" s="105">
        <v>5.0</v>
      </c>
      <c r="D42" s="105">
        <v>0.0</v>
      </c>
      <c r="E42" s="105">
        <v>5.0</v>
      </c>
      <c r="F42" s="89"/>
      <c r="G42" s="89"/>
      <c r="H42" s="89"/>
      <c r="I42" s="89"/>
      <c r="J42" s="89"/>
      <c r="K42" s="89"/>
      <c r="L42" s="89"/>
      <c r="M42" s="89"/>
      <c r="N42" s="89"/>
      <c r="O42" s="89"/>
      <c r="P42" s="89"/>
      <c r="Q42" s="89"/>
      <c r="R42" s="89"/>
      <c r="S42" s="89"/>
      <c r="T42" s="89"/>
      <c r="U42" s="89"/>
    </row>
    <row r="43">
      <c r="A43" s="111"/>
      <c r="B43" s="110" t="s">
        <v>225</v>
      </c>
      <c r="C43" s="105">
        <v>1.0</v>
      </c>
      <c r="D43" s="105">
        <v>0.0</v>
      </c>
      <c r="E43" s="105">
        <v>1.0</v>
      </c>
      <c r="F43" s="89"/>
      <c r="G43" s="89"/>
      <c r="H43" s="89"/>
      <c r="I43" s="89"/>
      <c r="J43" s="89"/>
      <c r="K43" s="89"/>
      <c r="L43" s="89"/>
      <c r="M43" s="89"/>
      <c r="N43" s="89"/>
      <c r="O43" s="89"/>
      <c r="P43" s="89"/>
      <c r="Q43" s="89"/>
      <c r="R43" s="89"/>
      <c r="S43" s="89"/>
      <c r="T43" s="89"/>
      <c r="U43" s="89"/>
    </row>
    <row r="44">
      <c r="A44" s="111"/>
      <c r="B44" s="110" t="s">
        <v>228</v>
      </c>
      <c r="C44" s="105">
        <v>2.0</v>
      </c>
      <c r="D44" s="105">
        <v>0.0</v>
      </c>
      <c r="E44" s="105">
        <v>2.0</v>
      </c>
      <c r="F44" s="89"/>
      <c r="G44" s="89"/>
      <c r="H44" s="89"/>
      <c r="I44" s="89"/>
      <c r="J44" s="89"/>
      <c r="K44" s="89"/>
      <c r="L44" s="89"/>
      <c r="M44" s="89"/>
      <c r="N44" s="89"/>
      <c r="O44" s="89"/>
      <c r="P44" s="89"/>
      <c r="Q44" s="89"/>
      <c r="R44" s="89"/>
      <c r="S44" s="89"/>
      <c r="T44" s="89"/>
      <c r="U44" s="89"/>
    </row>
    <row r="45">
      <c r="A45" s="111"/>
      <c r="B45" s="110" t="s">
        <v>229</v>
      </c>
      <c r="C45" s="105">
        <v>2.0</v>
      </c>
      <c r="D45" s="105">
        <v>0.0</v>
      </c>
      <c r="E45" s="105">
        <v>2.0</v>
      </c>
      <c r="F45" s="89"/>
      <c r="G45" s="89"/>
      <c r="H45" s="89"/>
      <c r="I45" s="89"/>
      <c r="J45" s="89"/>
      <c r="K45" s="89"/>
      <c r="L45" s="89"/>
      <c r="M45" s="89"/>
      <c r="N45" s="89"/>
      <c r="O45" s="89"/>
      <c r="P45" s="89"/>
      <c r="Q45" s="89"/>
      <c r="R45" s="89"/>
      <c r="S45" s="89"/>
      <c r="T45" s="89"/>
      <c r="U45" s="89"/>
    </row>
    <row r="46">
      <c r="A46" s="111"/>
      <c r="B46" s="110" t="s">
        <v>232</v>
      </c>
      <c r="C46" s="105">
        <v>8.0</v>
      </c>
      <c r="D46" s="105">
        <v>0.0</v>
      </c>
      <c r="E46" s="105">
        <v>8.0</v>
      </c>
      <c r="F46" s="89"/>
      <c r="G46" s="89"/>
      <c r="H46" s="89"/>
      <c r="I46" s="89"/>
      <c r="J46" s="89"/>
      <c r="K46" s="89"/>
      <c r="L46" s="89"/>
      <c r="M46" s="89"/>
      <c r="N46" s="89"/>
      <c r="O46" s="89"/>
      <c r="P46" s="89"/>
      <c r="Q46" s="89"/>
      <c r="R46" s="89"/>
      <c r="S46" s="89"/>
      <c r="T46" s="89"/>
      <c r="U46" s="89"/>
    </row>
    <row r="47">
      <c r="A47" s="150"/>
      <c r="B47" s="89"/>
      <c r="C47" s="91"/>
      <c r="D47" s="92"/>
      <c r="E47" s="89"/>
      <c r="F47" s="89"/>
      <c r="G47" s="89"/>
      <c r="H47" s="89"/>
      <c r="I47" s="89"/>
      <c r="J47" s="89"/>
      <c r="K47" s="89"/>
      <c r="L47" s="89"/>
      <c r="M47" s="89"/>
      <c r="N47" s="89"/>
      <c r="O47" s="89"/>
      <c r="P47" s="89"/>
      <c r="Q47" s="89"/>
      <c r="R47" s="89"/>
      <c r="S47" s="89"/>
      <c r="T47" s="89"/>
      <c r="U47" s="89"/>
    </row>
    <row r="48">
      <c r="A48" s="150"/>
      <c r="B48" s="151" t="s">
        <v>233</v>
      </c>
      <c r="C48" s="91"/>
      <c r="D48" s="92"/>
      <c r="E48" s="89"/>
      <c r="F48" s="89"/>
      <c r="G48" s="89"/>
      <c r="H48" s="89"/>
      <c r="I48" s="89"/>
      <c r="J48" s="89"/>
      <c r="K48" s="89"/>
      <c r="L48" s="89"/>
      <c r="M48" s="89"/>
      <c r="N48" s="89"/>
      <c r="O48" s="89"/>
      <c r="P48" s="89"/>
      <c r="Q48" s="89"/>
      <c r="R48" s="89"/>
      <c r="S48" s="89"/>
      <c r="T48" s="89"/>
      <c r="U48" s="89"/>
    </row>
    <row r="49">
      <c r="A49" s="89"/>
      <c r="B49" s="152" t="s">
        <v>234</v>
      </c>
      <c r="C49" s="91"/>
      <c r="D49" s="92"/>
      <c r="E49" s="89"/>
      <c r="F49" s="89"/>
      <c r="G49" s="89"/>
      <c r="H49" s="89"/>
      <c r="I49" s="89"/>
      <c r="J49" s="89"/>
      <c r="K49" s="89"/>
      <c r="L49" s="89"/>
      <c r="M49" s="89"/>
      <c r="N49" s="89"/>
      <c r="O49" s="89"/>
      <c r="P49" s="89"/>
      <c r="Q49" s="89"/>
      <c r="R49" s="89"/>
      <c r="S49" s="89"/>
      <c r="T49" s="89"/>
      <c r="U49" s="89"/>
    </row>
    <row r="50">
      <c r="A50" s="89"/>
      <c r="B50" s="152" t="s">
        <v>236</v>
      </c>
      <c r="C50" s="91"/>
      <c r="D50" s="92"/>
      <c r="E50" s="89"/>
      <c r="F50" s="89"/>
      <c r="G50" s="89"/>
      <c r="H50" s="89"/>
      <c r="I50" s="89"/>
      <c r="J50" s="89"/>
      <c r="K50" s="89"/>
      <c r="L50" s="89"/>
      <c r="M50" s="89"/>
      <c r="N50" s="89"/>
      <c r="O50" s="89"/>
      <c r="P50" s="89"/>
      <c r="Q50" s="89"/>
      <c r="R50" s="89"/>
      <c r="S50" s="89"/>
      <c r="T50" s="89"/>
      <c r="U50" s="89"/>
    </row>
    <row r="51">
      <c r="A51" s="150"/>
      <c r="B51" s="152" t="s">
        <v>237</v>
      </c>
      <c r="C51" s="91"/>
      <c r="D51" s="91"/>
      <c r="E51" s="89"/>
      <c r="F51" s="89"/>
      <c r="G51" s="89"/>
      <c r="H51" s="89"/>
      <c r="I51" s="89"/>
      <c r="J51" s="89"/>
      <c r="K51" s="89"/>
      <c r="L51" s="89"/>
      <c r="M51" s="89"/>
      <c r="N51" s="89"/>
      <c r="O51" s="89"/>
      <c r="P51" s="89"/>
      <c r="Q51" s="89"/>
      <c r="R51" s="89"/>
      <c r="S51" s="89"/>
      <c r="T51" s="89"/>
      <c r="U51" s="89"/>
    </row>
    <row r="52">
      <c r="A52" s="89"/>
      <c r="B52" s="152" t="s">
        <v>238</v>
      </c>
      <c r="C52" s="91"/>
      <c r="D52" s="92"/>
      <c r="E52" s="89"/>
      <c r="F52" s="89"/>
      <c r="G52" s="89"/>
      <c r="H52" s="89"/>
      <c r="I52" s="89"/>
      <c r="J52" s="89"/>
      <c r="K52" s="89"/>
      <c r="L52" s="89"/>
      <c r="M52" s="89"/>
      <c r="N52" s="89"/>
      <c r="O52" s="89"/>
      <c r="P52" s="89"/>
      <c r="Q52" s="89"/>
      <c r="R52" s="89"/>
      <c r="S52" s="89"/>
      <c r="T52" s="89"/>
      <c r="U52" s="89"/>
    </row>
    <row r="53">
      <c r="A53" s="89"/>
      <c r="B53" s="152" t="s">
        <v>240</v>
      </c>
      <c r="C53" s="91"/>
      <c r="D53" s="92"/>
      <c r="E53" s="89"/>
      <c r="F53" s="89"/>
      <c r="G53" s="89"/>
      <c r="H53" s="89"/>
      <c r="I53" s="89"/>
      <c r="J53" s="89"/>
      <c r="K53" s="89"/>
      <c r="L53" s="89"/>
      <c r="M53" s="89"/>
      <c r="N53" s="89"/>
      <c r="O53" s="89"/>
      <c r="P53" s="89"/>
      <c r="Q53" s="89"/>
      <c r="R53" s="89"/>
      <c r="S53" s="89"/>
      <c r="T53" s="89"/>
      <c r="U53" s="89"/>
    </row>
    <row r="54">
      <c r="A54" s="89"/>
      <c r="B54" s="152" t="s">
        <v>243</v>
      </c>
      <c r="C54" s="91"/>
      <c r="D54" s="92"/>
      <c r="E54" s="89"/>
      <c r="F54" s="89"/>
      <c r="G54" s="89"/>
      <c r="H54" s="89"/>
      <c r="I54" s="89"/>
      <c r="J54" s="89"/>
      <c r="K54" s="89"/>
      <c r="L54" s="89"/>
      <c r="M54" s="89"/>
      <c r="N54" s="89"/>
      <c r="O54" s="89"/>
      <c r="P54" s="89"/>
      <c r="Q54" s="89"/>
      <c r="R54" s="89"/>
      <c r="S54" s="89"/>
      <c r="T54" s="89"/>
      <c r="U54" s="89"/>
    </row>
    <row r="55">
      <c r="A55" s="89"/>
      <c r="B55" s="152" t="s">
        <v>245</v>
      </c>
      <c r="C55" s="91"/>
      <c r="D55" s="92"/>
      <c r="E55" s="89"/>
      <c r="F55" s="89"/>
      <c r="G55" s="89"/>
      <c r="H55" s="89"/>
      <c r="I55" s="89"/>
      <c r="J55" s="89"/>
      <c r="K55" s="89"/>
      <c r="L55" s="89"/>
      <c r="M55" s="89"/>
      <c r="N55" s="89"/>
      <c r="O55" s="89"/>
      <c r="P55" s="89"/>
      <c r="Q55" s="89"/>
      <c r="R55" s="89"/>
      <c r="S55" s="89"/>
      <c r="T55" s="89"/>
      <c r="U55" s="89"/>
    </row>
    <row r="56">
      <c r="A56" s="89"/>
      <c r="B56" s="152" t="s">
        <v>247</v>
      </c>
      <c r="C56" s="91"/>
      <c r="D56" s="92"/>
      <c r="E56" s="89"/>
      <c r="F56" s="89"/>
      <c r="G56" s="89"/>
      <c r="H56" s="89"/>
      <c r="I56" s="89"/>
      <c r="J56" s="89"/>
      <c r="K56" s="89"/>
      <c r="L56" s="89"/>
      <c r="M56" s="89"/>
      <c r="N56" s="89"/>
      <c r="O56" s="89"/>
      <c r="P56" s="89"/>
      <c r="Q56" s="89"/>
      <c r="R56" s="89"/>
      <c r="S56" s="89"/>
      <c r="T56" s="89"/>
      <c r="U56" s="89"/>
    </row>
    <row r="57">
      <c r="A57" s="89"/>
      <c r="B57" s="152" t="s">
        <v>250</v>
      </c>
      <c r="C57" s="92"/>
      <c r="D57" s="92"/>
      <c r="E57" s="89"/>
      <c r="F57" s="89"/>
      <c r="G57" s="89"/>
      <c r="H57" s="89"/>
      <c r="I57" s="89"/>
      <c r="J57" s="89"/>
      <c r="K57" s="89"/>
      <c r="L57" s="89"/>
      <c r="M57" s="89"/>
      <c r="N57" s="89"/>
      <c r="O57" s="89"/>
      <c r="P57" s="89"/>
      <c r="Q57" s="89"/>
      <c r="R57" s="89"/>
      <c r="S57" s="89"/>
      <c r="T57" s="89"/>
      <c r="U57" s="89"/>
    </row>
    <row r="58">
      <c r="A58" s="89"/>
      <c r="B58" s="154"/>
      <c r="C58" s="91"/>
      <c r="D58" s="92"/>
      <c r="E58" s="89"/>
      <c r="F58" s="89"/>
      <c r="G58" s="89"/>
      <c r="H58" s="89"/>
      <c r="I58" s="89"/>
      <c r="J58" s="89"/>
      <c r="K58" s="89"/>
      <c r="L58" s="89"/>
      <c r="M58" s="89"/>
      <c r="N58" s="89"/>
      <c r="O58" s="89"/>
      <c r="P58" s="89"/>
      <c r="Q58" s="89"/>
      <c r="R58" s="89"/>
      <c r="S58" s="89"/>
      <c r="T58" s="89"/>
      <c r="U58" s="89"/>
    </row>
    <row r="59">
      <c r="A59" s="89"/>
      <c r="B59" s="89"/>
      <c r="C59" s="91"/>
      <c r="D59" s="92"/>
      <c r="E59" s="89"/>
      <c r="F59" s="89"/>
      <c r="G59" s="89"/>
      <c r="H59" s="89"/>
      <c r="I59" s="89"/>
      <c r="J59" s="89"/>
      <c r="K59" s="89"/>
      <c r="L59" s="89"/>
      <c r="M59" s="89"/>
      <c r="N59" s="89"/>
      <c r="O59" s="89"/>
      <c r="P59" s="89"/>
      <c r="Q59" s="89"/>
      <c r="R59" s="89"/>
      <c r="S59" s="89"/>
      <c r="T59" s="89"/>
      <c r="U59" s="89"/>
    </row>
    <row r="60">
      <c r="A60" s="89"/>
      <c r="B60" s="89"/>
      <c r="C60" s="91"/>
      <c r="D60" s="92"/>
      <c r="E60" s="89"/>
      <c r="F60" s="89"/>
      <c r="G60" s="89"/>
      <c r="H60" s="89"/>
      <c r="I60" s="89"/>
      <c r="J60" s="89"/>
      <c r="K60" s="89"/>
      <c r="L60" s="89"/>
      <c r="M60" s="89"/>
      <c r="N60" s="89"/>
      <c r="O60" s="89"/>
      <c r="P60" s="89"/>
      <c r="Q60" s="89"/>
      <c r="R60" s="89"/>
      <c r="S60" s="89"/>
      <c r="T60" s="89"/>
      <c r="U60" s="89"/>
    </row>
    <row r="61">
      <c r="A61" s="150"/>
      <c r="B61" s="155" t="s">
        <v>254</v>
      </c>
      <c r="C61" s="156">
        <f>SUM(C62:C70)</f>
        <v>15754581</v>
      </c>
      <c r="D61" s="92"/>
      <c r="E61" s="89"/>
      <c r="F61" s="89"/>
      <c r="G61" s="89"/>
      <c r="H61" s="89"/>
      <c r="I61" s="89"/>
      <c r="J61" s="89"/>
      <c r="K61" s="89"/>
      <c r="L61" s="89"/>
      <c r="M61" s="89"/>
      <c r="N61" s="89"/>
      <c r="O61" s="89"/>
      <c r="P61" s="89"/>
      <c r="Q61" s="89"/>
      <c r="R61" s="89"/>
      <c r="S61" s="89"/>
      <c r="T61" s="89"/>
      <c r="U61" s="89"/>
    </row>
    <row r="62">
      <c r="A62" s="89"/>
      <c r="B62" s="157" t="s">
        <v>256</v>
      </c>
      <c r="C62" s="158">
        <v>0.0</v>
      </c>
      <c r="D62" s="92"/>
      <c r="E62" s="89"/>
      <c r="F62" s="89"/>
      <c r="G62" s="89"/>
      <c r="H62" s="89"/>
      <c r="I62" s="89"/>
      <c r="J62" s="89"/>
      <c r="K62" s="89"/>
      <c r="L62" s="89"/>
      <c r="M62" s="89"/>
      <c r="N62" s="89"/>
      <c r="O62" s="89"/>
      <c r="P62" s="89"/>
      <c r="Q62" s="89"/>
      <c r="R62" s="89"/>
      <c r="S62" s="89"/>
      <c r="T62" s="89"/>
      <c r="U62" s="89"/>
    </row>
    <row r="63">
      <c r="A63" s="89"/>
      <c r="B63" s="157" t="s">
        <v>257</v>
      </c>
      <c r="C63" s="158">
        <v>4211035.0</v>
      </c>
      <c r="D63" s="92"/>
      <c r="E63" s="89"/>
      <c r="F63" s="89"/>
      <c r="G63" s="89"/>
      <c r="H63" s="89"/>
      <c r="I63" s="89"/>
      <c r="J63" s="89"/>
      <c r="K63" s="89"/>
      <c r="L63" s="89"/>
      <c r="M63" s="89"/>
      <c r="N63" s="89"/>
      <c r="O63" s="89"/>
      <c r="P63" s="89"/>
      <c r="Q63" s="89"/>
      <c r="R63" s="89"/>
      <c r="S63" s="89"/>
      <c r="T63" s="89"/>
      <c r="U63" s="89"/>
    </row>
    <row r="64">
      <c r="A64" s="89"/>
      <c r="B64" s="157" t="s">
        <v>259</v>
      </c>
      <c r="C64" s="158">
        <v>2664900.0</v>
      </c>
      <c r="D64" s="92"/>
      <c r="E64" s="89"/>
      <c r="F64" s="89"/>
      <c r="G64" s="89"/>
      <c r="H64" s="89"/>
      <c r="I64" s="89"/>
      <c r="J64" s="89"/>
      <c r="K64" s="89"/>
      <c r="L64" s="89"/>
      <c r="M64" s="89"/>
      <c r="N64" s="89"/>
      <c r="O64" s="89"/>
      <c r="P64" s="89"/>
      <c r="Q64" s="89"/>
      <c r="R64" s="89"/>
      <c r="S64" s="89"/>
      <c r="T64" s="89"/>
      <c r="U64" s="89"/>
    </row>
    <row r="65">
      <c r="A65" s="89"/>
      <c r="B65" s="157" t="s">
        <v>261</v>
      </c>
      <c r="C65" s="158">
        <v>2588646.0</v>
      </c>
      <c r="D65" s="92"/>
      <c r="E65" s="89"/>
      <c r="F65" s="89"/>
      <c r="G65" s="89"/>
      <c r="H65" s="89"/>
      <c r="I65" s="89"/>
      <c r="J65" s="89"/>
      <c r="K65" s="89"/>
      <c r="L65" s="89"/>
      <c r="M65" s="89"/>
      <c r="N65" s="89"/>
      <c r="O65" s="89"/>
      <c r="P65" s="89"/>
      <c r="Q65" s="89"/>
      <c r="R65" s="89"/>
      <c r="S65" s="89"/>
      <c r="T65" s="89"/>
      <c r="U65" s="89"/>
    </row>
    <row r="66">
      <c r="A66" s="89"/>
      <c r="B66" s="157" t="s">
        <v>263</v>
      </c>
      <c r="C66" s="158">
        <v>1300000.0</v>
      </c>
      <c r="D66" s="92"/>
      <c r="E66" s="89"/>
      <c r="F66" s="89"/>
      <c r="G66" s="89"/>
      <c r="H66" s="89"/>
      <c r="I66" s="89"/>
      <c r="J66" s="89"/>
      <c r="K66" s="89"/>
      <c r="L66" s="89"/>
      <c r="M66" s="89"/>
      <c r="N66" s="89"/>
      <c r="O66" s="89"/>
      <c r="P66" s="89"/>
      <c r="Q66" s="89"/>
      <c r="R66" s="89"/>
      <c r="S66" s="89"/>
      <c r="T66" s="89"/>
      <c r="U66" s="89"/>
    </row>
    <row r="67">
      <c r="A67" s="89"/>
      <c r="B67" s="159" t="s">
        <v>266</v>
      </c>
      <c r="C67" s="158">
        <v>782000.0</v>
      </c>
      <c r="D67" s="92"/>
      <c r="E67" s="89"/>
      <c r="F67" s="89"/>
      <c r="G67" s="89"/>
      <c r="H67" s="89"/>
      <c r="I67" s="89"/>
      <c r="J67" s="89"/>
      <c r="K67" s="89"/>
      <c r="L67" s="89"/>
      <c r="M67" s="89"/>
      <c r="N67" s="89"/>
      <c r="O67" s="89"/>
      <c r="P67" s="89"/>
      <c r="Q67" s="89"/>
      <c r="R67" s="89"/>
      <c r="S67" s="89"/>
      <c r="T67" s="89"/>
      <c r="U67" s="89"/>
    </row>
    <row r="68">
      <c r="A68" s="150"/>
      <c r="B68" s="157" t="s">
        <v>271</v>
      </c>
      <c r="C68" s="158">
        <v>1500000.0</v>
      </c>
      <c r="D68" s="91"/>
      <c r="E68" s="89"/>
      <c r="F68" s="89"/>
      <c r="G68" s="89"/>
      <c r="H68" s="89"/>
      <c r="I68" s="89"/>
      <c r="J68" s="89"/>
      <c r="K68" s="89"/>
      <c r="L68" s="89"/>
      <c r="M68" s="89"/>
      <c r="N68" s="89"/>
      <c r="O68" s="89"/>
      <c r="P68" s="89"/>
      <c r="Q68" s="89"/>
      <c r="R68" s="89"/>
      <c r="S68" s="89"/>
      <c r="T68" s="89"/>
      <c r="U68" s="89"/>
    </row>
    <row r="69">
      <c r="A69" s="89"/>
      <c r="B69" s="157" t="s">
        <v>272</v>
      </c>
      <c r="C69" s="158">
        <v>1650000.0</v>
      </c>
      <c r="D69" s="92"/>
      <c r="E69" s="89"/>
      <c r="F69" s="89"/>
      <c r="G69" s="89"/>
      <c r="H69" s="89"/>
      <c r="I69" s="89"/>
      <c r="J69" s="89"/>
      <c r="K69" s="89"/>
      <c r="L69" s="89"/>
      <c r="M69" s="89"/>
      <c r="N69" s="89"/>
      <c r="O69" s="89"/>
      <c r="P69" s="89"/>
      <c r="Q69" s="89"/>
      <c r="R69" s="89"/>
      <c r="S69" s="89"/>
      <c r="T69" s="89"/>
      <c r="U69" s="89"/>
    </row>
    <row r="70">
      <c r="A70" s="89"/>
      <c r="B70" s="157" t="s">
        <v>273</v>
      </c>
      <c r="C70" s="158">
        <v>1058000.0</v>
      </c>
      <c r="D70" s="92"/>
      <c r="E70" s="89"/>
      <c r="F70" s="89"/>
      <c r="G70" s="89"/>
      <c r="H70" s="89"/>
      <c r="I70" s="89"/>
      <c r="J70" s="89"/>
      <c r="K70" s="89"/>
      <c r="L70" s="89"/>
      <c r="M70" s="89"/>
      <c r="N70" s="89"/>
      <c r="O70" s="89"/>
      <c r="P70" s="89"/>
      <c r="Q70" s="89"/>
      <c r="R70" s="89"/>
      <c r="S70" s="89"/>
      <c r="T70" s="89"/>
      <c r="U70" s="89"/>
    </row>
    <row r="71">
      <c r="A71" s="89"/>
      <c r="B71" s="154"/>
      <c r="C71" s="91"/>
      <c r="D71" s="92"/>
      <c r="E71" s="89"/>
      <c r="F71" s="89"/>
      <c r="G71" s="89"/>
      <c r="H71" s="89"/>
      <c r="I71" s="89"/>
      <c r="J71" s="89"/>
      <c r="K71" s="89"/>
      <c r="L71" s="89"/>
      <c r="M71" s="89"/>
      <c r="N71" s="89"/>
      <c r="O71" s="89"/>
      <c r="P71" s="89"/>
      <c r="Q71" s="89"/>
      <c r="R71" s="89"/>
      <c r="S71" s="89"/>
      <c r="T71" s="89"/>
      <c r="U71" s="89"/>
    </row>
    <row r="72">
      <c r="A72" s="89"/>
      <c r="B72" s="89"/>
      <c r="C72" s="91"/>
      <c r="D72" s="92"/>
      <c r="E72" s="89"/>
      <c r="F72" s="89"/>
      <c r="G72" s="89"/>
      <c r="H72" s="89"/>
      <c r="I72" s="89"/>
      <c r="J72" s="89"/>
      <c r="K72" s="89"/>
      <c r="L72" s="89"/>
      <c r="M72" s="89"/>
      <c r="N72" s="89"/>
      <c r="O72" s="89"/>
      <c r="P72" s="89"/>
      <c r="Q72" s="89"/>
      <c r="R72" s="89"/>
      <c r="S72" s="89"/>
      <c r="T72" s="89"/>
      <c r="U72" s="89"/>
    </row>
    <row r="73">
      <c r="A73" s="89"/>
      <c r="B73" s="163" t="s">
        <v>276</v>
      </c>
      <c r="C73" s="164">
        <v>-1.624E7</v>
      </c>
      <c r="E73" s="165"/>
      <c r="F73" s="89"/>
      <c r="G73" s="89"/>
      <c r="H73" s="89"/>
      <c r="I73" s="89"/>
      <c r="J73" s="89"/>
      <c r="K73" s="89"/>
      <c r="L73" s="89"/>
      <c r="M73" s="89"/>
      <c r="N73" s="89"/>
      <c r="O73" s="89"/>
      <c r="P73" s="89"/>
      <c r="Q73" s="89"/>
      <c r="R73" s="89"/>
      <c r="S73" s="89"/>
      <c r="T73" s="89"/>
      <c r="U73" s="89"/>
    </row>
    <row r="74">
      <c r="A74" s="89"/>
      <c r="B74" s="168" t="s">
        <v>280</v>
      </c>
      <c r="C74" s="169">
        <v>-400000.0</v>
      </c>
      <c r="E74" s="165"/>
      <c r="F74" s="89"/>
      <c r="G74" s="89"/>
      <c r="H74" s="89"/>
      <c r="I74" s="89"/>
      <c r="J74" s="89"/>
      <c r="K74" s="89"/>
      <c r="L74" s="89"/>
      <c r="M74" s="89"/>
      <c r="N74" s="89"/>
      <c r="O74" s="89"/>
      <c r="P74" s="89"/>
      <c r="Q74" s="89"/>
      <c r="R74" s="89"/>
      <c r="S74" s="89"/>
      <c r="T74" s="89"/>
      <c r="U74" s="89"/>
    </row>
    <row r="75">
      <c r="A75" s="89"/>
      <c r="B75" s="168" t="s">
        <v>281</v>
      </c>
      <c r="C75" s="169">
        <v>-986000.0</v>
      </c>
      <c r="E75" s="165"/>
      <c r="F75" s="89"/>
      <c r="G75" s="89"/>
      <c r="H75" s="89"/>
      <c r="I75" s="89"/>
      <c r="J75" s="89"/>
      <c r="K75" s="89"/>
      <c r="L75" s="89"/>
      <c r="M75" s="89"/>
      <c r="N75" s="89"/>
      <c r="O75" s="89"/>
      <c r="P75" s="89"/>
      <c r="Q75" s="89"/>
      <c r="R75" s="89"/>
      <c r="S75" s="89"/>
      <c r="T75" s="89"/>
      <c r="U75" s="89"/>
    </row>
    <row r="76">
      <c r="A76" s="172"/>
      <c r="B76" s="168" t="s">
        <v>285</v>
      </c>
      <c r="C76" s="169">
        <v>-640000.0</v>
      </c>
      <c r="E76" s="165"/>
      <c r="F76" s="89"/>
      <c r="G76" s="89"/>
      <c r="H76" s="89"/>
      <c r="I76" s="89"/>
      <c r="J76" s="89"/>
      <c r="K76" s="89"/>
      <c r="L76" s="89"/>
      <c r="M76" s="89"/>
      <c r="N76" s="89"/>
      <c r="O76" s="89"/>
      <c r="P76" s="89"/>
      <c r="Q76" s="89"/>
      <c r="R76" s="89"/>
      <c r="S76" s="89"/>
      <c r="T76" s="89"/>
      <c r="U76" s="89"/>
    </row>
    <row r="77">
      <c r="A77" s="173"/>
      <c r="B77" s="168" t="s">
        <v>286</v>
      </c>
      <c r="C77" s="169">
        <v>-664000.0</v>
      </c>
      <c r="E77" s="165"/>
      <c r="F77" s="89"/>
      <c r="G77" s="89"/>
      <c r="H77" s="89"/>
      <c r="I77" s="89"/>
      <c r="J77" s="89"/>
      <c r="K77" s="89"/>
      <c r="L77" s="89"/>
      <c r="M77" s="89"/>
      <c r="N77" s="89"/>
      <c r="O77" s="89"/>
      <c r="P77" s="89"/>
      <c r="Q77" s="89"/>
      <c r="R77" s="89"/>
      <c r="S77" s="89"/>
      <c r="T77" s="89"/>
      <c r="U77" s="89"/>
    </row>
    <row r="78">
      <c r="A78" s="89"/>
      <c r="B78" s="168" t="s">
        <v>288</v>
      </c>
      <c r="C78" s="169">
        <v>-1.355E7</v>
      </c>
      <c r="E78" s="174"/>
      <c r="F78" s="89"/>
      <c r="G78" s="89"/>
      <c r="H78" s="89"/>
      <c r="I78" s="89"/>
      <c r="J78" s="89"/>
      <c r="K78" s="89"/>
      <c r="L78" s="89"/>
      <c r="M78" s="89"/>
      <c r="N78" s="89"/>
      <c r="O78" s="89"/>
      <c r="P78" s="89"/>
      <c r="Q78" s="89"/>
      <c r="R78" s="89"/>
      <c r="S78" s="89"/>
      <c r="T78" s="89"/>
      <c r="U78" s="89"/>
    </row>
    <row r="79">
      <c r="A79" s="89"/>
      <c r="B79" s="89"/>
      <c r="C79" s="91"/>
      <c r="D79" s="92"/>
      <c r="E79" s="89"/>
      <c r="F79" s="89"/>
      <c r="G79" s="89"/>
      <c r="H79" s="89"/>
      <c r="I79" s="89"/>
      <c r="J79" s="89"/>
      <c r="K79" s="89"/>
      <c r="L79" s="89"/>
      <c r="M79" s="89"/>
      <c r="N79" s="89"/>
      <c r="O79" s="89"/>
      <c r="P79" s="89"/>
      <c r="Q79" s="89"/>
      <c r="R79" s="89"/>
      <c r="S79" s="89"/>
      <c r="T79" s="89"/>
      <c r="U79" s="89"/>
    </row>
    <row r="80">
      <c r="A80" s="150"/>
      <c r="B80" s="154"/>
      <c r="C80" s="91"/>
      <c r="D80" s="91"/>
      <c r="E80" s="89"/>
      <c r="F80" s="89"/>
      <c r="G80" s="89"/>
      <c r="H80" s="89"/>
      <c r="I80" s="89"/>
      <c r="J80" s="89"/>
      <c r="K80" s="89"/>
      <c r="L80" s="89"/>
      <c r="M80" s="89"/>
      <c r="N80" s="89"/>
      <c r="O80" s="89"/>
      <c r="P80" s="89"/>
      <c r="Q80" s="89"/>
      <c r="R80" s="89"/>
      <c r="S80" s="89"/>
      <c r="T80" s="89"/>
      <c r="U80" s="89"/>
    </row>
    <row r="81">
      <c r="A81" s="89"/>
      <c r="B81" s="176" t="s">
        <v>291</v>
      </c>
      <c r="C81" s="195">
        <f>SUM(C82:C86)</f>
        <v>7910000</v>
      </c>
      <c r="D81" s="92"/>
      <c r="E81" s="89"/>
      <c r="F81" s="89"/>
      <c r="G81" s="89"/>
      <c r="H81" s="89"/>
      <c r="I81" s="89"/>
      <c r="J81" s="89"/>
      <c r="K81" s="89"/>
      <c r="L81" s="89"/>
      <c r="M81" s="89"/>
      <c r="N81" s="89"/>
      <c r="O81" s="89"/>
      <c r="P81" s="89"/>
      <c r="Q81" s="89"/>
      <c r="R81" s="89"/>
      <c r="S81" s="89"/>
      <c r="T81" s="89"/>
      <c r="U81" s="89"/>
    </row>
    <row r="82">
      <c r="A82" s="196"/>
      <c r="B82" s="168" t="s">
        <v>197</v>
      </c>
      <c r="C82" s="197">
        <v>5000000.0</v>
      </c>
      <c r="D82" s="198"/>
      <c r="E82" s="196"/>
      <c r="F82" s="196"/>
      <c r="G82" s="199"/>
      <c r="H82" s="196"/>
      <c r="I82" s="196"/>
      <c r="J82" s="196"/>
      <c r="K82" s="196"/>
      <c r="L82" s="89"/>
      <c r="M82" s="89"/>
      <c r="N82" s="89"/>
      <c r="O82" s="89"/>
      <c r="P82" s="89"/>
      <c r="Q82" s="89"/>
      <c r="R82" s="89"/>
      <c r="S82" s="89"/>
      <c r="T82" s="89"/>
      <c r="U82" s="89"/>
    </row>
    <row r="83">
      <c r="A83" s="196"/>
      <c r="B83" s="168" t="s">
        <v>365</v>
      </c>
      <c r="C83" s="197">
        <v>2200000.0</v>
      </c>
      <c r="D83" s="198"/>
      <c r="E83" s="196"/>
      <c r="F83" s="196"/>
      <c r="G83" s="199"/>
      <c r="H83" s="196"/>
      <c r="I83" s="196"/>
      <c r="J83" s="196"/>
      <c r="K83" s="196"/>
      <c r="L83" s="89"/>
      <c r="M83" s="89"/>
      <c r="N83" s="89"/>
      <c r="O83" s="89"/>
      <c r="P83" s="89"/>
      <c r="Q83" s="89"/>
      <c r="R83" s="89"/>
      <c r="S83" s="89"/>
      <c r="T83" s="89"/>
      <c r="U83" s="89"/>
    </row>
    <row r="84">
      <c r="A84" s="196"/>
      <c r="B84" s="168" t="s">
        <v>200</v>
      </c>
      <c r="C84" s="197">
        <v>530000.0</v>
      </c>
      <c r="D84" s="198"/>
      <c r="E84" s="196"/>
      <c r="F84" s="196"/>
      <c r="G84" s="199"/>
      <c r="H84" s="196"/>
      <c r="I84" s="196"/>
      <c r="J84" s="196"/>
      <c r="K84" s="196"/>
      <c r="L84" s="89"/>
      <c r="M84" s="89"/>
      <c r="N84" s="89"/>
      <c r="O84" s="89"/>
      <c r="P84" s="89"/>
      <c r="Q84" s="89"/>
      <c r="R84" s="89"/>
      <c r="S84" s="89"/>
      <c r="T84" s="89"/>
      <c r="U84" s="89"/>
    </row>
    <row r="85">
      <c r="A85" s="196"/>
      <c r="B85" s="168" t="s">
        <v>192</v>
      </c>
      <c r="C85" s="197">
        <v>80000.0</v>
      </c>
      <c r="D85" s="198"/>
      <c r="E85" s="196"/>
      <c r="F85" s="196"/>
      <c r="G85" s="199"/>
      <c r="H85" s="196"/>
      <c r="I85" s="196"/>
      <c r="J85" s="196"/>
      <c r="K85" s="196"/>
      <c r="L85" s="89"/>
      <c r="M85" s="89"/>
      <c r="N85" s="89"/>
      <c r="O85" s="89"/>
      <c r="P85" s="89"/>
      <c r="Q85" s="89"/>
      <c r="R85" s="89"/>
      <c r="S85" s="89"/>
      <c r="T85" s="89"/>
      <c r="U85" s="89"/>
    </row>
    <row r="86">
      <c r="A86" s="196"/>
      <c r="B86" s="168" t="s">
        <v>369</v>
      </c>
      <c r="C86" s="197">
        <v>100000.0</v>
      </c>
      <c r="D86" s="198"/>
      <c r="E86" s="196"/>
      <c r="F86" s="196"/>
      <c r="G86" s="196"/>
      <c r="H86" s="196"/>
      <c r="I86" s="196"/>
      <c r="J86" s="196"/>
      <c r="K86" s="196"/>
      <c r="L86" s="89"/>
      <c r="M86" s="89"/>
      <c r="N86" s="89"/>
      <c r="O86" s="89"/>
      <c r="P86" s="89"/>
      <c r="Q86" s="89"/>
      <c r="R86" s="89"/>
      <c r="S86" s="89"/>
      <c r="T86" s="89"/>
      <c r="U86" s="89"/>
    </row>
    <row r="87">
      <c r="A87" s="196"/>
      <c r="B87" s="168"/>
      <c r="C87" s="168"/>
      <c r="D87" s="198"/>
      <c r="E87" s="196"/>
      <c r="F87" s="196"/>
      <c r="G87" s="196"/>
      <c r="H87" s="196"/>
      <c r="I87" s="196"/>
      <c r="J87" s="196"/>
      <c r="K87" s="196"/>
      <c r="L87" s="89"/>
      <c r="M87" s="89"/>
      <c r="N87" s="89"/>
      <c r="O87" s="89"/>
      <c r="P87" s="89"/>
      <c r="Q87" s="89"/>
      <c r="R87" s="89"/>
      <c r="S87" s="89"/>
      <c r="T87" s="89"/>
      <c r="U87" s="89"/>
    </row>
    <row r="88">
      <c r="A88" s="196"/>
      <c r="B88" s="168"/>
      <c r="C88" s="168"/>
      <c r="D88" s="198"/>
      <c r="E88" s="196"/>
      <c r="F88" s="196"/>
      <c r="G88" s="196"/>
      <c r="H88" s="196"/>
      <c r="I88" s="196"/>
      <c r="J88" s="196"/>
      <c r="K88" s="196"/>
      <c r="L88" s="89"/>
      <c r="M88" s="89"/>
      <c r="N88" s="89"/>
      <c r="O88" s="89"/>
      <c r="P88" s="89"/>
      <c r="Q88" s="89"/>
      <c r="R88" s="89"/>
      <c r="S88" s="89"/>
      <c r="T88" s="89"/>
      <c r="U88" s="89"/>
    </row>
    <row r="89">
      <c r="A89" s="196"/>
      <c r="B89" s="176" t="s">
        <v>373</v>
      </c>
      <c r="C89" s="168"/>
      <c r="D89" s="198"/>
      <c r="E89" s="196"/>
      <c r="F89" s="196"/>
      <c r="G89" s="199"/>
      <c r="H89" s="196"/>
      <c r="I89" s="196"/>
      <c r="J89" s="196"/>
      <c r="K89" s="196"/>
      <c r="L89" s="89"/>
      <c r="M89" s="89"/>
      <c r="N89" s="89"/>
      <c r="O89" s="89"/>
      <c r="P89" s="89"/>
      <c r="Q89" s="89"/>
      <c r="R89" s="89"/>
      <c r="S89" s="89"/>
      <c r="T89" s="89"/>
      <c r="U89" s="89"/>
    </row>
    <row r="90">
      <c r="A90" s="196"/>
      <c r="B90" s="168" t="s">
        <v>375</v>
      </c>
      <c r="C90" s="168"/>
      <c r="D90" s="198"/>
      <c r="E90" s="196"/>
      <c r="F90" s="196"/>
      <c r="G90" s="196"/>
      <c r="H90" s="196"/>
      <c r="I90" s="196"/>
      <c r="J90" s="196"/>
      <c r="K90" s="196"/>
      <c r="L90" s="89"/>
      <c r="M90" s="89"/>
      <c r="N90" s="89"/>
      <c r="O90" s="89"/>
      <c r="P90" s="89"/>
      <c r="Q90" s="89"/>
      <c r="R90" s="89"/>
      <c r="S90" s="89"/>
      <c r="T90" s="89"/>
      <c r="U90" s="89"/>
    </row>
    <row r="91">
      <c r="A91" s="196"/>
      <c r="B91" s="168" t="s">
        <v>376</v>
      </c>
      <c r="C91" s="168"/>
      <c r="D91" s="198"/>
      <c r="E91" s="196"/>
      <c r="F91" s="196"/>
      <c r="G91" s="199"/>
      <c r="H91" s="196"/>
      <c r="I91" s="196"/>
      <c r="J91" s="196"/>
      <c r="K91" s="196"/>
      <c r="L91" s="89"/>
      <c r="M91" s="89"/>
      <c r="N91" s="89"/>
      <c r="O91" s="89"/>
      <c r="P91" s="89"/>
      <c r="Q91" s="89"/>
      <c r="R91" s="89"/>
      <c r="S91" s="89"/>
      <c r="T91" s="89"/>
      <c r="U91" s="89"/>
    </row>
    <row r="92">
      <c r="A92" s="196"/>
      <c r="B92" s="168" t="s">
        <v>378</v>
      </c>
      <c r="C92" s="168"/>
      <c r="D92" s="198"/>
      <c r="E92" s="196"/>
      <c r="F92" s="196"/>
      <c r="G92" s="196"/>
      <c r="H92" s="196"/>
      <c r="I92" s="196"/>
      <c r="J92" s="196"/>
      <c r="K92" s="196"/>
      <c r="L92" s="89"/>
      <c r="M92" s="89"/>
      <c r="N92" s="89"/>
      <c r="O92" s="89"/>
      <c r="P92" s="89"/>
      <c r="Q92" s="89"/>
      <c r="R92" s="89"/>
      <c r="S92" s="89"/>
      <c r="T92" s="89"/>
      <c r="U92" s="89"/>
    </row>
    <row r="93">
      <c r="A93" s="196"/>
      <c r="B93" s="168" t="s">
        <v>380</v>
      </c>
      <c r="C93" s="168"/>
      <c r="D93" s="198"/>
      <c r="E93" s="196"/>
      <c r="F93" s="196"/>
      <c r="G93" s="196"/>
      <c r="H93" s="196"/>
      <c r="I93" s="196"/>
      <c r="J93" s="196"/>
      <c r="K93" s="196"/>
      <c r="L93" s="89"/>
      <c r="M93" s="89"/>
      <c r="N93" s="89"/>
      <c r="O93" s="89"/>
      <c r="P93" s="89"/>
      <c r="Q93" s="89"/>
      <c r="R93" s="89"/>
      <c r="S93" s="89"/>
      <c r="T93" s="89"/>
      <c r="U93" s="89"/>
    </row>
    <row r="94">
      <c r="A94" s="196"/>
      <c r="B94" s="203" t="s">
        <v>382</v>
      </c>
      <c r="C94" s="91"/>
      <c r="D94" s="198"/>
      <c r="E94" s="196"/>
      <c r="F94" s="196"/>
      <c r="G94" s="196"/>
      <c r="H94" s="196"/>
      <c r="I94" s="196"/>
      <c r="J94" s="196"/>
      <c r="K94" s="196"/>
      <c r="L94" s="89"/>
      <c r="M94" s="89"/>
      <c r="N94" s="89"/>
      <c r="O94" s="89"/>
      <c r="P94" s="89"/>
      <c r="Q94" s="89"/>
      <c r="R94" s="89"/>
      <c r="S94" s="89"/>
      <c r="T94" s="89"/>
      <c r="U94" s="89"/>
    </row>
    <row r="95">
      <c r="A95" s="89"/>
      <c r="B95" s="152" t="s">
        <v>383</v>
      </c>
      <c r="C95" s="91"/>
      <c r="D95" s="92"/>
      <c r="E95" s="89"/>
      <c r="F95" s="89"/>
      <c r="G95" s="89"/>
      <c r="H95" s="89"/>
      <c r="I95" s="89"/>
      <c r="J95" s="89"/>
      <c r="K95" s="89"/>
      <c r="L95" s="89"/>
      <c r="M95" s="89"/>
      <c r="N95" s="89"/>
      <c r="O95" s="89"/>
      <c r="P95" s="89"/>
      <c r="Q95" s="89"/>
      <c r="R95" s="89"/>
      <c r="S95" s="89"/>
      <c r="T95" s="89"/>
      <c r="U95" s="89"/>
    </row>
    <row r="96">
      <c r="A96" s="89"/>
      <c r="B96" s="205" t="s">
        <v>386</v>
      </c>
      <c r="C96" s="91"/>
      <c r="D96" s="92"/>
      <c r="E96" s="89"/>
      <c r="F96" s="89"/>
      <c r="G96" s="89"/>
      <c r="H96" s="89"/>
      <c r="I96" s="89"/>
      <c r="J96" s="89"/>
      <c r="K96" s="89"/>
      <c r="L96" s="89"/>
      <c r="M96" s="89"/>
      <c r="N96" s="89"/>
      <c r="O96" s="89"/>
      <c r="P96" s="89"/>
      <c r="Q96" s="89"/>
      <c r="R96" s="89"/>
      <c r="S96" s="89"/>
      <c r="T96" s="89"/>
      <c r="U96" s="89"/>
    </row>
    <row r="97">
      <c r="A97" s="89"/>
      <c r="B97" s="205" t="s">
        <v>389</v>
      </c>
      <c r="C97" s="91"/>
      <c r="D97" s="91"/>
      <c r="E97" s="89"/>
      <c r="F97" s="89"/>
      <c r="G97" s="89"/>
      <c r="H97" s="89"/>
      <c r="I97" s="89"/>
      <c r="J97" s="89"/>
      <c r="K97" s="89"/>
      <c r="L97" s="89"/>
      <c r="M97" s="89"/>
      <c r="N97" s="89"/>
      <c r="O97" s="89"/>
      <c r="P97" s="89"/>
      <c r="Q97" s="89"/>
      <c r="R97" s="89"/>
      <c r="S97" s="89"/>
      <c r="T97" s="89"/>
      <c r="U97" s="89"/>
    </row>
    <row r="98">
      <c r="A98" s="89"/>
      <c r="B98" s="205" t="s">
        <v>392</v>
      </c>
      <c r="C98" s="91"/>
      <c r="D98" s="91"/>
      <c r="E98" s="89"/>
      <c r="F98" s="89"/>
      <c r="G98" s="89"/>
      <c r="H98" s="89"/>
      <c r="I98" s="89"/>
      <c r="J98" s="89"/>
      <c r="K98" s="89"/>
      <c r="L98" s="89"/>
      <c r="M98" s="89"/>
      <c r="N98" s="89"/>
      <c r="O98" s="89"/>
      <c r="P98" s="89"/>
      <c r="Q98" s="89"/>
      <c r="R98" s="89"/>
      <c r="S98" s="89"/>
      <c r="T98" s="89"/>
      <c r="U98" s="89"/>
    </row>
    <row r="99">
      <c r="A99" s="89"/>
      <c r="B99" s="205" t="s">
        <v>394</v>
      </c>
      <c r="C99" s="91"/>
      <c r="D99" s="91"/>
      <c r="E99" s="89"/>
      <c r="F99" s="89"/>
      <c r="G99" s="89"/>
      <c r="H99" s="89"/>
      <c r="I99" s="89"/>
      <c r="J99" s="89"/>
      <c r="K99" s="89"/>
      <c r="L99" s="89"/>
      <c r="M99" s="89"/>
      <c r="N99" s="89"/>
      <c r="O99" s="89"/>
      <c r="P99" s="89"/>
      <c r="Q99" s="89"/>
      <c r="R99" s="89"/>
      <c r="S99" s="89"/>
      <c r="T99" s="89"/>
      <c r="U99" s="89"/>
    </row>
    <row r="100">
      <c r="A100" s="89"/>
      <c r="B100" s="205" t="s">
        <v>396</v>
      </c>
      <c r="C100" s="91"/>
      <c r="D100" s="92"/>
      <c r="E100" s="89"/>
      <c r="F100" s="89"/>
      <c r="G100" s="89"/>
      <c r="H100" s="89"/>
      <c r="I100" s="89"/>
      <c r="J100" s="89"/>
      <c r="K100" s="89"/>
      <c r="L100" s="89"/>
      <c r="M100" s="89"/>
      <c r="N100" s="89"/>
      <c r="O100" s="89"/>
      <c r="P100" s="89"/>
      <c r="Q100" s="89"/>
      <c r="R100" s="89"/>
      <c r="S100" s="89"/>
      <c r="T100" s="89"/>
      <c r="U100" s="89"/>
    </row>
    <row r="101">
      <c r="A101" s="211"/>
      <c r="B101" s="205" t="s">
        <v>397</v>
      </c>
      <c r="C101" s="91"/>
      <c r="D101" s="92"/>
      <c r="E101" s="89"/>
      <c r="F101" s="89"/>
      <c r="G101" s="89"/>
      <c r="H101" s="89"/>
      <c r="I101" s="89"/>
      <c r="J101" s="89"/>
      <c r="K101" s="89"/>
      <c r="L101" s="89"/>
      <c r="M101" s="89"/>
      <c r="N101" s="89"/>
      <c r="O101" s="89"/>
      <c r="P101" s="89"/>
      <c r="Q101" s="89"/>
      <c r="R101" s="89"/>
      <c r="S101" s="89"/>
      <c r="T101" s="89"/>
      <c r="U101" s="89"/>
    </row>
    <row r="102">
      <c r="A102" s="89"/>
      <c r="B102" s="216"/>
      <c r="C102" s="91"/>
      <c r="D102" s="92"/>
      <c r="E102" s="89"/>
      <c r="F102" s="89"/>
      <c r="G102" s="89"/>
      <c r="H102" s="89"/>
      <c r="I102" s="89"/>
      <c r="J102" s="89"/>
      <c r="K102" s="89"/>
      <c r="L102" s="89"/>
      <c r="M102" s="89"/>
      <c r="N102" s="89"/>
      <c r="O102" s="89"/>
      <c r="P102" s="89"/>
      <c r="Q102" s="89"/>
      <c r="R102" s="89"/>
      <c r="S102" s="89"/>
      <c r="T102" s="89"/>
      <c r="U102" s="89"/>
    </row>
    <row r="103">
      <c r="A103" s="211"/>
      <c r="B103" s="219" t="s">
        <v>401</v>
      </c>
      <c r="C103" s="223">
        <f>SUM(C104:C111)</f>
        <v>3226000</v>
      </c>
      <c r="D103" s="92"/>
      <c r="E103" s="89"/>
      <c r="F103" s="89"/>
      <c r="G103" s="89"/>
      <c r="H103" s="89"/>
      <c r="I103" s="89"/>
      <c r="J103" s="89"/>
      <c r="K103" s="89"/>
      <c r="L103" s="89"/>
      <c r="M103" s="89"/>
      <c r="N103" s="89"/>
      <c r="O103" s="89"/>
      <c r="P103" s="89"/>
      <c r="Q103" s="89"/>
      <c r="R103" s="89"/>
      <c r="S103" s="89"/>
      <c r="T103" s="89"/>
      <c r="U103" s="89"/>
    </row>
    <row r="104">
      <c r="A104" s="89"/>
      <c r="B104" s="203" t="s">
        <v>404</v>
      </c>
      <c r="C104" s="228">
        <v>625000.0</v>
      </c>
      <c r="D104" s="92"/>
      <c r="E104" s="89"/>
      <c r="F104" s="89"/>
      <c r="G104" s="89"/>
      <c r="H104" s="89"/>
      <c r="I104" s="89"/>
      <c r="J104" s="89"/>
      <c r="K104" s="89"/>
      <c r="L104" s="89"/>
      <c r="M104" s="89"/>
      <c r="N104" s="89"/>
      <c r="O104" s="89"/>
      <c r="P104" s="89"/>
      <c r="Q104" s="89"/>
      <c r="R104" s="89"/>
      <c r="S104" s="89"/>
      <c r="T104" s="89"/>
      <c r="U104" s="89"/>
    </row>
    <row r="105">
      <c r="A105" s="89"/>
      <c r="B105" s="203" t="s">
        <v>406</v>
      </c>
      <c r="C105" s="228">
        <v>90000.0</v>
      </c>
      <c r="D105" s="92"/>
      <c r="E105" s="89"/>
      <c r="F105" s="89"/>
      <c r="G105" s="89"/>
      <c r="H105" s="89"/>
      <c r="I105" s="89"/>
      <c r="J105" s="89"/>
      <c r="K105" s="89"/>
      <c r="L105" s="89"/>
      <c r="M105" s="89"/>
      <c r="N105" s="89"/>
      <c r="O105" s="89"/>
      <c r="P105" s="89"/>
      <c r="Q105" s="89"/>
      <c r="R105" s="89"/>
      <c r="S105" s="89"/>
      <c r="T105" s="89"/>
      <c r="U105" s="89"/>
    </row>
    <row r="106">
      <c r="A106" s="211"/>
      <c r="B106" s="203" t="s">
        <v>408</v>
      </c>
      <c r="C106" s="228">
        <v>148000.0</v>
      </c>
      <c r="D106" s="92"/>
      <c r="E106" s="89"/>
      <c r="F106" s="89"/>
      <c r="G106" s="89"/>
      <c r="H106" s="89"/>
      <c r="I106" s="89"/>
      <c r="J106" s="89"/>
      <c r="K106" s="89"/>
      <c r="L106" s="89"/>
      <c r="M106" s="89"/>
      <c r="N106" s="89"/>
      <c r="O106" s="89"/>
      <c r="P106" s="89"/>
      <c r="Q106" s="89"/>
      <c r="R106" s="89"/>
      <c r="S106" s="89"/>
      <c r="T106" s="89"/>
      <c r="U106" s="89"/>
    </row>
    <row r="107">
      <c r="A107" s="211"/>
      <c r="B107" s="203" t="s">
        <v>411</v>
      </c>
      <c r="C107" s="228">
        <v>300000.0</v>
      </c>
      <c r="D107" s="92"/>
      <c r="E107" s="89"/>
      <c r="F107" s="89"/>
      <c r="G107" s="89"/>
      <c r="H107" s="89"/>
      <c r="I107" s="89"/>
      <c r="J107" s="89"/>
      <c r="K107" s="89"/>
      <c r="L107" s="89"/>
      <c r="M107" s="89"/>
      <c r="N107" s="89"/>
      <c r="O107" s="89"/>
      <c r="P107" s="89"/>
      <c r="Q107" s="89"/>
      <c r="R107" s="89"/>
      <c r="S107" s="89"/>
      <c r="T107" s="89"/>
      <c r="U107" s="89"/>
    </row>
    <row r="108">
      <c r="A108" s="89"/>
      <c r="B108" s="203" t="s">
        <v>412</v>
      </c>
      <c r="C108" s="228">
        <v>205000.0</v>
      </c>
      <c r="D108" s="92"/>
      <c r="E108" s="89"/>
      <c r="F108" s="89"/>
      <c r="G108" s="89"/>
      <c r="H108" s="89"/>
      <c r="I108" s="89"/>
      <c r="J108" s="89"/>
      <c r="K108" s="89"/>
      <c r="L108" s="89"/>
      <c r="M108" s="89"/>
      <c r="N108" s="89"/>
      <c r="O108" s="89"/>
      <c r="P108" s="89"/>
      <c r="Q108" s="89"/>
      <c r="R108" s="89"/>
      <c r="S108" s="89"/>
      <c r="T108" s="89"/>
      <c r="U108" s="89"/>
    </row>
    <row r="109">
      <c r="A109" s="89"/>
      <c r="B109" s="203" t="s">
        <v>414</v>
      </c>
      <c r="C109" s="228">
        <v>165000.0</v>
      </c>
      <c r="D109" s="92"/>
      <c r="E109" s="89"/>
      <c r="F109" s="89"/>
      <c r="G109" s="89"/>
      <c r="H109" s="89"/>
      <c r="I109" s="89"/>
      <c r="J109" s="89"/>
      <c r="K109" s="89"/>
      <c r="L109" s="89"/>
      <c r="M109" s="89"/>
      <c r="N109" s="89"/>
      <c r="O109" s="89"/>
      <c r="P109" s="89"/>
      <c r="Q109" s="89"/>
      <c r="R109" s="89"/>
      <c r="S109" s="89"/>
      <c r="T109" s="89"/>
      <c r="U109" s="89"/>
    </row>
    <row r="110">
      <c r="A110" s="89"/>
      <c r="B110" s="203" t="s">
        <v>416</v>
      </c>
      <c r="C110" s="228">
        <v>220000.0</v>
      </c>
      <c r="D110" s="91"/>
      <c r="E110" s="89"/>
      <c r="F110" s="89"/>
      <c r="G110" s="89"/>
      <c r="H110" s="89"/>
      <c r="I110" s="89"/>
      <c r="J110" s="89"/>
      <c r="K110" s="89"/>
      <c r="L110" s="89"/>
      <c r="M110" s="89"/>
      <c r="N110" s="89"/>
      <c r="O110" s="89"/>
      <c r="P110" s="89"/>
      <c r="Q110" s="89"/>
      <c r="R110" s="89"/>
      <c r="S110" s="89"/>
      <c r="T110" s="89"/>
      <c r="U110" s="89"/>
    </row>
    <row r="111">
      <c r="A111" s="89"/>
      <c r="B111" s="203" t="s">
        <v>419</v>
      </c>
      <c r="C111" s="228">
        <v>1473000.0</v>
      </c>
      <c r="D111" s="242"/>
      <c r="E111" s="89"/>
      <c r="F111" s="89"/>
      <c r="G111" s="89"/>
      <c r="H111" s="89"/>
      <c r="I111" s="89"/>
      <c r="J111" s="89"/>
      <c r="K111" s="89"/>
      <c r="L111" s="89"/>
      <c r="M111" s="89"/>
      <c r="N111" s="89"/>
      <c r="O111" s="89"/>
      <c r="P111" s="89"/>
      <c r="Q111" s="89"/>
      <c r="R111" s="89"/>
      <c r="S111" s="89"/>
      <c r="T111" s="89"/>
      <c r="U111" s="89"/>
    </row>
    <row r="112">
      <c r="A112" s="89"/>
      <c r="B112" s="216"/>
      <c r="C112" s="91"/>
      <c r="D112" s="92"/>
      <c r="E112" s="89"/>
      <c r="F112" s="89"/>
      <c r="G112" s="89"/>
      <c r="H112" s="89"/>
      <c r="I112" s="89"/>
      <c r="J112" s="89"/>
      <c r="K112" s="89"/>
      <c r="L112" s="89"/>
      <c r="M112" s="89"/>
      <c r="N112" s="89"/>
      <c r="O112" s="89"/>
      <c r="P112" s="89"/>
      <c r="Q112" s="89"/>
      <c r="R112" s="89"/>
      <c r="S112" s="89"/>
      <c r="T112" s="89"/>
      <c r="U112" s="89"/>
    </row>
    <row r="113">
      <c r="A113" s="89"/>
      <c r="B113" s="89"/>
      <c r="C113" s="91"/>
      <c r="D113" s="92"/>
      <c r="E113" s="89"/>
      <c r="F113" s="89"/>
      <c r="G113" s="89"/>
      <c r="H113" s="89"/>
      <c r="I113" s="89"/>
      <c r="J113" s="89"/>
      <c r="K113" s="89"/>
      <c r="L113" s="89"/>
      <c r="M113" s="89"/>
      <c r="N113" s="89"/>
      <c r="O113" s="89"/>
      <c r="P113" s="89"/>
      <c r="Q113" s="89"/>
      <c r="R113" s="89"/>
      <c r="S113" s="89"/>
      <c r="T113" s="89"/>
      <c r="U113" s="89"/>
    </row>
    <row r="114">
      <c r="A114" s="89"/>
      <c r="B114" s="89"/>
      <c r="C114" s="91"/>
      <c r="D114" s="92"/>
      <c r="E114" s="89"/>
      <c r="F114" s="89"/>
      <c r="G114" s="89"/>
      <c r="H114" s="89"/>
      <c r="I114" s="89"/>
      <c r="J114" s="89"/>
      <c r="K114" s="89"/>
      <c r="L114" s="89"/>
      <c r="M114" s="89"/>
      <c r="N114" s="89"/>
      <c r="O114" s="89"/>
      <c r="P114" s="89"/>
      <c r="Q114" s="89"/>
      <c r="R114" s="89"/>
      <c r="S114" s="89"/>
      <c r="T114" s="89"/>
      <c r="U114" s="89"/>
    </row>
    <row r="115">
      <c r="A115" s="150"/>
      <c r="B115" s="154"/>
      <c r="C115" s="91"/>
      <c r="D115" s="91"/>
      <c r="E115" s="89"/>
      <c r="F115" s="89"/>
      <c r="G115" s="89"/>
      <c r="H115" s="89"/>
      <c r="I115" s="89"/>
      <c r="J115" s="89"/>
      <c r="K115" s="89"/>
      <c r="L115" s="89"/>
      <c r="M115" s="89"/>
      <c r="N115" s="89"/>
      <c r="O115" s="89"/>
      <c r="P115" s="89"/>
      <c r="Q115" s="89"/>
      <c r="R115" s="89"/>
      <c r="S115" s="89"/>
      <c r="T115" s="89"/>
      <c r="U115" s="89"/>
    </row>
    <row r="116">
      <c r="A116" s="89"/>
      <c r="B116" s="89"/>
      <c r="C116" s="91"/>
      <c r="D116" s="92"/>
      <c r="E116" s="89"/>
      <c r="F116" s="89"/>
      <c r="G116" s="89"/>
      <c r="H116" s="89"/>
      <c r="I116" s="89"/>
      <c r="J116" s="89"/>
      <c r="K116" s="89"/>
      <c r="L116" s="89"/>
      <c r="M116" s="89"/>
      <c r="N116" s="89"/>
      <c r="O116" s="89"/>
      <c r="P116" s="89"/>
      <c r="Q116" s="89"/>
      <c r="R116" s="89"/>
      <c r="S116" s="89"/>
      <c r="T116" s="89"/>
      <c r="U116" s="89"/>
    </row>
    <row r="117">
      <c r="A117" s="89"/>
      <c r="B117" s="89"/>
      <c r="C117" s="91"/>
      <c r="D117" s="92"/>
      <c r="E117" s="89"/>
      <c r="F117" s="89"/>
      <c r="G117" s="89"/>
      <c r="H117" s="89"/>
      <c r="I117" s="89"/>
      <c r="J117" s="89"/>
      <c r="K117" s="89"/>
      <c r="L117" s="89"/>
      <c r="M117" s="89"/>
      <c r="N117" s="89"/>
      <c r="O117" s="89"/>
      <c r="P117" s="89"/>
      <c r="Q117" s="89"/>
      <c r="R117" s="89"/>
      <c r="S117" s="89"/>
      <c r="T117" s="89"/>
      <c r="U117" s="89"/>
    </row>
    <row r="118">
      <c r="A118" s="89"/>
      <c r="B118" s="154"/>
      <c r="C118" s="91"/>
      <c r="D118" s="92"/>
      <c r="E118" s="89"/>
      <c r="F118" s="89"/>
      <c r="G118" s="89"/>
      <c r="H118" s="89"/>
      <c r="I118" s="89"/>
      <c r="J118" s="89"/>
      <c r="K118" s="89"/>
      <c r="L118" s="89"/>
      <c r="M118" s="89"/>
      <c r="N118" s="89"/>
      <c r="O118" s="89"/>
      <c r="P118" s="89"/>
      <c r="Q118" s="89"/>
      <c r="R118" s="89"/>
      <c r="S118" s="89"/>
      <c r="T118" s="89"/>
      <c r="U118" s="89"/>
    </row>
    <row r="119">
      <c r="A119" s="89"/>
      <c r="B119" s="154"/>
      <c r="C119" s="91"/>
      <c r="D119" s="92"/>
      <c r="E119" s="89"/>
      <c r="F119" s="89"/>
      <c r="G119" s="89"/>
      <c r="H119" s="89"/>
      <c r="I119" s="89"/>
      <c r="J119" s="89"/>
      <c r="K119" s="89"/>
      <c r="L119" s="89"/>
      <c r="M119" s="89"/>
      <c r="N119" s="89"/>
      <c r="O119" s="89"/>
      <c r="P119" s="89"/>
      <c r="Q119" s="89"/>
      <c r="R119" s="89"/>
      <c r="S119" s="89"/>
      <c r="T119" s="89"/>
      <c r="U119" s="89"/>
    </row>
    <row r="120">
      <c r="A120" s="89"/>
      <c r="B120" s="89"/>
      <c r="C120" s="91"/>
      <c r="D120" s="92"/>
      <c r="E120" s="89"/>
      <c r="F120" s="89"/>
      <c r="G120" s="89"/>
      <c r="H120" s="89"/>
      <c r="I120" s="89"/>
      <c r="J120" s="89"/>
      <c r="K120" s="89"/>
      <c r="L120" s="89"/>
      <c r="M120" s="89"/>
      <c r="N120" s="89"/>
      <c r="O120" s="89"/>
      <c r="P120" s="89"/>
      <c r="Q120" s="89"/>
      <c r="R120" s="89"/>
      <c r="S120" s="89"/>
      <c r="T120" s="89"/>
      <c r="U120" s="89"/>
    </row>
    <row r="121">
      <c r="A121" s="89"/>
      <c r="B121" s="154"/>
      <c r="C121" s="91"/>
      <c r="D121" s="92"/>
      <c r="E121" s="89"/>
      <c r="F121" s="89"/>
      <c r="G121" s="89"/>
      <c r="H121" s="89"/>
      <c r="I121" s="89"/>
      <c r="J121" s="89"/>
      <c r="K121" s="89"/>
      <c r="L121" s="89"/>
      <c r="M121" s="89"/>
      <c r="N121" s="89"/>
      <c r="O121" s="89"/>
      <c r="P121" s="89"/>
      <c r="Q121" s="89"/>
      <c r="R121" s="89"/>
      <c r="S121" s="89"/>
      <c r="T121" s="89"/>
      <c r="U121" s="89"/>
    </row>
    <row r="122">
      <c r="A122" s="89"/>
      <c r="B122" s="89"/>
      <c r="C122" s="91"/>
      <c r="D122" s="92"/>
      <c r="E122" s="89"/>
      <c r="F122" s="89"/>
      <c r="G122" s="89"/>
      <c r="H122" s="89"/>
      <c r="I122" s="89"/>
      <c r="J122" s="89"/>
      <c r="K122" s="89"/>
      <c r="L122" s="89"/>
      <c r="M122" s="89"/>
      <c r="N122" s="89"/>
      <c r="O122" s="89"/>
      <c r="P122" s="89"/>
      <c r="Q122" s="89"/>
      <c r="R122" s="89"/>
      <c r="S122" s="89"/>
      <c r="T122" s="89"/>
      <c r="U122" s="89"/>
    </row>
    <row r="123">
      <c r="A123" s="89"/>
      <c r="B123" s="89"/>
      <c r="C123" s="91"/>
      <c r="D123" s="92"/>
      <c r="E123" s="89"/>
      <c r="F123" s="89"/>
      <c r="G123" s="89"/>
      <c r="H123" s="89"/>
      <c r="I123" s="89"/>
      <c r="J123" s="89"/>
      <c r="K123" s="89"/>
      <c r="L123" s="89"/>
      <c r="M123" s="89"/>
      <c r="N123" s="89"/>
      <c r="O123" s="89"/>
      <c r="P123" s="89"/>
      <c r="Q123" s="89"/>
      <c r="R123" s="89"/>
      <c r="S123" s="89"/>
      <c r="T123" s="89"/>
      <c r="U123" s="89"/>
    </row>
    <row r="124">
      <c r="A124" s="89"/>
      <c r="B124" s="89"/>
      <c r="C124" s="91"/>
      <c r="D124" s="92"/>
      <c r="E124" s="89"/>
      <c r="F124" s="89"/>
      <c r="G124" s="89"/>
      <c r="H124" s="89"/>
      <c r="I124" s="89"/>
      <c r="J124" s="89"/>
      <c r="K124" s="89"/>
      <c r="L124" s="89"/>
      <c r="M124" s="89"/>
      <c r="N124" s="89"/>
      <c r="O124" s="89"/>
      <c r="P124" s="89"/>
      <c r="Q124" s="89"/>
      <c r="R124" s="89"/>
      <c r="S124" s="89"/>
      <c r="T124" s="89"/>
      <c r="U124" s="89"/>
    </row>
    <row r="125">
      <c r="A125" s="150"/>
      <c r="B125" s="154"/>
      <c r="C125" s="91"/>
      <c r="D125" s="91"/>
      <c r="E125" s="89"/>
      <c r="F125" s="89"/>
      <c r="G125" s="89"/>
      <c r="H125" s="89"/>
      <c r="I125" s="89"/>
      <c r="J125" s="89"/>
      <c r="K125" s="89"/>
      <c r="L125" s="89"/>
      <c r="M125" s="89"/>
      <c r="N125" s="89"/>
      <c r="O125" s="89"/>
      <c r="P125" s="89"/>
      <c r="Q125" s="89"/>
      <c r="R125" s="89"/>
      <c r="S125" s="89"/>
      <c r="T125" s="89"/>
      <c r="U125" s="89"/>
    </row>
    <row r="126">
      <c r="A126" s="89"/>
      <c r="B126" s="89"/>
      <c r="C126" s="91"/>
      <c r="D126" s="92"/>
      <c r="E126" s="89"/>
      <c r="F126" s="89"/>
      <c r="G126" s="89"/>
      <c r="H126" s="89"/>
      <c r="I126" s="89"/>
      <c r="J126" s="89"/>
      <c r="K126" s="89"/>
      <c r="L126" s="89"/>
      <c r="M126" s="89"/>
      <c r="N126" s="89"/>
      <c r="O126" s="89"/>
      <c r="P126" s="89"/>
      <c r="Q126" s="89"/>
      <c r="R126" s="89"/>
      <c r="S126" s="89"/>
      <c r="T126" s="89"/>
      <c r="U126" s="89"/>
    </row>
    <row r="127">
      <c r="A127" s="196"/>
      <c r="B127" s="89"/>
      <c r="C127" s="91"/>
      <c r="D127" s="92"/>
      <c r="E127" s="89"/>
      <c r="F127" s="89"/>
      <c r="G127" s="89"/>
      <c r="H127" s="89"/>
      <c r="I127" s="89"/>
      <c r="J127" s="89"/>
      <c r="K127" s="89"/>
      <c r="L127" s="89"/>
      <c r="M127" s="89"/>
      <c r="N127" s="89"/>
      <c r="O127" s="89"/>
      <c r="P127" s="89"/>
      <c r="Q127" s="89"/>
      <c r="R127" s="89"/>
      <c r="S127" s="89"/>
      <c r="T127" s="89"/>
      <c r="U127" s="89"/>
    </row>
    <row r="128">
      <c r="A128" s="89"/>
      <c r="B128" s="89"/>
      <c r="C128" s="91"/>
      <c r="D128" s="92"/>
      <c r="E128" s="89"/>
      <c r="F128" s="89"/>
      <c r="G128" s="89"/>
      <c r="H128" s="89"/>
      <c r="I128" s="89"/>
      <c r="J128" s="89"/>
      <c r="K128" s="89"/>
      <c r="L128" s="89"/>
      <c r="M128" s="89"/>
      <c r="N128" s="89"/>
      <c r="O128" s="89"/>
      <c r="P128" s="89"/>
      <c r="Q128" s="89"/>
      <c r="R128" s="89"/>
      <c r="S128" s="89"/>
      <c r="T128" s="89"/>
      <c r="U128" s="89"/>
    </row>
    <row r="129">
      <c r="A129" s="89"/>
      <c r="B129" s="89"/>
      <c r="C129" s="91"/>
      <c r="D129" s="92"/>
      <c r="E129" s="89"/>
      <c r="F129" s="89"/>
      <c r="G129" s="89"/>
      <c r="H129" s="89"/>
      <c r="I129" s="89"/>
      <c r="J129" s="89"/>
      <c r="K129" s="89"/>
      <c r="L129" s="89"/>
      <c r="M129" s="89"/>
      <c r="N129" s="89"/>
      <c r="O129" s="89"/>
      <c r="P129" s="89"/>
      <c r="Q129" s="89"/>
      <c r="R129" s="89"/>
      <c r="S129" s="89"/>
      <c r="T129" s="89"/>
      <c r="U129" s="89"/>
    </row>
    <row r="130">
      <c r="A130" s="89"/>
      <c r="B130" s="89"/>
      <c r="C130" s="91"/>
      <c r="D130" s="92"/>
      <c r="E130" s="89"/>
      <c r="F130" s="89"/>
      <c r="G130" s="89"/>
      <c r="H130" s="89"/>
      <c r="I130" s="89"/>
      <c r="J130" s="89"/>
      <c r="K130" s="89"/>
      <c r="L130" s="89"/>
      <c r="M130" s="89"/>
      <c r="N130" s="89"/>
      <c r="O130" s="89"/>
      <c r="P130" s="89"/>
      <c r="Q130" s="89"/>
      <c r="R130" s="89"/>
      <c r="S130" s="89"/>
      <c r="T130" s="89"/>
      <c r="U130" s="89"/>
    </row>
    <row r="131">
      <c r="A131" s="89"/>
      <c r="B131" s="89"/>
      <c r="C131" s="91"/>
      <c r="D131" s="92"/>
      <c r="E131" s="89"/>
      <c r="F131" s="89"/>
      <c r="G131" s="89"/>
      <c r="H131" s="89"/>
      <c r="I131" s="89"/>
      <c r="J131" s="89"/>
      <c r="K131" s="89"/>
      <c r="L131" s="89"/>
      <c r="M131" s="89"/>
      <c r="N131" s="89"/>
      <c r="O131" s="89"/>
      <c r="P131" s="89"/>
      <c r="Q131" s="89"/>
      <c r="R131" s="89"/>
      <c r="S131" s="89"/>
      <c r="T131" s="89"/>
      <c r="U131" s="89"/>
    </row>
    <row r="132">
      <c r="A132" s="89"/>
      <c r="B132" s="89"/>
      <c r="C132" s="91"/>
      <c r="D132" s="92"/>
      <c r="E132" s="89"/>
      <c r="F132" s="89"/>
      <c r="G132" s="89"/>
      <c r="H132" s="89"/>
      <c r="I132" s="89"/>
      <c r="J132" s="89"/>
      <c r="K132" s="89"/>
      <c r="L132" s="89"/>
      <c r="M132" s="89"/>
      <c r="N132" s="89"/>
      <c r="O132" s="89"/>
      <c r="P132" s="89"/>
      <c r="Q132" s="89"/>
      <c r="R132" s="89"/>
      <c r="S132" s="89"/>
      <c r="T132" s="89"/>
      <c r="U132" s="89"/>
    </row>
    <row r="133">
      <c r="A133" s="89"/>
      <c r="B133" s="89"/>
      <c r="C133" s="91"/>
      <c r="D133" s="92"/>
      <c r="E133" s="89"/>
      <c r="F133" s="89"/>
      <c r="G133" s="89"/>
      <c r="H133" s="89"/>
      <c r="I133" s="89"/>
      <c r="J133" s="89"/>
      <c r="K133" s="89"/>
      <c r="L133" s="89"/>
      <c r="M133" s="89"/>
      <c r="N133" s="89"/>
      <c r="O133" s="89"/>
      <c r="P133" s="89"/>
      <c r="Q133" s="89"/>
      <c r="R133" s="89"/>
      <c r="S133" s="89"/>
      <c r="T133" s="89"/>
      <c r="U133" s="89"/>
    </row>
    <row r="134">
      <c r="A134" s="89"/>
      <c r="B134" s="89"/>
      <c r="C134" s="91"/>
      <c r="D134" s="92"/>
      <c r="E134" s="89"/>
      <c r="F134" s="89"/>
      <c r="G134" s="89"/>
      <c r="H134" s="89"/>
      <c r="I134" s="89"/>
      <c r="J134" s="89"/>
      <c r="K134" s="89"/>
      <c r="L134" s="89"/>
      <c r="M134" s="89"/>
      <c r="N134" s="89"/>
      <c r="O134" s="89"/>
      <c r="P134" s="89"/>
      <c r="Q134" s="89"/>
      <c r="R134" s="89"/>
      <c r="S134" s="89"/>
      <c r="T134" s="89"/>
      <c r="U134" s="89"/>
    </row>
    <row r="135">
      <c r="A135" s="196"/>
      <c r="B135" s="89"/>
      <c r="C135" s="91"/>
      <c r="D135" s="92"/>
      <c r="E135" s="89"/>
      <c r="F135" s="89"/>
      <c r="G135" s="89"/>
      <c r="H135" s="89"/>
      <c r="I135" s="89"/>
      <c r="J135" s="89"/>
      <c r="K135" s="89"/>
      <c r="L135" s="89"/>
      <c r="M135" s="89"/>
      <c r="N135" s="89"/>
      <c r="O135" s="89"/>
      <c r="P135" s="89"/>
      <c r="Q135" s="89"/>
      <c r="R135" s="89"/>
      <c r="S135" s="89"/>
      <c r="T135" s="89"/>
      <c r="U135" s="89"/>
    </row>
    <row r="136">
      <c r="A136" s="89"/>
      <c r="B136" s="89"/>
      <c r="C136" s="91"/>
      <c r="D136" s="92"/>
      <c r="E136" s="89"/>
      <c r="F136" s="89"/>
      <c r="G136" s="89"/>
      <c r="H136" s="89"/>
      <c r="I136" s="89"/>
      <c r="J136" s="89"/>
      <c r="K136" s="89"/>
      <c r="L136" s="89"/>
      <c r="M136" s="89"/>
      <c r="N136" s="89"/>
      <c r="O136" s="89"/>
      <c r="P136" s="89"/>
      <c r="Q136" s="89"/>
      <c r="R136" s="89"/>
      <c r="S136" s="89"/>
      <c r="T136" s="89"/>
      <c r="U136" s="89"/>
    </row>
    <row r="137">
      <c r="A137" s="89"/>
      <c r="B137" s="89"/>
      <c r="C137" s="91"/>
      <c r="D137" s="92"/>
      <c r="E137" s="89"/>
      <c r="F137" s="89"/>
      <c r="G137" s="89"/>
      <c r="H137" s="89"/>
      <c r="I137" s="89"/>
      <c r="J137" s="89"/>
      <c r="K137" s="89"/>
      <c r="L137" s="89"/>
      <c r="M137" s="89"/>
      <c r="N137" s="89"/>
      <c r="O137" s="89"/>
      <c r="P137" s="89"/>
      <c r="Q137" s="89"/>
      <c r="R137" s="89"/>
      <c r="S137" s="89"/>
      <c r="T137" s="89"/>
      <c r="U137" s="89"/>
    </row>
    <row r="138">
      <c r="A138" s="89"/>
      <c r="B138" s="89"/>
      <c r="C138" s="91"/>
      <c r="D138" s="92"/>
      <c r="E138" s="89"/>
      <c r="F138" s="89"/>
      <c r="G138" s="89"/>
      <c r="H138" s="89"/>
      <c r="I138" s="89"/>
      <c r="J138" s="89"/>
      <c r="K138" s="89"/>
      <c r="L138" s="89"/>
      <c r="M138" s="89"/>
      <c r="N138" s="89"/>
      <c r="O138" s="89"/>
      <c r="P138" s="89"/>
      <c r="Q138" s="89"/>
      <c r="R138" s="89"/>
      <c r="S138" s="89"/>
      <c r="T138" s="89"/>
      <c r="U138" s="89"/>
    </row>
    <row r="139">
      <c r="A139" s="89"/>
      <c r="B139" s="89"/>
      <c r="C139" s="91"/>
      <c r="D139" s="92"/>
      <c r="E139" s="89"/>
      <c r="F139" s="89"/>
      <c r="G139" s="89"/>
      <c r="H139" s="89"/>
      <c r="I139" s="89"/>
      <c r="J139" s="89"/>
      <c r="K139" s="89"/>
      <c r="L139" s="89"/>
      <c r="M139" s="89"/>
      <c r="N139" s="89"/>
      <c r="O139" s="89"/>
      <c r="P139" s="89"/>
      <c r="Q139" s="89"/>
      <c r="R139" s="89"/>
      <c r="S139" s="89"/>
      <c r="T139" s="89"/>
      <c r="U139" s="89"/>
    </row>
    <row r="140">
      <c r="A140" s="89"/>
      <c r="B140" s="89"/>
      <c r="C140" s="91"/>
      <c r="D140" s="92"/>
      <c r="E140" s="89"/>
      <c r="F140" s="89"/>
      <c r="G140" s="89"/>
      <c r="H140" s="89"/>
      <c r="I140" s="89"/>
      <c r="J140" s="89"/>
      <c r="K140" s="89"/>
      <c r="L140" s="89"/>
      <c r="M140" s="89"/>
      <c r="N140" s="89"/>
      <c r="O140" s="89"/>
      <c r="P140" s="89"/>
      <c r="Q140" s="89"/>
      <c r="R140" s="89"/>
      <c r="S140" s="89"/>
      <c r="T140" s="89"/>
      <c r="U140" s="89"/>
    </row>
    <row r="141">
      <c r="A141" s="196"/>
      <c r="B141" s="89"/>
      <c r="C141" s="91"/>
      <c r="D141" s="92"/>
      <c r="E141" s="89"/>
      <c r="F141" s="89"/>
      <c r="G141" s="89"/>
      <c r="H141" s="89"/>
      <c r="I141" s="89"/>
      <c r="J141" s="89"/>
      <c r="K141" s="89"/>
      <c r="L141" s="89"/>
      <c r="M141" s="89"/>
      <c r="N141" s="89"/>
      <c r="O141" s="89"/>
      <c r="P141" s="89"/>
      <c r="Q141" s="89"/>
      <c r="R141" s="89"/>
      <c r="S141" s="89"/>
      <c r="T141" s="89"/>
      <c r="U141" s="89"/>
    </row>
    <row r="142">
      <c r="A142" s="89"/>
      <c r="B142" s="89"/>
      <c r="C142" s="91"/>
      <c r="D142" s="92"/>
      <c r="E142" s="89"/>
      <c r="F142" s="89"/>
      <c r="G142" s="89"/>
      <c r="H142" s="89"/>
      <c r="I142" s="89"/>
      <c r="J142" s="89"/>
      <c r="K142" s="89"/>
      <c r="L142" s="89"/>
      <c r="M142" s="89"/>
      <c r="N142" s="89"/>
      <c r="O142" s="89"/>
      <c r="P142" s="89"/>
      <c r="Q142" s="89"/>
      <c r="R142" s="89"/>
      <c r="S142" s="89"/>
      <c r="T142" s="89"/>
      <c r="U142" s="89"/>
    </row>
    <row r="143">
      <c r="A143" s="89"/>
      <c r="B143" s="89"/>
      <c r="C143" s="91"/>
      <c r="D143" s="92"/>
      <c r="E143" s="89"/>
      <c r="F143" s="89"/>
      <c r="G143" s="89"/>
      <c r="H143" s="89"/>
      <c r="I143" s="89"/>
      <c r="J143" s="89"/>
      <c r="K143" s="89"/>
      <c r="L143" s="89"/>
      <c r="M143" s="89"/>
      <c r="N143" s="89"/>
      <c r="O143" s="89"/>
      <c r="P143" s="89"/>
      <c r="Q143" s="89"/>
      <c r="R143" s="89"/>
      <c r="S143" s="89"/>
      <c r="T143" s="89"/>
      <c r="U143" s="89"/>
    </row>
    <row r="144">
      <c r="A144" s="89"/>
      <c r="B144" s="89"/>
      <c r="C144" s="91"/>
      <c r="D144" s="92"/>
      <c r="E144" s="89"/>
      <c r="F144" s="89"/>
      <c r="G144" s="89"/>
      <c r="H144" s="89"/>
      <c r="I144" s="89"/>
      <c r="J144" s="89"/>
      <c r="K144" s="89"/>
      <c r="L144" s="89"/>
      <c r="M144" s="89"/>
      <c r="N144" s="89"/>
      <c r="O144" s="89"/>
      <c r="P144" s="89"/>
      <c r="Q144" s="89"/>
      <c r="R144" s="89"/>
      <c r="S144" s="89"/>
      <c r="T144" s="89"/>
      <c r="U144" s="89"/>
    </row>
    <row r="145">
      <c r="A145" s="89"/>
      <c r="B145" s="89"/>
      <c r="C145" s="91"/>
      <c r="D145" s="92"/>
      <c r="E145" s="89"/>
      <c r="F145" s="89"/>
      <c r="G145" s="89"/>
      <c r="H145" s="89"/>
      <c r="I145" s="89"/>
      <c r="J145" s="89"/>
      <c r="K145" s="89"/>
      <c r="L145" s="89"/>
      <c r="M145" s="89"/>
      <c r="N145" s="89"/>
      <c r="O145" s="89"/>
      <c r="P145" s="89"/>
      <c r="Q145" s="89"/>
      <c r="R145" s="89"/>
      <c r="S145" s="89"/>
      <c r="T145" s="89"/>
      <c r="U145" s="89"/>
    </row>
    <row r="146">
      <c r="A146" s="196"/>
      <c r="B146" s="89"/>
      <c r="C146" s="91"/>
      <c r="D146" s="92"/>
      <c r="E146" s="89"/>
      <c r="F146" s="89"/>
      <c r="G146" s="89"/>
      <c r="H146" s="89"/>
      <c r="I146" s="89"/>
      <c r="J146" s="89"/>
      <c r="K146" s="89"/>
      <c r="L146" s="89"/>
      <c r="M146" s="89"/>
      <c r="N146" s="89"/>
      <c r="O146" s="89"/>
      <c r="P146" s="89"/>
      <c r="Q146" s="89"/>
      <c r="R146" s="89"/>
      <c r="S146" s="89"/>
      <c r="T146" s="89"/>
      <c r="U146" s="89"/>
    </row>
    <row r="147">
      <c r="A147" s="196"/>
      <c r="B147" s="89"/>
      <c r="C147" s="91"/>
      <c r="D147" s="92"/>
      <c r="E147" s="89"/>
      <c r="F147" s="89"/>
      <c r="G147" s="89"/>
      <c r="H147" s="89"/>
      <c r="I147" s="89"/>
      <c r="J147" s="89"/>
      <c r="K147" s="89"/>
      <c r="L147" s="89"/>
      <c r="M147" s="89"/>
      <c r="N147" s="89"/>
      <c r="O147" s="89"/>
      <c r="P147" s="89"/>
      <c r="Q147" s="89"/>
      <c r="R147" s="89"/>
      <c r="S147" s="89"/>
      <c r="T147" s="89"/>
      <c r="U147" s="89"/>
    </row>
    <row r="148">
      <c r="A148" s="89"/>
      <c r="B148" s="89"/>
      <c r="C148" s="91"/>
      <c r="D148" s="92"/>
      <c r="E148" s="89"/>
      <c r="F148" s="89"/>
      <c r="G148" s="89"/>
      <c r="H148" s="89"/>
      <c r="I148" s="89"/>
      <c r="J148" s="89"/>
      <c r="K148" s="89"/>
      <c r="L148" s="89"/>
      <c r="M148" s="89"/>
      <c r="N148" s="89"/>
      <c r="O148" s="89"/>
      <c r="P148" s="89"/>
      <c r="Q148" s="89"/>
      <c r="R148" s="89"/>
      <c r="S148" s="89"/>
      <c r="T148" s="89"/>
      <c r="U148" s="89"/>
    </row>
    <row r="149">
      <c r="A149" s="89"/>
      <c r="B149" s="89"/>
      <c r="C149" s="91"/>
      <c r="D149" s="92"/>
      <c r="E149" s="89"/>
      <c r="F149" s="89"/>
      <c r="G149" s="89"/>
      <c r="H149" s="89"/>
      <c r="I149" s="89"/>
      <c r="J149" s="89"/>
      <c r="K149" s="89"/>
      <c r="L149" s="89"/>
      <c r="M149" s="89"/>
      <c r="N149" s="89"/>
      <c r="O149" s="89"/>
      <c r="P149" s="89"/>
      <c r="Q149" s="89"/>
      <c r="R149" s="89"/>
      <c r="S149" s="89"/>
      <c r="T149" s="89"/>
      <c r="U149" s="89"/>
    </row>
    <row r="150">
      <c r="A150" s="196"/>
      <c r="B150" s="89"/>
      <c r="C150" s="91"/>
      <c r="D150" s="92"/>
      <c r="E150" s="89"/>
      <c r="F150" s="89"/>
      <c r="G150" s="89"/>
      <c r="H150" s="89"/>
      <c r="I150" s="89"/>
      <c r="J150" s="89"/>
      <c r="K150" s="89"/>
      <c r="L150" s="89"/>
      <c r="M150" s="89"/>
      <c r="N150" s="89"/>
      <c r="O150" s="89"/>
      <c r="P150" s="89"/>
      <c r="Q150" s="89"/>
      <c r="R150" s="89"/>
      <c r="S150" s="89"/>
      <c r="T150" s="89"/>
      <c r="U150" s="89"/>
    </row>
    <row r="151">
      <c r="A151" s="89"/>
      <c r="B151" s="89"/>
      <c r="C151" s="91"/>
      <c r="D151" s="92"/>
      <c r="E151" s="89"/>
      <c r="F151" s="89"/>
      <c r="G151" s="89"/>
      <c r="H151" s="89"/>
      <c r="I151" s="89"/>
      <c r="J151" s="89"/>
      <c r="K151" s="89"/>
      <c r="L151" s="89"/>
      <c r="M151" s="89"/>
      <c r="N151" s="89"/>
      <c r="O151" s="89"/>
      <c r="P151" s="89"/>
      <c r="Q151" s="89"/>
      <c r="R151" s="89"/>
      <c r="S151" s="89"/>
      <c r="T151" s="89"/>
      <c r="U151" s="89"/>
    </row>
    <row r="152">
      <c r="A152" s="89"/>
      <c r="B152" s="89"/>
      <c r="C152" s="91"/>
      <c r="D152" s="92"/>
      <c r="E152" s="89"/>
      <c r="F152" s="89"/>
      <c r="G152" s="89"/>
      <c r="H152" s="89"/>
      <c r="I152" s="89"/>
      <c r="J152" s="89"/>
      <c r="K152" s="89"/>
      <c r="L152" s="89"/>
      <c r="M152" s="89"/>
      <c r="N152" s="89"/>
      <c r="O152" s="89"/>
      <c r="P152" s="89"/>
      <c r="Q152" s="89"/>
      <c r="R152" s="89"/>
      <c r="S152" s="89"/>
      <c r="T152" s="89"/>
      <c r="U152" s="89"/>
    </row>
    <row r="153">
      <c r="A153" s="89"/>
      <c r="B153" s="89"/>
      <c r="C153" s="91"/>
      <c r="D153" s="92"/>
      <c r="E153" s="89"/>
      <c r="F153" s="89"/>
      <c r="G153" s="89"/>
      <c r="H153" s="89"/>
      <c r="I153" s="89"/>
      <c r="J153" s="89"/>
      <c r="K153" s="89"/>
      <c r="L153" s="89"/>
      <c r="M153" s="89"/>
      <c r="N153" s="89"/>
      <c r="O153" s="89"/>
      <c r="P153" s="89"/>
      <c r="Q153" s="89"/>
      <c r="R153" s="89"/>
      <c r="S153" s="89"/>
      <c r="T153" s="89"/>
      <c r="U153" s="89"/>
    </row>
    <row r="154">
      <c r="A154" s="89"/>
      <c r="B154" s="89"/>
      <c r="C154" s="91"/>
      <c r="D154" s="92"/>
      <c r="E154" s="89"/>
      <c r="F154" s="89"/>
      <c r="G154" s="89"/>
      <c r="H154" s="89"/>
      <c r="I154" s="89"/>
      <c r="J154" s="89"/>
      <c r="K154" s="89"/>
      <c r="L154" s="89"/>
      <c r="M154" s="89"/>
      <c r="N154" s="89"/>
      <c r="O154" s="89"/>
      <c r="P154" s="89"/>
      <c r="Q154" s="89"/>
      <c r="R154" s="89"/>
      <c r="S154" s="89"/>
      <c r="T154" s="89"/>
      <c r="U154" s="89"/>
    </row>
    <row r="155">
      <c r="A155" s="89"/>
      <c r="B155" s="89"/>
      <c r="C155" s="91"/>
      <c r="D155" s="92"/>
      <c r="E155" s="89"/>
      <c r="F155" s="89"/>
      <c r="G155" s="89"/>
      <c r="H155" s="89"/>
      <c r="I155" s="89"/>
      <c r="J155" s="89"/>
      <c r="K155" s="89"/>
      <c r="L155" s="89"/>
      <c r="M155" s="89"/>
      <c r="N155" s="89"/>
      <c r="O155" s="89"/>
      <c r="P155" s="89"/>
      <c r="Q155" s="89"/>
      <c r="R155" s="89"/>
      <c r="S155" s="89"/>
      <c r="T155" s="89"/>
      <c r="U155" s="89"/>
    </row>
    <row r="156">
      <c r="A156" s="150"/>
      <c r="B156" s="154"/>
      <c r="C156" s="91"/>
      <c r="D156" s="91"/>
      <c r="E156" s="89"/>
      <c r="F156" s="89"/>
      <c r="G156" s="89"/>
      <c r="H156" s="89"/>
      <c r="I156" s="89"/>
      <c r="J156" s="89"/>
      <c r="K156" s="89"/>
      <c r="L156" s="89"/>
      <c r="M156" s="89"/>
      <c r="N156" s="89"/>
      <c r="O156" s="89"/>
      <c r="P156" s="89"/>
      <c r="Q156" s="89"/>
      <c r="R156" s="89"/>
      <c r="S156" s="89"/>
      <c r="T156" s="89"/>
      <c r="U156" s="89"/>
    </row>
    <row r="157">
      <c r="A157" s="89"/>
      <c r="B157" s="89"/>
      <c r="C157" s="91"/>
      <c r="D157" s="92"/>
      <c r="E157" s="89"/>
      <c r="F157" s="89"/>
      <c r="G157" s="89"/>
      <c r="H157" s="89"/>
      <c r="I157" s="89"/>
      <c r="J157" s="89"/>
      <c r="K157" s="89"/>
      <c r="L157" s="89"/>
      <c r="M157" s="89"/>
      <c r="N157" s="89"/>
      <c r="O157" s="89"/>
      <c r="P157" s="89"/>
      <c r="Q157" s="89"/>
      <c r="R157" s="89"/>
      <c r="S157" s="89"/>
      <c r="T157" s="89"/>
      <c r="U157" s="89"/>
    </row>
    <row r="158">
      <c r="A158" s="89"/>
      <c r="B158" s="89"/>
      <c r="C158" s="91"/>
      <c r="D158" s="92"/>
      <c r="E158" s="89"/>
      <c r="F158" s="89"/>
      <c r="G158" s="89"/>
      <c r="H158" s="89"/>
      <c r="I158" s="89"/>
      <c r="J158" s="89"/>
      <c r="K158" s="89"/>
      <c r="L158" s="89"/>
      <c r="M158" s="89"/>
      <c r="N158" s="89"/>
      <c r="O158" s="89"/>
      <c r="P158" s="89"/>
      <c r="Q158" s="89"/>
      <c r="R158" s="89"/>
      <c r="S158" s="89"/>
      <c r="T158" s="89"/>
      <c r="U158" s="89"/>
    </row>
    <row r="159">
      <c r="A159" s="89"/>
      <c r="B159" s="89"/>
      <c r="C159" s="91"/>
      <c r="D159" s="92"/>
      <c r="E159" s="89"/>
      <c r="F159" s="89"/>
      <c r="G159" s="89"/>
      <c r="H159" s="89"/>
      <c r="I159" s="89"/>
      <c r="J159" s="89"/>
      <c r="K159" s="89"/>
      <c r="L159" s="89"/>
      <c r="M159" s="89"/>
      <c r="N159" s="89"/>
      <c r="O159" s="89"/>
      <c r="P159" s="89"/>
      <c r="Q159" s="89"/>
      <c r="R159" s="89"/>
      <c r="S159" s="89"/>
      <c r="T159" s="89"/>
      <c r="U159" s="89"/>
    </row>
    <row r="160">
      <c r="A160" s="89"/>
      <c r="B160" s="89"/>
      <c r="C160" s="91"/>
      <c r="D160" s="92"/>
      <c r="E160" s="89"/>
      <c r="F160" s="89"/>
      <c r="G160" s="89"/>
      <c r="H160" s="89"/>
      <c r="I160" s="89"/>
      <c r="J160" s="89"/>
      <c r="K160" s="89"/>
      <c r="L160" s="89"/>
      <c r="M160" s="89"/>
      <c r="N160" s="89"/>
      <c r="O160" s="89"/>
      <c r="P160" s="89"/>
      <c r="Q160" s="89"/>
      <c r="R160" s="89"/>
      <c r="S160" s="89"/>
      <c r="T160" s="89"/>
      <c r="U160" s="89"/>
    </row>
    <row r="161">
      <c r="A161" s="89"/>
      <c r="B161" s="89"/>
      <c r="C161" s="91"/>
      <c r="D161" s="92"/>
      <c r="E161" s="89"/>
      <c r="F161" s="89"/>
      <c r="G161" s="89"/>
      <c r="H161" s="89"/>
      <c r="I161" s="89"/>
      <c r="J161" s="89"/>
      <c r="K161" s="89"/>
      <c r="L161" s="89"/>
      <c r="M161" s="89"/>
      <c r="N161" s="89"/>
      <c r="O161" s="89"/>
      <c r="P161" s="89"/>
      <c r="Q161" s="89"/>
      <c r="R161" s="89"/>
      <c r="S161" s="89"/>
      <c r="T161" s="89"/>
      <c r="U161" s="89"/>
    </row>
    <row r="162">
      <c r="A162" s="89"/>
      <c r="B162" s="89"/>
      <c r="C162" s="91"/>
      <c r="D162" s="92"/>
      <c r="E162" s="89"/>
      <c r="F162" s="89"/>
      <c r="G162" s="89"/>
      <c r="H162" s="89"/>
      <c r="I162" s="89"/>
      <c r="J162" s="89"/>
      <c r="K162" s="89"/>
      <c r="L162" s="89"/>
      <c r="M162" s="89"/>
      <c r="N162" s="89"/>
      <c r="O162" s="89"/>
      <c r="P162" s="89"/>
      <c r="Q162" s="89"/>
      <c r="R162" s="89"/>
      <c r="S162" s="89"/>
      <c r="T162" s="89"/>
      <c r="U162" s="89"/>
    </row>
    <row r="163">
      <c r="A163" s="89"/>
      <c r="B163" s="89"/>
      <c r="C163" s="91"/>
      <c r="D163" s="92"/>
      <c r="E163" s="89"/>
      <c r="F163" s="89"/>
      <c r="G163" s="89"/>
      <c r="H163" s="89"/>
      <c r="I163" s="89"/>
      <c r="J163" s="89"/>
      <c r="K163" s="89"/>
      <c r="L163" s="89"/>
      <c r="M163" s="89"/>
      <c r="N163" s="89"/>
      <c r="O163" s="89"/>
      <c r="P163" s="89"/>
      <c r="Q163" s="89"/>
      <c r="R163" s="89"/>
      <c r="S163" s="89"/>
      <c r="T163" s="89"/>
      <c r="U163" s="89"/>
    </row>
    <row r="164">
      <c r="A164" s="89"/>
      <c r="B164" s="89"/>
      <c r="C164" s="91"/>
      <c r="D164" s="92"/>
      <c r="E164" s="89"/>
      <c r="F164" s="89"/>
      <c r="G164" s="89"/>
      <c r="H164" s="89"/>
      <c r="I164" s="89"/>
      <c r="J164" s="89"/>
      <c r="K164" s="89"/>
      <c r="L164" s="89"/>
      <c r="M164" s="89"/>
      <c r="N164" s="89"/>
      <c r="O164" s="89"/>
      <c r="P164" s="89"/>
      <c r="Q164" s="89"/>
      <c r="R164" s="89"/>
      <c r="S164" s="89"/>
      <c r="T164" s="89"/>
      <c r="U164" s="89"/>
    </row>
    <row r="165">
      <c r="A165" s="89"/>
      <c r="B165" s="89"/>
      <c r="C165" s="91"/>
      <c r="D165" s="92"/>
      <c r="E165" s="89"/>
      <c r="F165" s="89"/>
      <c r="G165" s="89"/>
      <c r="H165" s="89"/>
      <c r="I165" s="89"/>
      <c r="J165" s="89"/>
      <c r="K165" s="89"/>
      <c r="L165" s="89"/>
      <c r="M165" s="89"/>
      <c r="N165" s="89"/>
      <c r="O165" s="89"/>
      <c r="P165" s="89"/>
      <c r="Q165" s="89"/>
      <c r="R165" s="89"/>
      <c r="S165" s="89"/>
      <c r="T165" s="89"/>
      <c r="U165" s="89"/>
    </row>
    <row r="166">
      <c r="A166" s="89"/>
      <c r="B166" s="89"/>
      <c r="C166" s="91"/>
      <c r="D166" s="92"/>
      <c r="E166" s="89"/>
      <c r="F166" s="89"/>
      <c r="G166" s="89"/>
      <c r="H166" s="89"/>
      <c r="I166" s="89"/>
      <c r="J166" s="89"/>
      <c r="K166" s="89"/>
      <c r="L166" s="89"/>
      <c r="M166" s="89"/>
      <c r="N166" s="89"/>
      <c r="O166" s="89"/>
      <c r="P166" s="89"/>
      <c r="Q166" s="89"/>
      <c r="R166" s="89"/>
      <c r="S166" s="89"/>
      <c r="T166" s="89"/>
      <c r="U166" s="89"/>
    </row>
    <row r="167">
      <c r="A167" s="89"/>
      <c r="B167" s="89"/>
      <c r="C167" s="91"/>
      <c r="D167" s="92"/>
      <c r="E167" s="89"/>
      <c r="F167" s="89"/>
      <c r="G167" s="89"/>
      <c r="H167" s="89"/>
      <c r="I167" s="89"/>
      <c r="J167" s="89"/>
      <c r="K167" s="89"/>
      <c r="L167" s="89"/>
      <c r="M167" s="89"/>
      <c r="N167" s="89"/>
      <c r="O167" s="89"/>
      <c r="P167" s="89"/>
      <c r="Q167" s="89"/>
      <c r="R167" s="89"/>
      <c r="S167" s="89"/>
      <c r="T167" s="89"/>
      <c r="U167" s="89"/>
    </row>
    <row r="168">
      <c r="A168" s="89"/>
      <c r="B168" s="89"/>
      <c r="C168" s="91"/>
      <c r="D168" s="92"/>
      <c r="E168" s="89"/>
      <c r="F168" s="89"/>
      <c r="G168" s="89"/>
      <c r="H168" s="89"/>
      <c r="I168" s="89"/>
      <c r="J168" s="89"/>
      <c r="K168" s="89"/>
      <c r="L168" s="89"/>
      <c r="M168" s="89"/>
      <c r="N168" s="89"/>
      <c r="O168" s="89"/>
      <c r="P168" s="89"/>
      <c r="Q168" s="89"/>
      <c r="R168" s="89"/>
      <c r="S168" s="89"/>
      <c r="T168" s="89"/>
      <c r="U168" s="89"/>
    </row>
    <row r="169">
      <c r="A169" s="89"/>
      <c r="B169" s="89"/>
      <c r="C169" s="91"/>
      <c r="D169" s="92"/>
      <c r="E169" s="89"/>
      <c r="F169" s="89"/>
      <c r="G169" s="89"/>
      <c r="H169" s="89"/>
      <c r="I169" s="89"/>
      <c r="J169" s="89"/>
      <c r="K169" s="89"/>
      <c r="L169" s="89"/>
      <c r="M169" s="89"/>
      <c r="N169" s="89"/>
      <c r="O169" s="89"/>
      <c r="P169" s="89"/>
      <c r="Q169" s="89"/>
      <c r="R169" s="89"/>
      <c r="S169" s="89"/>
      <c r="T169" s="89"/>
      <c r="U169" s="89"/>
    </row>
    <row r="170">
      <c r="A170" s="89"/>
      <c r="B170" s="89"/>
      <c r="C170" s="91"/>
      <c r="D170" s="92"/>
      <c r="E170" s="89"/>
      <c r="F170" s="89"/>
      <c r="G170" s="89"/>
      <c r="H170" s="89"/>
      <c r="I170" s="89"/>
      <c r="J170" s="89"/>
      <c r="K170" s="89"/>
      <c r="L170" s="89"/>
      <c r="M170" s="89"/>
      <c r="N170" s="89"/>
      <c r="O170" s="89"/>
      <c r="P170" s="89"/>
      <c r="Q170" s="89"/>
      <c r="R170" s="89"/>
      <c r="S170" s="89"/>
      <c r="T170" s="89"/>
      <c r="U170" s="89"/>
    </row>
    <row r="171">
      <c r="A171" s="89"/>
      <c r="B171" s="89"/>
      <c r="C171" s="91"/>
      <c r="D171" s="92"/>
      <c r="E171" s="89"/>
      <c r="F171" s="89"/>
      <c r="G171" s="89"/>
      <c r="H171" s="89"/>
      <c r="I171" s="89"/>
      <c r="J171" s="89"/>
      <c r="K171" s="89"/>
      <c r="L171" s="89"/>
      <c r="M171" s="89"/>
      <c r="N171" s="89"/>
      <c r="O171" s="89"/>
      <c r="P171" s="89"/>
      <c r="Q171" s="89"/>
      <c r="R171" s="89"/>
      <c r="S171" s="89"/>
      <c r="T171" s="89"/>
      <c r="U171" s="89"/>
    </row>
    <row r="172">
      <c r="A172" s="89"/>
      <c r="B172" s="89"/>
      <c r="C172" s="91"/>
      <c r="D172" s="92"/>
      <c r="E172" s="89"/>
      <c r="F172" s="89"/>
      <c r="G172" s="89"/>
      <c r="H172" s="89"/>
      <c r="I172" s="89"/>
      <c r="J172" s="89"/>
      <c r="K172" s="89"/>
      <c r="L172" s="89"/>
      <c r="M172" s="89"/>
      <c r="N172" s="89"/>
      <c r="O172" s="89"/>
      <c r="P172" s="89"/>
      <c r="Q172" s="89"/>
      <c r="R172" s="89"/>
      <c r="S172" s="89"/>
      <c r="T172" s="89"/>
      <c r="U172" s="89"/>
    </row>
    <row r="173">
      <c r="A173" s="89"/>
      <c r="B173" s="89"/>
      <c r="C173" s="91"/>
      <c r="D173" s="92"/>
      <c r="E173" s="89"/>
      <c r="F173" s="89"/>
      <c r="G173" s="89"/>
      <c r="H173" s="89"/>
      <c r="I173" s="89"/>
      <c r="J173" s="89"/>
      <c r="K173" s="89"/>
      <c r="L173" s="89"/>
      <c r="M173" s="89"/>
      <c r="N173" s="89"/>
      <c r="O173" s="89"/>
      <c r="P173" s="89"/>
      <c r="Q173" s="89"/>
      <c r="R173" s="89"/>
      <c r="S173" s="89"/>
      <c r="T173" s="89"/>
      <c r="U173" s="89"/>
    </row>
    <row r="174">
      <c r="A174" s="89"/>
      <c r="B174" s="89"/>
      <c r="C174" s="91"/>
      <c r="D174" s="92"/>
      <c r="E174" s="89"/>
      <c r="F174" s="89"/>
      <c r="G174" s="89"/>
      <c r="H174" s="89"/>
      <c r="I174" s="89"/>
      <c r="J174" s="89"/>
      <c r="K174" s="89"/>
      <c r="L174" s="89"/>
      <c r="M174" s="89"/>
      <c r="N174" s="89"/>
      <c r="O174" s="89"/>
      <c r="P174" s="89"/>
      <c r="Q174" s="89"/>
      <c r="R174" s="89"/>
      <c r="S174" s="89"/>
      <c r="T174" s="89"/>
      <c r="U174" s="89"/>
    </row>
    <row r="175">
      <c r="A175" s="89"/>
      <c r="B175" s="89"/>
      <c r="C175" s="91"/>
      <c r="D175" s="92"/>
      <c r="E175" s="89"/>
      <c r="F175" s="89"/>
      <c r="G175" s="89"/>
      <c r="H175" s="89"/>
      <c r="I175" s="89"/>
      <c r="J175" s="89"/>
      <c r="K175" s="89"/>
      <c r="L175" s="89"/>
      <c r="M175" s="89"/>
      <c r="N175" s="89"/>
      <c r="O175" s="89"/>
      <c r="P175" s="89"/>
      <c r="Q175" s="89"/>
      <c r="R175" s="89"/>
      <c r="S175" s="89"/>
      <c r="T175" s="89"/>
      <c r="U175" s="89"/>
    </row>
    <row r="176">
      <c r="A176" s="89"/>
      <c r="B176" s="89"/>
      <c r="C176" s="91"/>
      <c r="D176" s="92"/>
      <c r="E176" s="89"/>
      <c r="F176" s="89"/>
      <c r="G176" s="89"/>
      <c r="H176" s="89"/>
      <c r="I176" s="89"/>
      <c r="J176" s="89"/>
      <c r="K176" s="89"/>
      <c r="L176" s="89"/>
      <c r="M176" s="89"/>
      <c r="N176" s="89"/>
      <c r="O176" s="89"/>
      <c r="P176" s="89"/>
      <c r="Q176" s="89"/>
      <c r="R176" s="89"/>
      <c r="S176" s="89"/>
      <c r="T176" s="89"/>
      <c r="U176" s="89"/>
    </row>
    <row r="177">
      <c r="A177" s="89"/>
      <c r="B177" s="89"/>
      <c r="C177" s="91"/>
      <c r="D177" s="92"/>
      <c r="E177" s="89"/>
      <c r="F177" s="89"/>
      <c r="G177" s="89"/>
      <c r="H177" s="89"/>
      <c r="I177" s="89"/>
      <c r="J177" s="89"/>
      <c r="K177" s="89"/>
      <c r="L177" s="89"/>
      <c r="M177" s="89"/>
      <c r="N177" s="89"/>
      <c r="O177" s="89"/>
      <c r="P177" s="89"/>
      <c r="Q177" s="89"/>
      <c r="R177" s="89"/>
      <c r="S177" s="89"/>
      <c r="T177" s="89"/>
      <c r="U177" s="89"/>
    </row>
    <row r="178">
      <c r="A178" s="89"/>
      <c r="B178" s="89"/>
      <c r="C178" s="91"/>
      <c r="D178" s="92"/>
      <c r="E178" s="89"/>
      <c r="F178" s="89"/>
      <c r="G178" s="89"/>
      <c r="H178" s="89"/>
      <c r="I178" s="89"/>
      <c r="J178" s="89"/>
      <c r="K178" s="89"/>
      <c r="L178" s="89"/>
      <c r="M178" s="89"/>
      <c r="N178" s="89"/>
      <c r="O178" s="89"/>
      <c r="P178" s="89"/>
      <c r="Q178" s="89"/>
      <c r="R178" s="89"/>
      <c r="S178" s="89"/>
      <c r="T178" s="89"/>
      <c r="U178" s="89"/>
    </row>
    <row r="179">
      <c r="A179" s="89"/>
      <c r="B179" s="89"/>
      <c r="C179" s="91"/>
      <c r="D179" s="92"/>
      <c r="E179" s="89"/>
      <c r="F179" s="89"/>
      <c r="G179" s="89"/>
      <c r="H179" s="89"/>
      <c r="I179" s="89"/>
      <c r="J179" s="89"/>
      <c r="K179" s="89"/>
      <c r="L179" s="89"/>
      <c r="M179" s="89"/>
      <c r="N179" s="89"/>
      <c r="O179" s="89"/>
      <c r="P179" s="89"/>
      <c r="Q179" s="89"/>
      <c r="R179" s="89"/>
      <c r="S179" s="89"/>
      <c r="T179" s="89"/>
      <c r="U179" s="89"/>
    </row>
    <row r="180">
      <c r="A180" s="89"/>
      <c r="B180" s="89"/>
      <c r="C180" s="91"/>
      <c r="D180" s="92"/>
      <c r="E180" s="89"/>
      <c r="F180" s="89"/>
      <c r="G180" s="89"/>
      <c r="H180" s="89"/>
      <c r="I180" s="89"/>
      <c r="J180" s="89"/>
      <c r="K180" s="89"/>
      <c r="L180" s="89"/>
      <c r="M180" s="89"/>
      <c r="N180" s="89"/>
      <c r="O180" s="89"/>
      <c r="P180" s="89"/>
      <c r="Q180" s="89"/>
      <c r="R180" s="89"/>
      <c r="S180" s="89"/>
      <c r="T180" s="89"/>
      <c r="U180" s="89"/>
    </row>
    <row r="181">
      <c r="A181" s="89"/>
      <c r="B181" s="89"/>
      <c r="C181" s="91"/>
      <c r="D181" s="92"/>
      <c r="E181" s="89"/>
      <c r="F181" s="89"/>
      <c r="G181" s="89"/>
      <c r="H181" s="89"/>
      <c r="I181" s="89"/>
      <c r="J181" s="89"/>
      <c r="K181" s="89"/>
      <c r="L181" s="89"/>
      <c r="M181" s="89"/>
      <c r="N181" s="89"/>
      <c r="O181" s="89"/>
      <c r="P181" s="89"/>
      <c r="Q181" s="89"/>
      <c r="R181" s="89"/>
      <c r="S181" s="89"/>
      <c r="T181" s="89"/>
      <c r="U181" s="89"/>
    </row>
    <row r="182">
      <c r="A182" s="89"/>
      <c r="B182" s="89"/>
      <c r="C182" s="91"/>
      <c r="D182" s="92"/>
      <c r="E182" s="89"/>
      <c r="F182" s="89"/>
      <c r="G182" s="89"/>
      <c r="H182" s="89"/>
      <c r="I182" s="89"/>
      <c r="J182" s="89"/>
      <c r="K182" s="89"/>
      <c r="L182" s="89"/>
      <c r="M182" s="89"/>
      <c r="N182" s="89"/>
      <c r="O182" s="89"/>
      <c r="P182" s="89"/>
      <c r="Q182" s="89"/>
      <c r="R182" s="89"/>
      <c r="S182" s="89"/>
      <c r="T182" s="89"/>
      <c r="U182" s="89"/>
    </row>
    <row r="183">
      <c r="A183" s="89"/>
      <c r="B183" s="89"/>
      <c r="C183" s="91"/>
      <c r="D183" s="92"/>
      <c r="E183" s="89"/>
      <c r="F183" s="89"/>
      <c r="G183" s="89"/>
      <c r="H183" s="89"/>
      <c r="I183" s="89"/>
      <c r="J183" s="89"/>
      <c r="K183" s="89"/>
      <c r="L183" s="89"/>
      <c r="M183" s="89"/>
      <c r="N183" s="89"/>
      <c r="O183" s="89"/>
      <c r="P183" s="89"/>
      <c r="Q183" s="89"/>
      <c r="R183" s="89"/>
      <c r="S183" s="89"/>
      <c r="T183" s="89"/>
      <c r="U183" s="89"/>
    </row>
    <row r="184">
      <c r="A184" s="89"/>
      <c r="B184" s="89"/>
      <c r="C184" s="91"/>
      <c r="D184" s="92"/>
      <c r="E184" s="89"/>
      <c r="F184" s="89"/>
      <c r="G184" s="89"/>
      <c r="H184" s="89"/>
      <c r="I184" s="89"/>
      <c r="J184" s="89"/>
      <c r="K184" s="89"/>
      <c r="L184" s="89"/>
      <c r="M184" s="89"/>
      <c r="N184" s="89"/>
      <c r="O184" s="89"/>
      <c r="P184" s="89"/>
      <c r="Q184" s="89"/>
      <c r="R184" s="89"/>
      <c r="S184" s="89"/>
      <c r="T184" s="89"/>
      <c r="U184" s="89"/>
    </row>
    <row r="185">
      <c r="A185" s="89"/>
      <c r="B185" s="89"/>
      <c r="C185" s="91"/>
      <c r="D185" s="92"/>
      <c r="E185" s="89"/>
      <c r="F185" s="89"/>
      <c r="G185" s="89"/>
      <c r="H185" s="89"/>
      <c r="I185" s="89"/>
      <c r="J185" s="89"/>
      <c r="K185" s="89"/>
      <c r="L185" s="89"/>
      <c r="M185" s="89"/>
      <c r="N185" s="89"/>
      <c r="O185" s="89"/>
      <c r="P185" s="89"/>
      <c r="Q185" s="89"/>
      <c r="R185" s="89"/>
      <c r="S185" s="89"/>
      <c r="T185" s="89"/>
      <c r="U185" s="89"/>
    </row>
    <row r="186">
      <c r="A186" s="89"/>
      <c r="B186" s="89"/>
      <c r="C186" s="91"/>
      <c r="D186" s="92"/>
      <c r="E186" s="89"/>
      <c r="F186" s="89"/>
      <c r="G186" s="89"/>
      <c r="H186" s="89"/>
      <c r="I186" s="89"/>
      <c r="J186" s="89"/>
      <c r="K186" s="89"/>
      <c r="L186" s="89"/>
      <c r="M186" s="89"/>
      <c r="N186" s="89"/>
      <c r="O186" s="89"/>
      <c r="P186" s="89"/>
      <c r="Q186" s="89"/>
      <c r="R186" s="89"/>
      <c r="S186" s="89"/>
      <c r="T186" s="89"/>
      <c r="U186" s="89"/>
    </row>
    <row r="187">
      <c r="A187" s="89"/>
      <c r="B187" s="89"/>
      <c r="C187" s="91"/>
      <c r="D187" s="92"/>
      <c r="E187" s="89"/>
      <c r="F187" s="89"/>
      <c r="G187" s="89"/>
      <c r="H187" s="89"/>
      <c r="I187" s="89"/>
      <c r="J187" s="89"/>
      <c r="K187" s="89"/>
      <c r="L187" s="89"/>
      <c r="M187" s="89"/>
      <c r="N187" s="89"/>
      <c r="O187" s="89"/>
      <c r="P187" s="89"/>
      <c r="Q187" s="89"/>
      <c r="R187" s="89"/>
      <c r="S187" s="89"/>
      <c r="T187" s="89"/>
      <c r="U187" s="89"/>
    </row>
    <row r="188">
      <c r="A188" s="89"/>
      <c r="B188" s="89"/>
      <c r="C188" s="91"/>
      <c r="D188" s="92"/>
      <c r="E188" s="89"/>
      <c r="F188" s="89"/>
      <c r="G188" s="89"/>
      <c r="H188" s="89"/>
      <c r="I188" s="89"/>
      <c r="J188" s="89"/>
      <c r="K188" s="89"/>
      <c r="L188" s="89"/>
      <c r="M188" s="89"/>
      <c r="N188" s="89"/>
      <c r="O188" s="89"/>
      <c r="P188" s="89"/>
      <c r="Q188" s="89"/>
      <c r="R188" s="89"/>
      <c r="S188" s="89"/>
      <c r="T188" s="89"/>
      <c r="U188" s="89"/>
    </row>
    <row r="189">
      <c r="A189" s="89"/>
      <c r="B189" s="89"/>
      <c r="C189" s="91"/>
      <c r="D189" s="92"/>
      <c r="E189" s="89"/>
      <c r="F189" s="89"/>
      <c r="G189" s="89"/>
      <c r="H189" s="89"/>
      <c r="I189" s="89"/>
      <c r="J189" s="89"/>
      <c r="K189" s="89"/>
      <c r="L189" s="89"/>
      <c r="M189" s="89"/>
      <c r="N189" s="89"/>
      <c r="O189" s="89"/>
      <c r="P189" s="89"/>
      <c r="Q189" s="89"/>
      <c r="R189" s="89"/>
      <c r="S189" s="89"/>
      <c r="T189" s="89"/>
      <c r="U189" s="89"/>
    </row>
    <row r="190">
      <c r="A190" s="89"/>
      <c r="B190" s="89"/>
      <c r="C190" s="91"/>
      <c r="D190" s="92"/>
      <c r="E190" s="89"/>
      <c r="F190" s="89"/>
      <c r="G190" s="89"/>
      <c r="H190" s="89"/>
      <c r="I190" s="89"/>
      <c r="J190" s="89"/>
      <c r="K190" s="89"/>
      <c r="L190" s="89"/>
      <c r="M190" s="89"/>
      <c r="N190" s="89"/>
      <c r="O190" s="89"/>
      <c r="P190" s="89"/>
      <c r="Q190" s="89"/>
      <c r="R190" s="89"/>
      <c r="S190" s="89"/>
      <c r="T190" s="89"/>
      <c r="U190" s="89"/>
    </row>
    <row r="191">
      <c r="A191" s="89"/>
      <c r="B191" s="89"/>
      <c r="C191" s="91"/>
      <c r="D191" s="92"/>
      <c r="E191" s="89"/>
      <c r="F191" s="89"/>
      <c r="G191" s="89"/>
      <c r="H191" s="89"/>
      <c r="I191" s="89"/>
      <c r="J191" s="89"/>
      <c r="K191" s="89"/>
      <c r="L191" s="89"/>
      <c r="M191" s="89"/>
      <c r="N191" s="89"/>
      <c r="O191" s="89"/>
      <c r="P191" s="89"/>
      <c r="Q191" s="89"/>
      <c r="R191" s="89"/>
      <c r="S191" s="89"/>
      <c r="T191" s="89"/>
      <c r="U191" s="89"/>
    </row>
    <row r="192">
      <c r="A192" s="89"/>
      <c r="B192" s="89"/>
      <c r="C192" s="91"/>
      <c r="D192" s="92"/>
      <c r="E192" s="89"/>
      <c r="F192" s="89"/>
      <c r="G192" s="89"/>
      <c r="H192" s="89"/>
      <c r="I192" s="89"/>
      <c r="J192" s="89"/>
      <c r="K192" s="89"/>
      <c r="L192" s="89"/>
      <c r="M192" s="89"/>
      <c r="N192" s="89"/>
      <c r="O192" s="89"/>
      <c r="P192" s="89"/>
      <c r="Q192" s="89"/>
      <c r="R192" s="89"/>
      <c r="S192" s="89"/>
      <c r="T192" s="89"/>
      <c r="U192" s="89"/>
    </row>
    <row r="193">
      <c r="A193" s="89"/>
      <c r="B193" s="89"/>
      <c r="C193" s="91"/>
      <c r="D193" s="92"/>
      <c r="E193" s="89"/>
      <c r="F193" s="89"/>
      <c r="G193" s="89"/>
      <c r="H193" s="89"/>
      <c r="I193" s="89"/>
      <c r="J193" s="89"/>
      <c r="K193" s="89"/>
      <c r="L193" s="89"/>
      <c r="M193" s="89"/>
      <c r="N193" s="89"/>
      <c r="O193" s="89"/>
      <c r="P193" s="89"/>
      <c r="Q193" s="89"/>
      <c r="R193" s="89"/>
      <c r="S193" s="89"/>
      <c r="T193" s="89"/>
      <c r="U193" s="89"/>
    </row>
    <row r="194">
      <c r="A194" s="89"/>
      <c r="B194" s="89"/>
      <c r="C194" s="91"/>
      <c r="D194" s="92"/>
      <c r="E194" s="89"/>
      <c r="F194" s="89"/>
      <c r="G194" s="89"/>
      <c r="H194" s="89"/>
      <c r="I194" s="89"/>
      <c r="J194" s="89"/>
      <c r="K194" s="89"/>
      <c r="L194" s="89"/>
      <c r="M194" s="89"/>
      <c r="N194" s="89"/>
      <c r="O194" s="89"/>
      <c r="P194" s="89"/>
      <c r="Q194" s="89"/>
      <c r="R194" s="89"/>
      <c r="S194" s="89"/>
      <c r="T194" s="89"/>
      <c r="U194" s="89"/>
    </row>
    <row r="195">
      <c r="A195" s="89"/>
      <c r="B195" s="89"/>
      <c r="C195" s="91"/>
      <c r="D195" s="92"/>
      <c r="E195" s="89"/>
      <c r="F195" s="89"/>
      <c r="G195" s="89"/>
      <c r="H195" s="89"/>
      <c r="I195" s="89"/>
      <c r="J195" s="89"/>
      <c r="K195" s="89"/>
      <c r="L195" s="89"/>
      <c r="M195" s="89"/>
      <c r="N195" s="89"/>
      <c r="O195" s="89"/>
      <c r="P195" s="89"/>
      <c r="Q195" s="89"/>
      <c r="R195" s="89"/>
      <c r="S195" s="89"/>
      <c r="T195" s="89"/>
      <c r="U195" s="89"/>
    </row>
    <row r="196">
      <c r="A196" s="89"/>
      <c r="B196" s="89"/>
      <c r="C196" s="91"/>
      <c r="D196" s="92"/>
      <c r="E196" s="89"/>
      <c r="F196" s="89"/>
      <c r="G196" s="89"/>
      <c r="H196" s="89"/>
      <c r="I196" s="89"/>
      <c r="J196" s="89"/>
      <c r="K196" s="89"/>
      <c r="L196" s="89"/>
      <c r="M196" s="89"/>
      <c r="N196" s="89"/>
      <c r="O196" s="89"/>
      <c r="P196" s="89"/>
      <c r="Q196" s="89"/>
      <c r="R196" s="89"/>
      <c r="S196" s="89"/>
      <c r="T196" s="89"/>
      <c r="U196" s="89"/>
    </row>
    <row r="197">
      <c r="A197" s="89"/>
      <c r="B197" s="89"/>
      <c r="C197" s="91"/>
      <c r="D197" s="92"/>
      <c r="E197" s="89"/>
      <c r="F197" s="89"/>
      <c r="G197" s="89"/>
      <c r="H197" s="89"/>
      <c r="I197" s="89"/>
      <c r="J197" s="89"/>
      <c r="K197" s="89"/>
      <c r="L197" s="89"/>
      <c r="M197" s="89"/>
      <c r="N197" s="89"/>
      <c r="O197" s="89"/>
      <c r="P197" s="89"/>
      <c r="Q197" s="89"/>
      <c r="R197" s="89"/>
      <c r="S197" s="89"/>
      <c r="T197" s="89"/>
      <c r="U197" s="89"/>
    </row>
    <row r="198">
      <c r="A198" s="89"/>
      <c r="B198" s="89"/>
      <c r="C198" s="91"/>
      <c r="D198" s="92"/>
      <c r="E198" s="89"/>
      <c r="F198" s="89"/>
      <c r="G198" s="89"/>
      <c r="H198" s="89"/>
      <c r="I198" s="89"/>
      <c r="J198" s="89"/>
      <c r="K198" s="89"/>
      <c r="L198" s="89"/>
      <c r="M198" s="89"/>
      <c r="N198" s="89"/>
      <c r="O198" s="89"/>
      <c r="P198" s="89"/>
      <c r="Q198" s="89"/>
      <c r="R198" s="89"/>
      <c r="S198" s="89"/>
      <c r="T198" s="89"/>
      <c r="U198" s="89"/>
    </row>
    <row r="199">
      <c r="A199" s="89"/>
      <c r="B199" s="89"/>
      <c r="C199" s="91"/>
      <c r="D199" s="92"/>
      <c r="E199" s="89"/>
      <c r="F199" s="89"/>
      <c r="G199" s="89"/>
      <c r="H199" s="89"/>
      <c r="I199" s="89"/>
      <c r="J199" s="89"/>
      <c r="K199" s="89"/>
      <c r="L199" s="89"/>
      <c r="M199" s="89"/>
      <c r="N199" s="89"/>
      <c r="O199" s="89"/>
      <c r="P199" s="89"/>
      <c r="Q199" s="89"/>
      <c r="R199" s="89"/>
      <c r="S199" s="89"/>
      <c r="T199" s="89"/>
      <c r="U199" s="89"/>
    </row>
    <row r="200">
      <c r="A200" s="89"/>
      <c r="B200" s="89"/>
      <c r="C200" s="91"/>
      <c r="D200" s="92"/>
      <c r="E200" s="89"/>
      <c r="F200" s="89"/>
      <c r="G200" s="89"/>
      <c r="H200" s="89"/>
      <c r="I200" s="89"/>
      <c r="J200" s="89"/>
      <c r="K200" s="89"/>
      <c r="L200" s="89"/>
      <c r="M200" s="89"/>
      <c r="N200" s="89"/>
      <c r="O200" s="89"/>
      <c r="P200" s="89"/>
      <c r="Q200" s="89"/>
      <c r="R200" s="89"/>
      <c r="S200" s="89"/>
      <c r="T200" s="89"/>
      <c r="U200" s="89"/>
    </row>
    <row r="201">
      <c r="A201" s="89"/>
      <c r="B201" s="89"/>
      <c r="C201" s="91"/>
      <c r="D201" s="92"/>
      <c r="E201" s="89"/>
      <c r="F201" s="89"/>
      <c r="G201" s="89"/>
      <c r="H201" s="89"/>
      <c r="I201" s="89"/>
      <c r="J201" s="89"/>
      <c r="K201" s="89"/>
      <c r="L201" s="89"/>
      <c r="M201" s="89"/>
      <c r="N201" s="89"/>
      <c r="O201" s="89"/>
      <c r="P201" s="89"/>
      <c r="Q201" s="89"/>
      <c r="R201" s="89"/>
      <c r="S201" s="89"/>
      <c r="T201" s="89"/>
      <c r="U201" s="89"/>
    </row>
    <row r="202">
      <c r="A202" s="89"/>
      <c r="B202" s="89"/>
      <c r="C202" s="91"/>
      <c r="D202" s="92"/>
      <c r="E202" s="89"/>
      <c r="F202" s="89"/>
      <c r="G202" s="89"/>
      <c r="H202" s="89"/>
      <c r="I202" s="89"/>
      <c r="J202" s="89"/>
      <c r="K202" s="89"/>
      <c r="L202" s="89"/>
      <c r="M202" s="89"/>
      <c r="N202" s="89"/>
      <c r="O202" s="89"/>
      <c r="P202" s="89"/>
      <c r="Q202" s="89"/>
      <c r="R202" s="89"/>
      <c r="S202" s="89"/>
      <c r="T202" s="89"/>
      <c r="U202" s="89"/>
    </row>
    <row r="203">
      <c r="A203" s="89"/>
      <c r="B203" s="89"/>
      <c r="C203" s="91"/>
      <c r="D203" s="92"/>
      <c r="E203" s="89"/>
      <c r="F203" s="89"/>
      <c r="G203" s="89"/>
      <c r="H203" s="89"/>
      <c r="I203" s="89"/>
      <c r="J203" s="89"/>
      <c r="K203" s="89"/>
      <c r="L203" s="89"/>
      <c r="M203" s="89"/>
      <c r="N203" s="89"/>
      <c r="O203" s="89"/>
      <c r="P203" s="89"/>
      <c r="Q203" s="89"/>
      <c r="R203" s="89"/>
      <c r="S203" s="89"/>
      <c r="T203" s="89"/>
      <c r="U203" s="89"/>
    </row>
    <row r="204">
      <c r="A204" s="89"/>
      <c r="B204" s="89"/>
      <c r="C204" s="91"/>
      <c r="D204" s="92"/>
      <c r="E204" s="89"/>
      <c r="F204" s="89"/>
      <c r="G204" s="89"/>
      <c r="H204" s="89"/>
      <c r="I204" s="89"/>
      <c r="J204" s="89"/>
      <c r="K204" s="89"/>
      <c r="L204" s="89"/>
      <c r="M204" s="89"/>
      <c r="N204" s="89"/>
      <c r="O204" s="89"/>
      <c r="P204" s="89"/>
      <c r="Q204" s="89"/>
      <c r="R204" s="89"/>
      <c r="S204" s="89"/>
      <c r="T204" s="89"/>
      <c r="U204" s="89"/>
    </row>
    <row r="205">
      <c r="A205" s="89"/>
      <c r="B205" s="89"/>
      <c r="C205" s="91"/>
      <c r="D205" s="92"/>
      <c r="E205" s="89"/>
      <c r="F205" s="89"/>
      <c r="G205" s="89"/>
      <c r="H205" s="89"/>
      <c r="I205" s="89"/>
      <c r="J205" s="89"/>
      <c r="K205" s="89"/>
      <c r="L205" s="89"/>
      <c r="M205" s="89"/>
      <c r="N205" s="89"/>
      <c r="O205" s="89"/>
      <c r="P205" s="89"/>
      <c r="Q205" s="89"/>
      <c r="R205" s="89"/>
      <c r="S205" s="89"/>
      <c r="T205" s="89"/>
      <c r="U205" s="89"/>
    </row>
    <row r="206">
      <c r="A206" s="89"/>
      <c r="B206" s="89"/>
      <c r="C206" s="91"/>
      <c r="D206" s="92"/>
      <c r="E206" s="89"/>
      <c r="F206" s="89"/>
      <c r="G206" s="89"/>
      <c r="H206" s="89"/>
      <c r="I206" s="89"/>
      <c r="J206" s="89"/>
      <c r="K206" s="89"/>
      <c r="L206" s="89"/>
      <c r="M206" s="89"/>
      <c r="N206" s="89"/>
      <c r="O206" s="89"/>
      <c r="P206" s="89"/>
      <c r="Q206" s="89"/>
      <c r="R206" s="89"/>
      <c r="S206" s="89"/>
      <c r="T206" s="89"/>
      <c r="U206" s="89"/>
    </row>
    <row r="207">
      <c r="A207" s="89"/>
      <c r="B207" s="89"/>
      <c r="C207" s="91"/>
      <c r="D207" s="92"/>
      <c r="E207" s="89"/>
      <c r="F207" s="89"/>
      <c r="G207" s="89"/>
      <c r="H207" s="89"/>
      <c r="I207" s="89"/>
      <c r="J207" s="89"/>
      <c r="K207" s="89"/>
      <c r="L207" s="89"/>
      <c r="M207" s="89"/>
      <c r="N207" s="89"/>
      <c r="O207" s="89"/>
      <c r="P207" s="89"/>
      <c r="Q207" s="89"/>
      <c r="R207" s="89"/>
      <c r="S207" s="89"/>
      <c r="T207" s="89"/>
      <c r="U207" s="89"/>
    </row>
    <row r="208">
      <c r="A208" s="89"/>
      <c r="B208" s="89"/>
      <c r="C208" s="91"/>
      <c r="D208" s="92"/>
      <c r="E208" s="89"/>
      <c r="F208" s="89"/>
      <c r="G208" s="89"/>
      <c r="H208" s="89"/>
      <c r="I208" s="89"/>
      <c r="J208" s="89"/>
      <c r="K208" s="89"/>
      <c r="L208" s="89"/>
      <c r="M208" s="89"/>
      <c r="N208" s="89"/>
      <c r="O208" s="89"/>
      <c r="P208" s="89"/>
      <c r="Q208" s="89"/>
      <c r="R208" s="89"/>
      <c r="S208" s="89"/>
      <c r="T208" s="89"/>
      <c r="U208" s="89"/>
    </row>
    <row r="209">
      <c r="A209" s="89"/>
      <c r="B209" s="89"/>
      <c r="C209" s="91"/>
      <c r="D209" s="92"/>
      <c r="E209" s="89"/>
      <c r="F209" s="89"/>
      <c r="G209" s="89"/>
      <c r="H209" s="89"/>
      <c r="I209" s="89"/>
      <c r="J209" s="89"/>
      <c r="K209" s="89"/>
      <c r="L209" s="89"/>
      <c r="M209" s="89"/>
      <c r="N209" s="89"/>
      <c r="O209" s="89"/>
      <c r="P209" s="89"/>
      <c r="Q209" s="89"/>
      <c r="R209" s="89"/>
      <c r="S209" s="89"/>
      <c r="T209" s="89"/>
      <c r="U209" s="89"/>
    </row>
    <row r="210">
      <c r="A210" s="89"/>
      <c r="B210" s="89"/>
      <c r="C210" s="91"/>
      <c r="D210" s="92"/>
      <c r="E210" s="89"/>
      <c r="F210" s="89"/>
      <c r="G210" s="89"/>
      <c r="H210" s="89"/>
      <c r="I210" s="89"/>
      <c r="J210" s="89"/>
      <c r="K210" s="89"/>
      <c r="L210" s="89"/>
      <c r="M210" s="89"/>
      <c r="N210" s="89"/>
      <c r="O210" s="89"/>
      <c r="P210" s="89"/>
      <c r="Q210" s="89"/>
      <c r="R210" s="89"/>
      <c r="S210" s="89"/>
      <c r="T210" s="89"/>
      <c r="U210" s="89"/>
    </row>
    <row r="211">
      <c r="A211" s="89"/>
      <c r="B211" s="89"/>
      <c r="C211" s="91"/>
      <c r="D211" s="92"/>
      <c r="E211" s="89"/>
      <c r="F211" s="89"/>
      <c r="G211" s="89"/>
      <c r="H211" s="89"/>
      <c r="I211" s="89"/>
      <c r="J211" s="89"/>
      <c r="K211" s="89"/>
      <c r="L211" s="89"/>
      <c r="M211" s="89"/>
      <c r="N211" s="89"/>
      <c r="O211" s="89"/>
      <c r="P211" s="89"/>
      <c r="Q211" s="89"/>
      <c r="R211" s="89"/>
      <c r="S211" s="89"/>
      <c r="T211" s="89"/>
      <c r="U211" s="89"/>
    </row>
    <row r="212">
      <c r="A212" s="89"/>
      <c r="B212" s="89"/>
      <c r="C212" s="91"/>
      <c r="D212" s="92"/>
      <c r="E212" s="89"/>
      <c r="F212" s="89"/>
      <c r="G212" s="89"/>
      <c r="H212" s="89"/>
      <c r="I212" s="89"/>
      <c r="J212" s="89"/>
      <c r="K212" s="89"/>
      <c r="L212" s="89"/>
      <c r="M212" s="89"/>
      <c r="N212" s="89"/>
      <c r="O212" s="89"/>
      <c r="P212" s="89"/>
      <c r="Q212" s="89"/>
      <c r="R212" s="89"/>
      <c r="S212" s="89"/>
      <c r="T212" s="89"/>
      <c r="U212" s="89"/>
    </row>
    <row r="213">
      <c r="A213" s="89"/>
      <c r="B213" s="89"/>
      <c r="C213" s="91"/>
      <c r="D213" s="92"/>
      <c r="E213" s="89"/>
      <c r="F213" s="89"/>
      <c r="G213" s="89"/>
      <c r="H213" s="89"/>
      <c r="I213" s="89"/>
      <c r="J213" s="89"/>
      <c r="K213" s="89"/>
      <c r="L213" s="89"/>
      <c r="M213" s="89"/>
      <c r="N213" s="89"/>
      <c r="O213" s="89"/>
      <c r="P213" s="89"/>
      <c r="Q213" s="89"/>
      <c r="R213" s="89"/>
      <c r="S213" s="89"/>
      <c r="T213" s="89"/>
      <c r="U213" s="89"/>
    </row>
    <row r="214">
      <c r="A214" s="89"/>
      <c r="B214" s="89"/>
      <c r="C214" s="91"/>
      <c r="D214" s="92"/>
      <c r="E214" s="89"/>
      <c r="F214" s="89"/>
      <c r="G214" s="89"/>
      <c r="H214" s="89"/>
      <c r="I214" s="89"/>
      <c r="J214" s="89"/>
      <c r="K214" s="89"/>
      <c r="L214" s="89"/>
      <c r="M214" s="89"/>
      <c r="N214" s="89"/>
      <c r="O214" s="89"/>
      <c r="P214" s="89"/>
      <c r="Q214" s="89"/>
      <c r="R214" s="89"/>
      <c r="S214" s="89"/>
      <c r="T214" s="89"/>
      <c r="U214" s="89"/>
    </row>
    <row r="215">
      <c r="A215" s="89"/>
      <c r="B215" s="89"/>
      <c r="C215" s="91"/>
      <c r="D215" s="92"/>
      <c r="E215" s="89"/>
      <c r="F215" s="89"/>
      <c r="G215" s="89"/>
      <c r="H215" s="89"/>
      <c r="I215" s="89"/>
      <c r="J215" s="89"/>
      <c r="K215" s="89"/>
      <c r="L215" s="89"/>
      <c r="M215" s="89"/>
      <c r="N215" s="89"/>
      <c r="O215" s="89"/>
      <c r="P215" s="89"/>
      <c r="Q215" s="89"/>
      <c r="R215" s="89"/>
      <c r="S215" s="89"/>
      <c r="T215" s="89"/>
      <c r="U215" s="89"/>
    </row>
    <row r="216">
      <c r="A216" s="89"/>
      <c r="B216" s="89"/>
      <c r="C216" s="91"/>
      <c r="D216" s="92"/>
      <c r="E216" s="89"/>
      <c r="F216" s="89"/>
      <c r="G216" s="89"/>
      <c r="H216" s="89"/>
      <c r="I216" s="89"/>
      <c r="J216" s="89"/>
      <c r="K216" s="89"/>
      <c r="L216" s="89"/>
      <c r="M216" s="89"/>
      <c r="N216" s="89"/>
      <c r="O216" s="89"/>
      <c r="P216" s="89"/>
      <c r="Q216" s="89"/>
      <c r="R216" s="89"/>
      <c r="S216" s="89"/>
      <c r="T216" s="89"/>
      <c r="U216" s="89"/>
    </row>
    <row r="217">
      <c r="A217" s="89"/>
      <c r="B217" s="89"/>
      <c r="C217" s="91"/>
      <c r="D217" s="92"/>
      <c r="E217" s="89"/>
      <c r="F217" s="89"/>
      <c r="G217" s="89"/>
      <c r="H217" s="89"/>
      <c r="I217" s="89"/>
      <c r="J217" s="89"/>
      <c r="K217" s="89"/>
      <c r="L217" s="89"/>
      <c r="M217" s="89"/>
      <c r="N217" s="89"/>
      <c r="O217" s="89"/>
      <c r="P217" s="89"/>
      <c r="Q217" s="89"/>
      <c r="R217" s="89"/>
      <c r="S217" s="89"/>
      <c r="T217" s="89"/>
      <c r="U217" s="89"/>
    </row>
    <row r="218">
      <c r="A218" s="89"/>
      <c r="B218" s="89"/>
      <c r="C218" s="91"/>
      <c r="D218" s="92"/>
      <c r="E218" s="89"/>
      <c r="F218" s="89"/>
      <c r="G218" s="89"/>
      <c r="H218" s="89"/>
      <c r="I218" s="89"/>
      <c r="J218" s="89"/>
      <c r="K218" s="89"/>
      <c r="L218" s="89"/>
      <c r="M218" s="89"/>
      <c r="N218" s="89"/>
      <c r="O218" s="89"/>
      <c r="P218" s="89"/>
      <c r="Q218" s="89"/>
      <c r="R218" s="89"/>
      <c r="S218" s="89"/>
      <c r="T218" s="89"/>
      <c r="U218" s="89"/>
    </row>
    <row r="219">
      <c r="A219" s="89"/>
      <c r="B219" s="89"/>
      <c r="C219" s="91"/>
      <c r="D219" s="92"/>
      <c r="E219" s="89"/>
      <c r="F219" s="89"/>
      <c r="G219" s="89"/>
      <c r="H219" s="89"/>
      <c r="I219" s="89"/>
      <c r="J219" s="89"/>
      <c r="K219" s="89"/>
      <c r="L219" s="89"/>
      <c r="M219" s="89"/>
      <c r="N219" s="89"/>
      <c r="O219" s="89"/>
      <c r="P219" s="89"/>
      <c r="Q219" s="89"/>
      <c r="R219" s="89"/>
      <c r="S219" s="89"/>
      <c r="T219" s="89"/>
      <c r="U219" s="89"/>
    </row>
    <row r="220">
      <c r="A220" s="89"/>
      <c r="B220" s="89"/>
      <c r="C220" s="91"/>
      <c r="D220" s="92"/>
      <c r="E220" s="89"/>
      <c r="F220" s="89"/>
      <c r="G220" s="89"/>
      <c r="H220" s="89"/>
      <c r="I220" s="89"/>
      <c r="J220" s="89"/>
      <c r="K220" s="89"/>
      <c r="L220" s="89"/>
      <c r="M220" s="89"/>
      <c r="N220" s="89"/>
      <c r="O220" s="89"/>
      <c r="P220" s="89"/>
      <c r="Q220" s="89"/>
      <c r="R220" s="89"/>
      <c r="S220" s="89"/>
      <c r="T220" s="89"/>
      <c r="U220" s="89"/>
    </row>
    <row r="221">
      <c r="A221" s="89"/>
      <c r="B221" s="89"/>
      <c r="C221" s="91"/>
      <c r="D221" s="92"/>
      <c r="E221" s="89"/>
      <c r="F221" s="89"/>
      <c r="G221" s="89"/>
      <c r="H221" s="89"/>
      <c r="I221" s="89"/>
      <c r="J221" s="89"/>
      <c r="K221" s="89"/>
      <c r="L221" s="89"/>
      <c r="M221" s="89"/>
      <c r="N221" s="89"/>
      <c r="O221" s="89"/>
      <c r="P221" s="89"/>
      <c r="Q221" s="89"/>
      <c r="R221" s="89"/>
      <c r="S221" s="89"/>
      <c r="T221" s="89"/>
      <c r="U221" s="89"/>
    </row>
    <row r="222">
      <c r="A222" s="89"/>
      <c r="B222" s="89"/>
      <c r="C222" s="91"/>
      <c r="D222" s="92"/>
      <c r="E222" s="89"/>
      <c r="F222" s="89"/>
      <c r="G222" s="89"/>
      <c r="H222" s="89"/>
      <c r="I222" s="89"/>
      <c r="J222" s="89"/>
      <c r="K222" s="89"/>
      <c r="L222" s="89"/>
      <c r="M222" s="89"/>
      <c r="N222" s="89"/>
      <c r="O222" s="89"/>
      <c r="P222" s="89"/>
      <c r="Q222" s="89"/>
      <c r="R222" s="89"/>
      <c r="S222" s="89"/>
      <c r="T222" s="89"/>
      <c r="U222" s="89"/>
    </row>
    <row r="223">
      <c r="A223" s="89"/>
      <c r="B223" s="89"/>
      <c r="C223" s="91"/>
      <c r="D223" s="92"/>
      <c r="E223" s="89"/>
      <c r="F223" s="89"/>
      <c r="G223" s="89"/>
      <c r="H223" s="89"/>
      <c r="I223" s="89"/>
      <c r="J223" s="89"/>
      <c r="K223" s="89"/>
      <c r="L223" s="89"/>
      <c r="M223" s="89"/>
      <c r="N223" s="89"/>
      <c r="O223" s="89"/>
      <c r="P223" s="89"/>
      <c r="Q223" s="89"/>
      <c r="R223" s="89"/>
      <c r="S223" s="89"/>
      <c r="T223" s="89"/>
      <c r="U223" s="89"/>
    </row>
    <row r="224">
      <c r="A224" s="89"/>
      <c r="B224" s="89"/>
      <c r="C224" s="91"/>
      <c r="D224" s="92"/>
      <c r="E224" s="89"/>
      <c r="F224" s="89"/>
      <c r="G224" s="89"/>
      <c r="H224" s="89"/>
      <c r="I224" s="89"/>
      <c r="J224" s="89"/>
      <c r="K224" s="89"/>
      <c r="L224" s="89"/>
      <c r="M224" s="89"/>
      <c r="N224" s="89"/>
      <c r="O224" s="89"/>
      <c r="P224" s="89"/>
      <c r="Q224" s="89"/>
      <c r="R224" s="89"/>
      <c r="S224" s="89"/>
      <c r="T224" s="89"/>
      <c r="U224" s="89"/>
    </row>
    <row r="225">
      <c r="A225" s="89"/>
      <c r="B225" s="89"/>
      <c r="C225" s="91"/>
      <c r="D225" s="92"/>
      <c r="E225" s="89"/>
      <c r="F225" s="89"/>
      <c r="G225" s="89"/>
      <c r="H225" s="89"/>
      <c r="I225" s="89"/>
      <c r="J225" s="89"/>
      <c r="K225" s="89"/>
      <c r="L225" s="89"/>
      <c r="M225" s="89"/>
      <c r="N225" s="89"/>
      <c r="O225" s="89"/>
      <c r="P225" s="89"/>
      <c r="Q225" s="89"/>
      <c r="R225" s="89"/>
      <c r="S225" s="89"/>
      <c r="T225" s="89"/>
      <c r="U225" s="89"/>
    </row>
    <row r="226">
      <c r="A226" s="89"/>
      <c r="B226" s="89"/>
      <c r="C226" s="91"/>
      <c r="D226" s="92"/>
      <c r="E226" s="89"/>
      <c r="F226" s="89"/>
      <c r="G226" s="89"/>
      <c r="H226" s="89"/>
      <c r="I226" s="89"/>
      <c r="J226" s="89"/>
      <c r="K226" s="89"/>
      <c r="L226" s="89"/>
      <c r="M226" s="89"/>
      <c r="N226" s="89"/>
      <c r="O226" s="89"/>
      <c r="P226" s="89"/>
      <c r="Q226" s="89"/>
      <c r="R226" s="89"/>
      <c r="S226" s="89"/>
      <c r="T226" s="89"/>
      <c r="U226" s="89"/>
    </row>
    <row r="227">
      <c r="A227" s="89"/>
      <c r="B227" s="89"/>
      <c r="C227" s="91"/>
      <c r="D227" s="92"/>
      <c r="E227" s="89"/>
      <c r="F227" s="89"/>
      <c r="G227" s="89"/>
      <c r="H227" s="89"/>
      <c r="I227" s="89"/>
      <c r="J227" s="89"/>
      <c r="K227" s="89"/>
      <c r="L227" s="89"/>
      <c r="M227" s="89"/>
      <c r="N227" s="89"/>
      <c r="O227" s="89"/>
      <c r="P227" s="89"/>
      <c r="Q227" s="89"/>
      <c r="R227" s="89"/>
      <c r="S227" s="89"/>
      <c r="T227" s="89"/>
      <c r="U227" s="89"/>
    </row>
    <row r="228">
      <c r="A228" s="89"/>
      <c r="B228" s="89"/>
      <c r="C228" s="91"/>
      <c r="D228" s="92"/>
      <c r="E228" s="89"/>
      <c r="F228" s="89"/>
      <c r="G228" s="89"/>
      <c r="H228" s="89"/>
      <c r="I228" s="89"/>
      <c r="J228" s="89"/>
      <c r="K228" s="89"/>
      <c r="L228" s="89"/>
      <c r="M228" s="89"/>
      <c r="N228" s="89"/>
      <c r="O228" s="89"/>
      <c r="P228" s="89"/>
      <c r="Q228" s="89"/>
      <c r="R228" s="89"/>
      <c r="S228" s="89"/>
      <c r="T228" s="89"/>
      <c r="U228" s="89"/>
    </row>
    <row r="229">
      <c r="A229" s="89"/>
      <c r="B229" s="89"/>
      <c r="C229" s="91"/>
      <c r="D229" s="92"/>
      <c r="E229" s="89"/>
      <c r="F229" s="89"/>
      <c r="G229" s="89"/>
      <c r="H229" s="89"/>
      <c r="I229" s="89"/>
      <c r="J229" s="89"/>
      <c r="K229" s="89"/>
      <c r="L229" s="89"/>
      <c r="M229" s="89"/>
      <c r="N229" s="89"/>
      <c r="O229" s="89"/>
      <c r="P229" s="89"/>
      <c r="Q229" s="89"/>
      <c r="R229" s="89"/>
      <c r="S229" s="89"/>
      <c r="T229" s="89"/>
      <c r="U229" s="89"/>
    </row>
    <row r="230">
      <c r="A230" s="89"/>
      <c r="B230" s="89"/>
      <c r="C230" s="91"/>
      <c r="D230" s="92"/>
      <c r="E230" s="89"/>
      <c r="F230" s="89"/>
      <c r="G230" s="89"/>
      <c r="H230" s="89"/>
      <c r="I230" s="89"/>
      <c r="J230" s="89"/>
      <c r="K230" s="89"/>
      <c r="L230" s="89"/>
      <c r="M230" s="89"/>
      <c r="N230" s="89"/>
      <c r="O230" s="89"/>
      <c r="P230" s="89"/>
      <c r="Q230" s="89"/>
      <c r="R230" s="89"/>
      <c r="S230" s="89"/>
      <c r="T230" s="89"/>
      <c r="U230" s="89"/>
    </row>
    <row r="231">
      <c r="A231" s="89"/>
      <c r="B231" s="89"/>
      <c r="C231" s="91"/>
      <c r="D231" s="92"/>
      <c r="E231" s="89"/>
      <c r="F231" s="89"/>
      <c r="G231" s="89"/>
      <c r="H231" s="89"/>
      <c r="I231" s="89"/>
      <c r="J231" s="89"/>
      <c r="K231" s="89"/>
      <c r="L231" s="89"/>
      <c r="M231" s="89"/>
      <c r="N231" s="89"/>
      <c r="O231" s="89"/>
      <c r="P231" s="89"/>
      <c r="Q231" s="89"/>
      <c r="R231" s="89"/>
      <c r="S231" s="89"/>
      <c r="T231" s="89"/>
      <c r="U231" s="89"/>
    </row>
    <row r="232">
      <c r="A232" s="89"/>
      <c r="B232" s="89"/>
      <c r="C232" s="91"/>
      <c r="D232" s="92"/>
      <c r="E232" s="89"/>
      <c r="F232" s="89"/>
      <c r="G232" s="89"/>
      <c r="H232" s="89"/>
      <c r="I232" s="89"/>
      <c r="J232" s="89"/>
      <c r="K232" s="89"/>
      <c r="L232" s="89"/>
      <c r="M232" s="89"/>
      <c r="N232" s="89"/>
      <c r="O232" s="89"/>
      <c r="P232" s="89"/>
      <c r="Q232" s="89"/>
      <c r="R232" s="89"/>
      <c r="S232" s="89"/>
      <c r="T232" s="89"/>
      <c r="U232" s="89"/>
    </row>
    <row r="233">
      <c r="A233" s="89"/>
      <c r="B233" s="89"/>
      <c r="C233" s="91"/>
      <c r="D233" s="92"/>
      <c r="E233" s="89"/>
      <c r="F233" s="89"/>
      <c r="G233" s="89"/>
      <c r="H233" s="89"/>
      <c r="I233" s="89"/>
      <c r="J233" s="89"/>
      <c r="K233" s="89"/>
      <c r="L233" s="89"/>
      <c r="M233" s="89"/>
      <c r="N233" s="89"/>
      <c r="O233" s="89"/>
      <c r="P233" s="89"/>
      <c r="Q233" s="89"/>
      <c r="R233" s="89"/>
      <c r="S233" s="89"/>
      <c r="T233" s="89"/>
      <c r="U233" s="89"/>
    </row>
    <row r="234">
      <c r="A234" s="89"/>
      <c r="B234" s="89"/>
      <c r="C234" s="91"/>
      <c r="D234" s="92"/>
      <c r="E234" s="89"/>
      <c r="F234" s="89"/>
      <c r="G234" s="89"/>
      <c r="H234" s="89"/>
      <c r="I234" s="89"/>
      <c r="J234" s="89"/>
      <c r="K234" s="89"/>
      <c r="L234" s="89"/>
      <c r="M234" s="89"/>
      <c r="N234" s="89"/>
      <c r="O234" s="89"/>
      <c r="P234" s="89"/>
      <c r="Q234" s="89"/>
      <c r="R234" s="89"/>
      <c r="S234" s="89"/>
      <c r="T234" s="89"/>
      <c r="U234" s="89"/>
    </row>
    <row r="235">
      <c r="A235" s="89"/>
      <c r="B235" s="89"/>
      <c r="C235" s="91"/>
      <c r="D235" s="92"/>
      <c r="E235" s="89"/>
      <c r="F235" s="89"/>
      <c r="G235" s="89"/>
      <c r="H235" s="89"/>
      <c r="I235" s="89"/>
      <c r="J235" s="89"/>
      <c r="K235" s="89"/>
      <c r="L235" s="89"/>
      <c r="M235" s="89"/>
      <c r="N235" s="89"/>
      <c r="O235" s="89"/>
      <c r="P235" s="89"/>
      <c r="Q235" s="89"/>
      <c r="R235" s="89"/>
      <c r="S235" s="89"/>
      <c r="T235" s="89"/>
      <c r="U235" s="89"/>
    </row>
    <row r="236">
      <c r="A236" s="89"/>
      <c r="B236" s="89"/>
      <c r="C236" s="91"/>
      <c r="D236" s="92"/>
      <c r="E236" s="89"/>
      <c r="F236" s="89"/>
      <c r="G236" s="89"/>
      <c r="H236" s="89"/>
      <c r="I236" s="89"/>
      <c r="J236" s="89"/>
      <c r="K236" s="89"/>
      <c r="L236" s="89"/>
      <c r="M236" s="89"/>
      <c r="N236" s="89"/>
      <c r="O236" s="89"/>
      <c r="P236" s="89"/>
      <c r="Q236" s="89"/>
      <c r="R236" s="89"/>
      <c r="S236" s="89"/>
      <c r="T236" s="89"/>
      <c r="U236" s="89"/>
    </row>
    <row r="237">
      <c r="A237" s="89"/>
      <c r="B237" s="89"/>
      <c r="C237" s="91"/>
      <c r="D237" s="92"/>
      <c r="E237" s="89"/>
      <c r="F237" s="89"/>
      <c r="G237" s="89"/>
      <c r="H237" s="89"/>
      <c r="I237" s="89"/>
      <c r="J237" s="89"/>
      <c r="K237" s="89"/>
      <c r="L237" s="89"/>
      <c r="M237" s="89"/>
      <c r="N237" s="89"/>
      <c r="O237" s="89"/>
      <c r="P237" s="89"/>
      <c r="Q237" s="89"/>
      <c r="R237" s="89"/>
      <c r="S237" s="89"/>
      <c r="T237" s="89"/>
      <c r="U237" s="89"/>
    </row>
    <row r="238">
      <c r="A238" s="89"/>
      <c r="B238" s="89"/>
      <c r="C238" s="91"/>
      <c r="D238" s="92"/>
      <c r="E238" s="89"/>
      <c r="F238" s="89"/>
      <c r="G238" s="89"/>
      <c r="H238" s="89"/>
      <c r="I238" s="89"/>
      <c r="J238" s="89"/>
      <c r="K238" s="89"/>
      <c r="L238" s="89"/>
      <c r="M238" s="89"/>
      <c r="N238" s="89"/>
      <c r="O238" s="89"/>
      <c r="P238" s="89"/>
      <c r="Q238" s="89"/>
      <c r="R238" s="89"/>
      <c r="S238" s="89"/>
      <c r="T238" s="89"/>
      <c r="U238" s="89"/>
    </row>
    <row r="239">
      <c r="A239" s="89"/>
      <c r="B239" s="89"/>
      <c r="C239" s="91"/>
      <c r="D239" s="92"/>
      <c r="E239" s="89"/>
      <c r="F239" s="89"/>
      <c r="G239" s="89"/>
      <c r="H239" s="89"/>
      <c r="I239" s="89"/>
      <c r="J239" s="89"/>
      <c r="K239" s="89"/>
      <c r="L239" s="89"/>
      <c r="M239" s="89"/>
      <c r="N239" s="89"/>
      <c r="O239" s="89"/>
      <c r="P239" s="89"/>
      <c r="Q239" s="89"/>
      <c r="R239" s="89"/>
      <c r="S239" s="89"/>
      <c r="T239" s="89"/>
      <c r="U239" s="89"/>
    </row>
    <row r="240">
      <c r="A240" s="89"/>
      <c r="B240" s="89"/>
      <c r="C240" s="91"/>
      <c r="D240" s="92"/>
      <c r="E240" s="89"/>
      <c r="F240" s="89"/>
      <c r="G240" s="89"/>
      <c r="H240" s="89"/>
      <c r="I240" s="89"/>
      <c r="J240" s="89"/>
      <c r="K240" s="89"/>
      <c r="L240" s="89"/>
      <c r="M240" s="89"/>
      <c r="N240" s="89"/>
      <c r="O240" s="89"/>
      <c r="P240" s="89"/>
      <c r="Q240" s="89"/>
      <c r="R240" s="89"/>
      <c r="S240" s="89"/>
      <c r="T240" s="89"/>
      <c r="U240" s="89"/>
    </row>
    <row r="241">
      <c r="A241" s="89"/>
      <c r="B241" s="89"/>
      <c r="C241" s="91"/>
      <c r="D241" s="92"/>
      <c r="E241" s="89"/>
      <c r="F241" s="89"/>
      <c r="G241" s="89"/>
      <c r="H241" s="89"/>
      <c r="I241" s="89"/>
      <c r="J241" s="89"/>
      <c r="K241" s="89"/>
      <c r="L241" s="89"/>
      <c r="M241" s="89"/>
      <c r="N241" s="89"/>
      <c r="O241" s="89"/>
      <c r="P241" s="89"/>
      <c r="Q241" s="89"/>
      <c r="R241" s="89"/>
      <c r="S241" s="89"/>
      <c r="T241" s="89"/>
      <c r="U241" s="89"/>
    </row>
    <row r="242">
      <c r="A242" s="89"/>
      <c r="B242" s="89"/>
      <c r="C242" s="91"/>
      <c r="D242" s="92"/>
      <c r="E242" s="89"/>
      <c r="F242" s="89"/>
      <c r="G242" s="89"/>
      <c r="H242" s="89"/>
      <c r="I242" s="89"/>
      <c r="J242" s="89"/>
      <c r="K242" s="89"/>
      <c r="L242" s="89"/>
      <c r="M242" s="89"/>
      <c r="N242" s="89"/>
      <c r="O242" s="89"/>
      <c r="P242" s="89"/>
      <c r="Q242" s="89"/>
      <c r="R242" s="89"/>
      <c r="S242" s="89"/>
      <c r="T242" s="89"/>
      <c r="U242" s="89"/>
    </row>
    <row r="243">
      <c r="A243" s="89"/>
      <c r="B243" s="89"/>
      <c r="C243" s="91"/>
      <c r="D243" s="92"/>
      <c r="E243" s="89"/>
      <c r="F243" s="89"/>
      <c r="G243" s="89"/>
      <c r="H243" s="89"/>
      <c r="I243" s="89"/>
      <c r="J243" s="89"/>
      <c r="K243" s="89"/>
      <c r="L243" s="89"/>
      <c r="M243" s="89"/>
      <c r="N243" s="89"/>
      <c r="O243" s="89"/>
      <c r="P243" s="89"/>
      <c r="Q243" s="89"/>
      <c r="R243" s="89"/>
      <c r="S243" s="89"/>
      <c r="T243" s="89"/>
      <c r="U243" s="89"/>
    </row>
    <row r="244">
      <c r="A244" s="89"/>
      <c r="B244" s="89"/>
      <c r="C244" s="91"/>
      <c r="D244" s="92"/>
      <c r="E244" s="89"/>
      <c r="F244" s="89"/>
      <c r="G244" s="89"/>
      <c r="H244" s="89"/>
      <c r="I244" s="89"/>
      <c r="J244" s="89"/>
      <c r="K244" s="89"/>
      <c r="L244" s="89"/>
      <c r="M244" s="89"/>
      <c r="N244" s="89"/>
      <c r="O244" s="89"/>
      <c r="P244" s="89"/>
      <c r="Q244" s="89"/>
      <c r="R244" s="89"/>
      <c r="S244" s="89"/>
      <c r="T244" s="89"/>
      <c r="U244" s="89"/>
    </row>
    <row r="245">
      <c r="A245" s="89"/>
      <c r="B245" s="89"/>
      <c r="C245" s="91"/>
      <c r="D245" s="92"/>
      <c r="E245" s="89"/>
      <c r="F245" s="89"/>
      <c r="G245" s="89"/>
      <c r="H245" s="89"/>
      <c r="I245" s="89"/>
      <c r="J245" s="89"/>
      <c r="K245" s="89"/>
      <c r="L245" s="89"/>
      <c r="M245" s="89"/>
      <c r="N245" s="89"/>
      <c r="O245" s="89"/>
      <c r="P245" s="89"/>
      <c r="Q245" s="89"/>
      <c r="R245" s="89"/>
      <c r="S245" s="89"/>
      <c r="T245" s="89"/>
      <c r="U245" s="89"/>
    </row>
    <row r="246">
      <c r="A246" s="89"/>
      <c r="B246" s="89"/>
      <c r="C246" s="91"/>
      <c r="D246" s="92"/>
      <c r="E246" s="89"/>
      <c r="F246" s="89"/>
      <c r="G246" s="89"/>
      <c r="H246" s="89"/>
      <c r="I246" s="89"/>
      <c r="J246" s="89"/>
      <c r="K246" s="89"/>
      <c r="L246" s="89"/>
      <c r="M246" s="89"/>
      <c r="N246" s="89"/>
      <c r="O246" s="89"/>
      <c r="P246" s="89"/>
      <c r="Q246" s="89"/>
      <c r="R246" s="89"/>
      <c r="S246" s="89"/>
      <c r="T246" s="89"/>
      <c r="U246" s="89"/>
    </row>
    <row r="247">
      <c r="A247" s="89"/>
      <c r="B247" s="89"/>
      <c r="C247" s="91"/>
      <c r="D247" s="92"/>
      <c r="E247" s="89"/>
      <c r="F247" s="89"/>
      <c r="G247" s="89"/>
      <c r="H247" s="89"/>
      <c r="I247" s="89"/>
      <c r="J247" s="89"/>
      <c r="K247" s="89"/>
      <c r="L247" s="89"/>
      <c r="M247" s="89"/>
      <c r="N247" s="89"/>
      <c r="O247" s="89"/>
      <c r="P247" s="89"/>
      <c r="Q247" s="89"/>
      <c r="R247" s="89"/>
      <c r="S247" s="89"/>
      <c r="T247" s="89"/>
      <c r="U247" s="89"/>
    </row>
    <row r="248">
      <c r="A248" s="89"/>
      <c r="B248" s="89"/>
      <c r="C248" s="91"/>
      <c r="D248" s="92"/>
      <c r="E248" s="89"/>
      <c r="F248" s="89"/>
      <c r="G248" s="89"/>
      <c r="H248" s="89"/>
      <c r="I248" s="89"/>
      <c r="J248" s="89"/>
      <c r="K248" s="89"/>
      <c r="L248" s="89"/>
      <c r="M248" s="89"/>
      <c r="N248" s="89"/>
      <c r="O248" s="89"/>
      <c r="P248" s="89"/>
      <c r="Q248" s="89"/>
      <c r="R248" s="89"/>
      <c r="S248" s="89"/>
      <c r="T248" s="89"/>
      <c r="U248" s="89"/>
    </row>
    <row r="249">
      <c r="A249" s="89"/>
      <c r="B249" s="89"/>
      <c r="C249" s="91"/>
      <c r="D249" s="92"/>
      <c r="E249" s="89"/>
      <c r="F249" s="89"/>
      <c r="G249" s="89"/>
      <c r="H249" s="89"/>
      <c r="I249" s="89"/>
      <c r="J249" s="89"/>
      <c r="K249" s="89"/>
      <c r="L249" s="89"/>
      <c r="M249" s="89"/>
      <c r="N249" s="89"/>
      <c r="O249" s="89"/>
      <c r="P249" s="89"/>
      <c r="Q249" s="89"/>
      <c r="R249" s="89"/>
      <c r="S249" s="89"/>
      <c r="T249" s="89"/>
      <c r="U249" s="89"/>
    </row>
    <row r="250">
      <c r="A250" s="89"/>
      <c r="B250" s="89"/>
      <c r="C250" s="91"/>
      <c r="D250" s="92"/>
      <c r="E250" s="89"/>
      <c r="F250" s="89"/>
      <c r="G250" s="89"/>
      <c r="H250" s="89"/>
      <c r="I250" s="89"/>
      <c r="J250" s="89"/>
      <c r="K250" s="89"/>
      <c r="L250" s="89"/>
      <c r="M250" s="89"/>
      <c r="N250" s="89"/>
      <c r="O250" s="89"/>
      <c r="P250" s="89"/>
      <c r="Q250" s="89"/>
      <c r="R250" s="89"/>
      <c r="S250" s="89"/>
      <c r="T250" s="89"/>
      <c r="U250" s="89"/>
    </row>
    <row r="251">
      <c r="A251" s="89"/>
      <c r="B251" s="89"/>
      <c r="C251" s="91"/>
      <c r="D251" s="92"/>
      <c r="E251" s="89"/>
      <c r="F251" s="89"/>
      <c r="G251" s="89"/>
      <c r="H251" s="89"/>
      <c r="I251" s="89"/>
      <c r="J251" s="89"/>
      <c r="K251" s="89"/>
      <c r="L251" s="89"/>
      <c r="M251" s="89"/>
      <c r="N251" s="89"/>
      <c r="O251" s="89"/>
      <c r="P251" s="89"/>
      <c r="Q251" s="89"/>
      <c r="R251" s="89"/>
      <c r="S251" s="89"/>
      <c r="T251" s="89"/>
      <c r="U251" s="89"/>
    </row>
    <row r="252">
      <c r="A252" s="89"/>
      <c r="B252" s="89"/>
      <c r="C252" s="91"/>
      <c r="D252" s="92"/>
      <c r="E252" s="89"/>
      <c r="F252" s="89"/>
      <c r="G252" s="89"/>
      <c r="H252" s="89"/>
      <c r="I252" s="89"/>
      <c r="J252" s="89"/>
      <c r="K252" s="89"/>
      <c r="L252" s="89"/>
      <c r="M252" s="89"/>
      <c r="N252" s="89"/>
      <c r="O252" s="89"/>
      <c r="P252" s="89"/>
      <c r="Q252" s="89"/>
      <c r="R252" s="89"/>
      <c r="S252" s="89"/>
      <c r="T252" s="89"/>
      <c r="U252" s="89"/>
    </row>
    <row r="253">
      <c r="A253" s="89"/>
      <c r="B253" s="89"/>
      <c r="C253" s="91"/>
      <c r="D253" s="92"/>
      <c r="E253" s="89"/>
      <c r="F253" s="89"/>
      <c r="G253" s="89"/>
      <c r="H253" s="89"/>
      <c r="I253" s="89"/>
      <c r="J253" s="89"/>
      <c r="K253" s="89"/>
      <c r="L253" s="89"/>
      <c r="M253" s="89"/>
      <c r="N253" s="89"/>
      <c r="O253" s="89"/>
      <c r="P253" s="89"/>
      <c r="Q253" s="89"/>
      <c r="R253" s="89"/>
      <c r="S253" s="89"/>
      <c r="T253" s="89"/>
      <c r="U253" s="89"/>
    </row>
    <row r="254">
      <c r="A254" s="89"/>
      <c r="B254" s="89"/>
      <c r="C254" s="91"/>
      <c r="D254" s="92"/>
      <c r="E254" s="89"/>
      <c r="F254" s="89"/>
      <c r="G254" s="89"/>
      <c r="H254" s="89"/>
      <c r="I254" s="89"/>
      <c r="J254" s="89"/>
      <c r="K254" s="89"/>
      <c r="L254" s="89"/>
      <c r="M254" s="89"/>
      <c r="N254" s="89"/>
      <c r="O254" s="89"/>
      <c r="P254" s="89"/>
      <c r="Q254" s="89"/>
      <c r="R254" s="89"/>
      <c r="S254" s="89"/>
      <c r="T254" s="89"/>
      <c r="U254" s="89"/>
    </row>
    <row r="255">
      <c r="A255" s="89"/>
      <c r="B255" s="89"/>
      <c r="C255" s="91"/>
      <c r="D255" s="92"/>
      <c r="E255" s="89"/>
      <c r="F255" s="89"/>
      <c r="G255" s="89"/>
      <c r="H255" s="89"/>
      <c r="I255" s="89"/>
      <c r="J255" s="89"/>
      <c r="K255" s="89"/>
      <c r="L255" s="89"/>
      <c r="M255" s="89"/>
      <c r="N255" s="89"/>
      <c r="O255" s="89"/>
      <c r="P255" s="89"/>
      <c r="Q255" s="89"/>
      <c r="R255" s="89"/>
      <c r="S255" s="89"/>
      <c r="T255" s="89"/>
      <c r="U255" s="89"/>
    </row>
    <row r="256">
      <c r="A256" s="89"/>
      <c r="B256" s="89"/>
      <c r="C256" s="91"/>
      <c r="D256" s="92"/>
      <c r="E256" s="89"/>
      <c r="F256" s="89"/>
      <c r="G256" s="89"/>
      <c r="H256" s="89"/>
      <c r="I256" s="89"/>
      <c r="J256" s="89"/>
      <c r="K256" s="89"/>
      <c r="L256" s="89"/>
      <c r="M256" s="89"/>
      <c r="N256" s="89"/>
      <c r="O256" s="89"/>
      <c r="P256" s="89"/>
      <c r="Q256" s="89"/>
      <c r="R256" s="89"/>
      <c r="S256" s="89"/>
      <c r="T256" s="89"/>
      <c r="U256" s="89"/>
    </row>
    <row r="257">
      <c r="A257" s="89"/>
      <c r="B257" s="89"/>
      <c r="C257" s="91"/>
      <c r="D257" s="92"/>
      <c r="E257" s="89"/>
      <c r="F257" s="89"/>
      <c r="G257" s="89"/>
      <c r="H257" s="89"/>
      <c r="I257" s="89"/>
      <c r="J257" s="89"/>
      <c r="K257" s="89"/>
      <c r="L257" s="89"/>
      <c r="M257" s="89"/>
      <c r="N257" s="89"/>
      <c r="O257" s="89"/>
      <c r="P257" s="89"/>
      <c r="Q257" s="89"/>
      <c r="R257" s="89"/>
      <c r="S257" s="89"/>
      <c r="T257" s="89"/>
      <c r="U257" s="89"/>
    </row>
    <row r="258">
      <c r="A258" s="89"/>
      <c r="B258" s="89"/>
      <c r="C258" s="91"/>
      <c r="D258" s="92"/>
      <c r="E258" s="89"/>
      <c r="F258" s="89"/>
      <c r="G258" s="89"/>
      <c r="H258" s="89"/>
      <c r="I258" s="89"/>
      <c r="J258" s="89"/>
      <c r="K258" s="89"/>
      <c r="L258" s="89"/>
      <c r="M258" s="89"/>
      <c r="N258" s="89"/>
      <c r="O258" s="89"/>
      <c r="P258" s="89"/>
      <c r="Q258" s="89"/>
      <c r="R258" s="89"/>
      <c r="S258" s="89"/>
      <c r="T258" s="89"/>
      <c r="U258" s="89"/>
    </row>
    <row r="259">
      <c r="A259" s="89"/>
      <c r="B259" s="89"/>
      <c r="C259" s="91"/>
      <c r="D259" s="92"/>
      <c r="E259" s="89"/>
      <c r="F259" s="89"/>
      <c r="G259" s="89"/>
      <c r="H259" s="89"/>
      <c r="I259" s="89"/>
      <c r="J259" s="89"/>
      <c r="K259" s="89"/>
      <c r="L259" s="89"/>
      <c r="M259" s="89"/>
      <c r="N259" s="89"/>
      <c r="O259" s="89"/>
      <c r="P259" s="89"/>
      <c r="Q259" s="89"/>
      <c r="R259" s="89"/>
      <c r="S259" s="89"/>
      <c r="T259" s="89"/>
      <c r="U259" s="89"/>
    </row>
    <row r="260">
      <c r="A260" s="89"/>
      <c r="B260" s="89"/>
      <c r="C260" s="91"/>
      <c r="D260" s="92"/>
      <c r="E260" s="89"/>
      <c r="F260" s="89"/>
      <c r="G260" s="89"/>
      <c r="H260" s="89"/>
      <c r="I260" s="89"/>
      <c r="J260" s="89"/>
      <c r="K260" s="89"/>
      <c r="L260" s="89"/>
      <c r="M260" s="89"/>
      <c r="N260" s="89"/>
      <c r="O260" s="89"/>
      <c r="P260" s="89"/>
      <c r="Q260" s="89"/>
      <c r="R260" s="89"/>
      <c r="S260" s="89"/>
      <c r="T260" s="89"/>
      <c r="U260" s="89"/>
    </row>
    <row r="261">
      <c r="A261" s="89"/>
      <c r="B261" s="89"/>
      <c r="C261" s="91"/>
      <c r="D261" s="92"/>
      <c r="E261" s="89"/>
      <c r="F261" s="89"/>
      <c r="G261" s="89"/>
      <c r="H261" s="89"/>
      <c r="I261" s="89"/>
      <c r="J261" s="89"/>
      <c r="K261" s="89"/>
      <c r="L261" s="89"/>
      <c r="M261" s="89"/>
      <c r="N261" s="89"/>
      <c r="O261" s="89"/>
      <c r="P261" s="89"/>
      <c r="Q261" s="89"/>
      <c r="R261" s="89"/>
      <c r="S261" s="89"/>
      <c r="T261" s="89"/>
      <c r="U261" s="89"/>
    </row>
    <row r="262">
      <c r="A262" s="89"/>
      <c r="B262" s="89"/>
      <c r="C262" s="91"/>
      <c r="D262" s="92"/>
      <c r="E262" s="89"/>
      <c r="F262" s="89"/>
      <c r="G262" s="89"/>
      <c r="H262" s="89"/>
      <c r="I262" s="89"/>
      <c r="J262" s="89"/>
      <c r="K262" s="89"/>
      <c r="L262" s="89"/>
      <c r="M262" s="89"/>
      <c r="N262" s="89"/>
      <c r="O262" s="89"/>
      <c r="P262" s="89"/>
      <c r="Q262" s="89"/>
      <c r="R262" s="89"/>
      <c r="S262" s="89"/>
      <c r="T262" s="89"/>
      <c r="U262" s="89"/>
    </row>
    <row r="263">
      <c r="A263" s="89"/>
      <c r="B263" s="89"/>
      <c r="C263" s="91"/>
      <c r="D263" s="92"/>
      <c r="E263" s="89"/>
      <c r="F263" s="89"/>
      <c r="G263" s="89"/>
      <c r="H263" s="89"/>
      <c r="I263" s="89"/>
      <c r="J263" s="89"/>
      <c r="K263" s="89"/>
      <c r="L263" s="89"/>
      <c r="M263" s="89"/>
      <c r="N263" s="89"/>
      <c r="O263" s="89"/>
      <c r="P263" s="89"/>
      <c r="Q263" s="89"/>
      <c r="R263" s="89"/>
      <c r="S263" s="89"/>
      <c r="T263" s="89"/>
      <c r="U263" s="89"/>
    </row>
    <row r="264">
      <c r="A264" s="89"/>
      <c r="B264" s="89"/>
      <c r="C264" s="91"/>
      <c r="D264" s="92"/>
      <c r="E264" s="89"/>
      <c r="F264" s="89"/>
      <c r="G264" s="89"/>
      <c r="H264" s="89"/>
      <c r="I264" s="89"/>
      <c r="J264" s="89"/>
      <c r="K264" s="89"/>
      <c r="L264" s="89"/>
      <c r="M264" s="89"/>
      <c r="N264" s="89"/>
      <c r="O264" s="89"/>
      <c r="P264" s="89"/>
      <c r="Q264" s="89"/>
      <c r="R264" s="89"/>
      <c r="S264" s="89"/>
      <c r="T264" s="89"/>
      <c r="U264" s="89"/>
    </row>
    <row r="265">
      <c r="A265" s="89"/>
      <c r="B265" s="89"/>
      <c r="C265" s="91"/>
      <c r="D265" s="92"/>
      <c r="E265" s="89"/>
      <c r="F265" s="89"/>
      <c r="G265" s="89"/>
      <c r="H265" s="89"/>
      <c r="I265" s="89"/>
      <c r="J265" s="89"/>
      <c r="K265" s="89"/>
      <c r="L265" s="89"/>
      <c r="M265" s="89"/>
      <c r="N265" s="89"/>
      <c r="O265" s="89"/>
      <c r="P265" s="89"/>
      <c r="Q265" s="89"/>
      <c r="R265" s="89"/>
      <c r="S265" s="89"/>
      <c r="T265" s="89"/>
      <c r="U265" s="89"/>
    </row>
    <row r="266">
      <c r="A266" s="89"/>
      <c r="B266" s="89"/>
      <c r="C266" s="91"/>
      <c r="D266" s="92"/>
      <c r="E266" s="89"/>
      <c r="F266" s="89"/>
      <c r="G266" s="89"/>
      <c r="H266" s="89"/>
      <c r="I266" s="89"/>
      <c r="J266" s="89"/>
      <c r="K266" s="89"/>
      <c r="L266" s="89"/>
      <c r="M266" s="89"/>
      <c r="N266" s="89"/>
      <c r="O266" s="89"/>
      <c r="P266" s="89"/>
      <c r="Q266" s="89"/>
      <c r="R266" s="89"/>
      <c r="S266" s="89"/>
      <c r="T266" s="89"/>
      <c r="U266" s="89"/>
    </row>
    <row r="267">
      <c r="A267" s="89"/>
      <c r="B267" s="89"/>
      <c r="C267" s="91"/>
      <c r="D267" s="92"/>
      <c r="E267" s="89"/>
      <c r="F267" s="89"/>
      <c r="G267" s="89"/>
      <c r="H267" s="89"/>
      <c r="I267" s="89"/>
      <c r="J267" s="89"/>
      <c r="K267" s="89"/>
      <c r="L267" s="89"/>
      <c r="M267" s="89"/>
      <c r="N267" s="89"/>
      <c r="O267" s="89"/>
      <c r="P267" s="89"/>
      <c r="Q267" s="89"/>
      <c r="R267" s="89"/>
      <c r="S267" s="89"/>
      <c r="T267" s="89"/>
      <c r="U267" s="89"/>
    </row>
    <row r="268">
      <c r="A268" s="89"/>
      <c r="B268" s="89"/>
      <c r="C268" s="91"/>
      <c r="D268" s="92"/>
      <c r="E268" s="89"/>
      <c r="F268" s="89"/>
      <c r="G268" s="89"/>
      <c r="H268" s="89"/>
      <c r="I268" s="89"/>
      <c r="J268" s="89"/>
      <c r="K268" s="89"/>
      <c r="L268" s="89"/>
      <c r="M268" s="89"/>
      <c r="N268" s="89"/>
      <c r="O268" s="89"/>
      <c r="P268" s="89"/>
      <c r="Q268" s="89"/>
      <c r="R268" s="89"/>
      <c r="S268" s="89"/>
      <c r="T268" s="89"/>
      <c r="U268" s="89"/>
    </row>
    <row r="269">
      <c r="A269" s="89"/>
      <c r="B269" s="89"/>
      <c r="C269" s="91"/>
      <c r="D269" s="92"/>
      <c r="E269" s="89"/>
      <c r="F269" s="89"/>
      <c r="G269" s="89"/>
      <c r="H269" s="89"/>
      <c r="I269" s="89"/>
      <c r="J269" s="89"/>
      <c r="K269" s="89"/>
      <c r="L269" s="89"/>
      <c r="M269" s="89"/>
      <c r="N269" s="89"/>
      <c r="O269" s="89"/>
      <c r="P269" s="89"/>
      <c r="Q269" s="89"/>
      <c r="R269" s="89"/>
      <c r="S269" s="89"/>
      <c r="T269" s="89"/>
      <c r="U269" s="89"/>
    </row>
    <row r="270">
      <c r="A270" s="89"/>
      <c r="B270" s="89"/>
      <c r="C270" s="91"/>
      <c r="D270" s="92"/>
      <c r="E270" s="89"/>
      <c r="F270" s="89"/>
      <c r="G270" s="89"/>
      <c r="H270" s="89"/>
      <c r="I270" s="89"/>
      <c r="J270" s="89"/>
      <c r="K270" s="89"/>
      <c r="L270" s="89"/>
      <c r="M270" s="89"/>
      <c r="N270" s="89"/>
      <c r="O270" s="89"/>
      <c r="P270" s="89"/>
      <c r="Q270" s="89"/>
      <c r="R270" s="89"/>
      <c r="S270" s="89"/>
      <c r="T270" s="89"/>
      <c r="U270" s="89"/>
    </row>
    <row r="271">
      <c r="A271" s="89"/>
      <c r="B271" s="89"/>
      <c r="C271" s="91"/>
      <c r="D271" s="92"/>
      <c r="E271" s="89"/>
      <c r="F271" s="89"/>
      <c r="G271" s="89"/>
      <c r="H271" s="89"/>
      <c r="I271" s="89"/>
      <c r="J271" s="89"/>
      <c r="K271" s="89"/>
      <c r="L271" s="89"/>
      <c r="M271" s="89"/>
      <c r="N271" s="89"/>
      <c r="O271" s="89"/>
      <c r="P271" s="89"/>
      <c r="Q271" s="89"/>
      <c r="R271" s="89"/>
      <c r="S271" s="89"/>
      <c r="T271" s="89"/>
      <c r="U271" s="89"/>
    </row>
    <row r="272">
      <c r="A272" s="89"/>
      <c r="B272" s="89"/>
      <c r="C272" s="91"/>
      <c r="D272" s="92"/>
      <c r="E272" s="89"/>
      <c r="F272" s="89"/>
      <c r="G272" s="89"/>
      <c r="H272" s="89"/>
      <c r="I272" s="89"/>
      <c r="J272" s="89"/>
      <c r="K272" s="89"/>
      <c r="L272" s="89"/>
      <c r="M272" s="89"/>
      <c r="N272" s="89"/>
      <c r="O272" s="89"/>
      <c r="P272" s="89"/>
      <c r="Q272" s="89"/>
      <c r="R272" s="89"/>
      <c r="S272" s="89"/>
      <c r="T272" s="89"/>
      <c r="U272" s="89"/>
    </row>
    <row r="273">
      <c r="A273" s="89"/>
      <c r="B273" s="89"/>
      <c r="C273" s="91"/>
      <c r="D273" s="92"/>
      <c r="E273" s="89"/>
      <c r="F273" s="89"/>
      <c r="G273" s="89"/>
      <c r="H273" s="89"/>
      <c r="I273" s="89"/>
      <c r="J273" s="89"/>
      <c r="K273" s="89"/>
      <c r="L273" s="89"/>
      <c r="M273" s="89"/>
      <c r="N273" s="89"/>
      <c r="O273" s="89"/>
      <c r="P273" s="89"/>
      <c r="Q273" s="89"/>
      <c r="R273" s="89"/>
      <c r="S273" s="89"/>
      <c r="T273" s="89"/>
      <c r="U273" s="89"/>
    </row>
    <row r="274">
      <c r="A274" s="89"/>
      <c r="B274" s="89"/>
      <c r="C274" s="91"/>
      <c r="D274" s="92"/>
      <c r="E274" s="89"/>
      <c r="F274" s="89"/>
      <c r="G274" s="89"/>
      <c r="H274" s="89"/>
      <c r="I274" s="89"/>
      <c r="J274" s="89"/>
      <c r="K274" s="89"/>
      <c r="L274" s="89"/>
      <c r="M274" s="89"/>
      <c r="N274" s="89"/>
      <c r="O274" s="89"/>
      <c r="P274" s="89"/>
      <c r="Q274" s="89"/>
      <c r="R274" s="89"/>
      <c r="S274" s="89"/>
      <c r="T274" s="89"/>
      <c r="U274" s="89"/>
    </row>
    <row r="275">
      <c r="A275" s="89"/>
      <c r="B275" s="89"/>
      <c r="C275" s="91"/>
      <c r="D275" s="92"/>
      <c r="E275" s="89"/>
      <c r="F275" s="89"/>
      <c r="G275" s="89"/>
      <c r="H275" s="89"/>
      <c r="I275" s="89"/>
      <c r="J275" s="89"/>
      <c r="K275" s="89"/>
      <c r="L275" s="89"/>
      <c r="M275" s="89"/>
      <c r="N275" s="89"/>
      <c r="O275" s="89"/>
      <c r="P275" s="89"/>
      <c r="Q275" s="89"/>
      <c r="R275" s="89"/>
      <c r="S275" s="89"/>
      <c r="T275" s="89"/>
      <c r="U275" s="89"/>
    </row>
    <row r="276">
      <c r="A276" s="89"/>
      <c r="B276" s="89"/>
      <c r="C276" s="91"/>
      <c r="D276" s="92"/>
      <c r="E276" s="89"/>
      <c r="F276" s="89"/>
      <c r="G276" s="89"/>
      <c r="H276" s="89"/>
      <c r="I276" s="89"/>
      <c r="J276" s="89"/>
      <c r="K276" s="89"/>
      <c r="L276" s="89"/>
      <c r="M276" s="89"/>
      <c r="N276" s="89"/>
      <c r="O276" s="89"/>
      <c r="P276" s="89"/>
      <c r="Q276" s="89"/>
      <c r="R276" s="89"/>
      <c r="S276" s="89"/>
      <c r="T276" s="89"/>
      <c r="U276" s="89"/>
    </row>
    <row r="277">
      <c r="A277" s="89"/>
      <c r="B277" s="89"/>
      <c r="C277" s="91"/>
      <c r="D277" s="92"/>
      <c r="E277" s="89"/>
      <c r="F277" s="89"/>
      <c r="G277" s="89"/>
      <c r="H277" s="89"/>
      <c r="I277" s="89"/>
      <c r="J277" s="89"/>
      <c r="K277" s="89"/>
      <c r="L277" s="89"/>
      <c r="M277" s="89"/>
      <c r="N277" s="89"/>
      <c r="O277" s="89"/>
      <c r="P277" s="89"/>
      <c r="Q277" s="89"/>
      <c r="R277" s="89"/>
      <c r="S277" s="89"/>
      <c r="T277" s="89"/>
      <c r="U277" s="89"/>
    </row>
    <row r="278">
      <c r="A278" s="89"/>
      <c r="B278" s="89"/>
      <c r="C278" s="91"/>
      <c r="D278" s="92"/>
      <c r="E278" s="89"/>
      <c r="F278" s="89"/>
      <c r="G278" s="89"/>
      <c r="H278" s="89"/>
      <c r="I278" s="89"/>
      <c r="J278" s="89"/>
      <c r="K278" s="89"/>
      <c r="L278" s="89"/>
      <c r="M278" s="89"/>
      <c r="N278" s="89"/>
      <c r="O278" s="89"/>
      <c r="P278" s="89"/>
      <c r="Q278" s="89"/>
      <c r="R278" s="89"/>
      <c r="S278" s="89"/>
      <c r="T278" s="89"/>
      <c r="U278" s="89"/>
    </row>
    <row r="279">
      <c r="A279" s="89"/>
      <c r="B279" s="89"/>
      <c r="C279" s="91"/>
      <c r="D279" s="92"/>
      <c r="E279" s="89"/>
      <c r="F279" s="89"/>
      <c r="G279" s="89"/>
      <c r="H279" s="89"/>
      <c r="I279" s="89"/>
      <c r="J279" s="89"/>
      <c r="K279" s="89"/>
      <c r="L279" s="89"/>
      <c r="M279" s="89"/>
      <c r="N279" s="89"/>
      <c r="O279" s="89"/>
      <c r="P279" s="89"/>
      <c r="Q279" s="89"/>
      <c r="R279" s="89"/>
      <c r="S279" s="89"/>
      <c r="T279" s="89"/>
      <c r="U279" s="89"/>
    </row>
    <row r="280">
      <c r="A280" s="89"/>
      <c r="B280" s="89"/>
      <c r="C280" s="91"/>
      <c r="D280" s="92"/>
      <c r="E280" s="89"/>
      <c r="F280" s="89"/>
      <c r="G280" s="89"/>
      <c r="H280" s="89"/>
      <c r="I280" s="89"/>
      <c r="J280" s="89"/>
      <c r="K280" s="89"/>
      <c r="L280" s="89"/>
      <c r="M280" s="89"/>
      <c r="N280" s="89"/>
      <c r="O280" s="89"/>
      <c r="P280" s="89"/>
      <c r="Q280" s="89"/>
      <c r="R280" s="89"/>
      <c r="S280" s="89"/>
      <c r="T280" s="89"/>
      <c r="U280" s="89"/>
    </row>
    <row r="281">
      <c r="A281" s="89"/>
      <c r="B281" s="89"/>
      <c r="C281" s="91"/>
      <c r="D281" s="92"/>
      <c r="E281" s="89"/>
      <c r="F281" s="89"/>
      <c r="G281" s="89"/>
      <c r="H281" s="89"/>
      <c r="I281" s="89"/>
      <c r="J281" s="89"/>
      <c r="K281" s="89"/>
      <c r="L281" s="89"/>
      <c r="M281" s="89"/>
      <c r="N281" s="89"/>
      <c r="O281" s="89"/>
      <c r="P281" s="89"/>
      <c r="Q281" s="89"/>
      <c r="R281" s="89"/>
      <c r="S281" s="89"/>
      <c r="T281" s="89"/>
      <c r="U281" s="89"/>
    </row>
    <row r="282">
      <c r="A282" s="89"/>
      <c r="B282" s="89"/>
      <c r="C282" s="91"/>
      <c r="D282" s="92"/>
      <c r="E282" s="89"/>
      <c r="F282" s="89"/>
      <c r="G282" s="89"/>
      <c r="H282" s="89"/>
      <c r="I282" s="89"/>
      <c r="J282" s="89"/>
      <c r="K282" s="89"/>
      <c r="L282" s="89"/>
      <c r="M282" s="89"/>
      <c r="N282" s="89"/>
      <c r="O282" s="89"/>
      <c r="P282" s="89"/>
      <c r="Q282" s="89"/>
      <c r="R282" s="89"/>
      <c r="S282" s="89"/>
      <c r="T282" s="89"/>
      <c r="U282" s="89"/>
    </row>
    <row r="283">
      <c r="A283" s="89"/>
      <c r="B283" s="89"/>
      <c r="C283" s="91"/>
      <c r="D283" s="92"/>
      <c r="E283" s="89"/>
      <c r="F283" s="89"/>
      <c r="G283" s="89"/>
      <c r="H283" s="89"/>
      <c r="I283" s="89"/>
      <c r="J283" s="89"/>
      <c r="K283" s="89"/>
      <c r="L283" s="89"/>
      <c r="M283" s="89"/>
      <c r="N283" s="89"/>
      <c r="O283" s="89"/>
      <c r="P283" s="89"/>
      <c r="Q283" s="89"/>
      <c r="R283" s="89"/>
      <c r="S283" s="89"/>
      <c r="T283" s="89"/>
      <c r="U283" s="89"/>
    </row>
    <row r="284">
      <c r="A284" s="89"/>
      <c r="B284" s="89"/>
      <c r="C284" s="91"/>
      <c r="D284" s="92"/>
      <c r="E284" s="89"/>
      <c r="F284" s="89"/>
      <c r="G284" s="89"/>
      <c r="H284" s="89"/>
      <c r="I284" s="89"/>
      <c r="J284" s="89"/>
      <c r="K284" s="89"/>
      <c r="L284" s="89"/>
      <c r="M284" s="89"/>
      <c r="N284" s="89"/>
      <c r="O284" s="89"/>
      <c r="P284" s="89"/>
      <c r="Q284" s="89"/>
      <c r="R284" s="89"/>
      <c r="S284" s="89"/>
      <c r="T284" s="89"/>
      <c r="U284" s="89"/>
    </row>
    <row r="285">
      <c r="A285" s="89"/>
      <c r="B285" s="89"/>
      <c r="C285" s="91"/>
      <c r="D285" s="92"/>
      <c r="E285" s="89"/>
      <c r="F285" s="89"/>
      <c r="G285" s="89"/>
      <c r="H285" s="89"/>
      <c r="I285" s="89"/>
      <c r="J285" s="89"/>
      <c r="K285" s="89"/>
      <c r="L285" s="89"/>
      <c r="M285" s="89"/>
      <c r="N285" s="89"/>
      <c r="O285" s="89"/>
      <c r="P285" s="89"/>
      <c r="Q285" s="89"/>
      <c r="R285" s="89"/>
      <c r="S285" s="89"/>
      <c r="T285" s="89"/>
      <c r="U285" s="89"/>
    </row>
    <row r="286">
      <c r="A286" s="89"/>
      <c r="B286" s="89"/>
      <c r="C286" s="91"/>
      <c r="D286" s="92"/>
      <c r="E286" s="89"/>
      <c r="F286" s="89"/>
      <c r="G286" s="89"/>
      <c r="H286" s="89"/>
      <c r="I286" s="89"/>
      <c r="J286" s="89"/>
      <c r="K286" s="89"/>
      <c r="L286" s="89"/>
      <c r="M286" s="89"/>
      <c r="N286" s="89"/>
      <c r="O286" s="89"/>
      <c r="P286" s="89"/>
      <c r="Q286" s="89"/>
      <c r="R286" s="89"/>
      <c r="S286" s="89"/>
      <c r="T286" s="89"/>
      <c r="U286" s="89"/>
    </row>
    <row r="287">
      <c r="A287" s="89"/>
      <c r="B287" s="89"/>
      <c r="C287" s="91"/>
      <c r="D287" s="92"/>
      <c r="E287" s="89"/>
      <c r="F287" s="89"/>
      <c r="G287" s="89"/>
      <c r="H287" s="89"/>
      <c r="I287" s="89"/>
      <c r="J287" s="89"/>
      <c r="K287" s="89"/>
      <c r="L287" s="89"/>
      <c r="M287" s="89"/>
      <c r="N287" s="89"/>
      <c r="O287" s="89"/>
      <c r="P287" s="89"/>
      <c r="Q287" s="89"/>
      <c r="R287" s="89"/>
      <c r="S287" s="89"/>
      <c r="T287" s="89"/>
      <c r="U287" s="89"/>
    </row>
    <row r="288">
      <c r="A288" s="89"/>
      <c r="B288" s="89"/>
      <c r="C288" s="91"/>
      <c r="D288" s="92"/>
      <c r="E288" s="89"/>
      <c r="F288" s="89"/>
      <c r="G288" s="89"/>
      <c r="H288" s="89"/>
      <c r="I288" s="89"/>
      <c r="J288" s="89"/>
      <c r="K288" s="89"/>
      <c r="L288" s="89"/>
      <c r="M288" s="89"/>
      <c r="N288" s="89"/>
      <c r="O288" s="89"/>
      <c r="P288" s="89"/>
      <c r="Q288" s="89"/>
      <c r="R288" s="89"/>
      <c r="S288" s="89"/>
      <c r="T288" s="89"/>
      <c r="U288" s="89"/>
    </row>
    <row r="289">
      <c r="A289" s="89"/>
      <c r="B289" s="89"/>
      <c r="C289" s="91"/>
      <c r="D289" s="92"/>
      <c r="E289" s="89"/>
      <c r="F289" s="89"/>
      <c r="G289" s="89"/>
      <c r="H289" s="89"/>
      <c r="I289" s="89"/>
      <c r="J289" s="89"/>
      <c r="K289" s="89"/>
      <c r="L289" s="89"/>
      <c r="M289" s="89"/>
      <c r="N289" s="89"/>
      <c r="O289" s="89"/>
      <c r="P289" s="89"/>
      <c r="Q289" s="89"/>
      <c r="R289" s="89"/>
      <c r="S289" s="89"/>
      <c r="T289" s="89"/>
      <c r="U289" s="89"/>
    </row>
    <row r="290">
      <c r="A290" s="89"/>
      <c r="B290" s="89"/>
      <c r="C290" s="91"/>
      <c r="D290" s="92"/>
      <c r="E290" s="89"/>
      <c r="F290" s="89"/>
      <c r="G290" s="89"/>
      <c r="H290" s="89"/>
      <c r="I290" s="89"/>
      <c r="J290" s="89"/>
      <c r="K290" s="89"/>
      <c r="L290" s="89"/>
      <c r="M290" s="89"/>
      <c r="N290" s="89"/>
      <c r="O290" s="89"/>
      <c r="P290" s="89"/>
      <c r="Q290" s="89"/>
      <c r="R290" s="89"/>
      <c r="S290" s="89"/>
      <c r="T290" s="89"/>
      <c r="U290" s="89"/>
    </row>
    <row r="291">
      <c r="A291" s="89"/>
      <c r="B291" s="89"/>
      <c r="C291" s="91"/>
      <c r="D291" s="92"/>
      <c r="E291" s="89"/>
      <c r="F291" s="89"/>
      <c r="G291" s="89"/>
      <c r="H291" s="89"/>
      <c r="I291" s="89"/>
      <c r="J291" s="89"/>
      <c r="K291" s="89"/>
      <c r="L291" s="89"/>
      <c r="M291" s="89"/>
      <c r="N291" s="89"/>
      <c r="O291" s="89"/>
      <c r="P291" s="89"/>
      <c r="Q291" s="89"/>
      <c r="R291" s="89"/>
      <c r="S291" s="89"/>
      <c r="T291" s="89"/>
      <c r="U291" s="89"/>
    </row>
    <row r="292">
      <c r="A292" s="89"/>
      <c r="B292" s="89"/>
      <c r="C292" s="91"/>
      <c r="D292" s="92"/>
      <c r="E292" s="89"/>
      <c r="F292" s="89"/>
      <c r="G292" s="89"/>
      <c r="H292" s="89"/>
      <c r="I292" s="89"/>
      <c r="J292" s="89"/>
      <c r="K292" s="89"/>
      <c r="L292" s="89"/>
      <c r="M292" s="89"/>
      <c r="N292" s="89"/>
      <c r="O292" s="89"/>
      <c r="P292" s="89"/>
      <c r="Q292" s="89"/>
      <c r="R292" s="89"/>
      <c r="S292" s="89"/>
      <c r="T292" s="89"/>
      <c r="U292" s="89"/>
    </row>
    <row r="293">
      <c r="A293" s="89"/>
      <c r="B293" s="89"/>
      <c r="C293" s="91"/>
      <c r="D293" s="92"/>
      <c r="E293" s="89"/>
      <c r="F293" s="89"/>
      <c r="G293" s="89"/>
      <c r="H293" s="89"/>
      <c r="I293" s="89"/>
      <c r="J293" s="89"/>
      <c r="K293" s="89"/>
      <c r="L293" s="89"/>
      <c r="M293" s="89"/>
      <c r="N293" s="89"/>
      <c r="O293" s="89"/>
      <c r="P293" s="89"/>
      <c r="Q293" s="89"/>
      <c r="R293" s="89"/>
      <c r="S293" s="89"/>
      <c r="T293" s="89"/>
      <c r="U293" s="89"/>
    </row>
    <row r="294">
      <c r="A294" s="89"/>
      <c r="B294" s="89"/>
      <c r="C294" s="91"/>
      <c r="D294" s="92"/>
      <c r="E294" s="89"/>
      <c r="F294" s="89"/>
      <c r="G294" s="89"/>
      <c r="H294" s="89"/>
      <c r="I294" s="89"/>
      <c r="J294" s="89"/>
      <c r="K294" s="89"/>
      <c r="L294" s="89"/>
      <c r="M294" s="89"/>
      <c r="N294" s="89"/>
      <c r="O294" s="89"/>
      <c r="P294" s="89"/>
      <c r="Q294" s="89"/>
      <c r="R294" s="89"/>
      <c r="S294" s="89"/>
      <c r="T294" s="89"/>
      <c r="U294" s="89"/>
    </row>
    <row r="295">
      <c r="A295" s="89"/>
      <c r="B295" s="89"/>
      <c r="C295" s="91"/>
      <c r="D295" s="92"/>
      <c r="E295" s="89"/>
      <c r="F295" s="89"/>
      <c r="G295" s="89"/>
      <c r="H295" s="89"/>
      <c r="I295" s="89"/>
      <c r="J295" s="89"/>
      <c r="K295" s="89"/>
      <c r="L295" s="89"/>
      <c r="M295" s="89"/>
      <c r="N295" s="89"/>
      <c r="O295" s="89"/>
      <c r="P295" s="89"/>
      <c r="Q295" s="89"/>
      <c r="R295" s="89"/>
      <c r="S295" s="89"/>
      <c r="T295" s="89"/>
      <c r="U295" s="89"/>
    </row>
    <row r="296">
      <c r="A296" s="89"/>
      <c r="B296" s="89"/>
      <c r="C296" s="91"/>
      <c r="D296" s="92"/>
      <c r="E296" s="89"/>
      <c r="F296" s="89"/>
      <c r="G296" s="89"/>
      <c r="H296" s="89"/>
      <c r="I296" s="89"/>
      <c r="J296" s="89"/>
      <c r="K296" s="89"/>
      <c r="L296" s="89"/>
      <c r="M296" s="89"/>
      <c r="N296" s="89"/>
      <c r="O296" s="89"/>
      <c r="P296" s="89"/>
      <c r="Q296" s="89"/>
      <c r="R296" s="89"/>
      <c r="S296" s="89"/>
      <c r="T296" s="89"/>
      <c r="U296" s="89"/>
    </row>
    <row r="297">
      <c r="A297" s="89"/>
      <c r="B297" s="89"/>
      <c r="C297" s="91"/>
      <c r="D297" s="92"/>
      <c r="E297" s="89"/>
      <c r="F297" s="89"/>
      <c r="G297" s="89"/>
      <c r="H297" s="89"/>
      <c r="I297" s="89"/>
      <c r="J297" s="89"/>
      <c r="K297" s="89"/>
      <c r="L297" s="89"/>
      <c r="M297" s="89"/>
      <c r="N297" s="89"/>
      <c r="O297" s="89"/>
      <c r="P297" s="89"/>
      <c r="Q297" s="89"/>
      <c r="R297" s="89"/>
      <c r="S297" s="89"/>
      <c r="T297" s="89"/>
      <c r="U297" s="89"/>
    </row>
    <row r="298">
      <c r="A298" s="89"/>
      <c r="B298" s="89"/>
      <c r="C298" s="91"/>
      <c r="D298" s="92"/>
      <c r="E298" s="89"/>
      <c r="F298" s="89"/>
      <c r="G298" s="89"/>
      <c r="H298" s="89"/>
      <c r="I298" s="89"/>
      <c r="J298" s="89"/>
      <c r="K298" s="89"/>
      <c r="L298" s="89"/>
      <c r="M298" s="89"/>
      <c r="N298" s="89"/>
      <c r="O298" s="89"/>
      <c r="P298" s="89"/>
      <c r="Q298" s="89"/>
      <c r="R298" s="89"/>
      <c r="S298" s="89"/>
      <c r="T298" s="89"/>
      <c r="U298" s="89"/>
    </row>
    <row r="299">
      <c r="A299" s="89"/>
      <c r="B299" s="89"/>
      <c r="C299" s="91"/>
      <c r="D299" s="92"/>
      <c r="E299" s="89"/>
      <c r="F299" s="89"/>
      <c r="G299" s="89"/>
      <c r="H299" s="89"/>
      <c r="I299" s="89"/>
      <c r="J299" s="89"/>
      <c r="K299" s="89"/>
      <c r="L299" s="89"/>
      <c r="M299" s="89"/>
      <c r="N299" s="89"/>
      <c r="O299" s="89"/>
      <c r="P299" s="89"/>
      <c r="Q299" s="89"/>
      <c r="R299" s="89"/>
      <c r="S299" s="89"/>
      <c r="T299" s="89"/>
      <c r="U299" s="89"/>
    </row>
    <row r="300">
      <c r="A300" s="89"/>
      <c r="B300" s="89"/>
      <c r="C300" s="91"/>
      <c r="D300" s="92"/>
      <c r="E300" s="89"/>
      <c r="F300" s="89"/>
      <c r="G300" s="89"/>
      <c r="H300" s="89"/>
      <c r="I300" s="89"/>
      <c r="J300" s="89"/>
      <c r="K300" s="89"/>
      <c r="L300" s="89"/>
      <c r="M300" s="89"/>
      <c r="N300" s="89"/>
      <c r="O300" s="89"/>
      <c r="P300" s="89"/>
      <c r="Q300" s="89"/>
      <c r="R300" s="89"/>
      <c r="S300" s="89"/>
      <c r="T300" s="89"/>
      <c r="U300" s="89"/>
    </row>
    <row r="301">
      <c r="A301" s="89"/>
      <c r="B301" s="89"/>
      <c r="C301" s="91"/>
      <c r="D301" s="92"/>
      <c r="E301" s="89"/>
      <c r="F301" s="89"/>
      <c r="G301" s="89"/>
      <c r="H301" s="89"/>
      <c r="I301" s="89"/>
      <c r="J301" s="89"/>
      <c r="K301" s="89"/>
      <c r="L301" s="89"/>
      <c r="M301" s="89"/>
      <c r="N301" s="89"/>
      <c r="O301" s="89"/>
      <c r="P301" s="89"/>
      <c r="Q301" s="89"/>
      <c r="R301" s="89"/>
      <c r="S301" s="89"/>
      <c r="T301" s="89"/>
      <c r="U301" s="89"/>
    </row>
    <row r="302">
      <c r="A302" s="89"/>
      <c r="B302" s="89"/>
      <c r="C302" s="91"/>
      <c r="D302" s="92"/>
      <c r="E302" s="89"/>
      <c r="F302" s="89"/>
      <c r="G302" s="89"/>
      <c r="H302" s="89"/>
      <c r="I302" s="89"/>
      <c r="J302" s="89"/>
      <c r="K302" s="89"/>
      <c r="L302" s="89"/>
      <c r="M302" s="89"/>
      <c r="N302" s="89"/>
      <c r="O302" s="89"/>
      <c r="P302" s="89"/>
      <c r="Q302" s="89"/>
      <c r="R302" s="89"/>
      <c r="S302" s="89"/>
      <c r="T302" s="89"/>
      <c r="U302" s="89"/>
    </row>
    <row r="303">
      <c r="A303" s="89"/>
      <c r="B303" s="89"/>
      <c r="C303" s="91"/>
      <c r="D303" s="92"/>
      <c r="E303" s="89"/>
      <c r="F303" s="89"/>
      <c r="G303" s="89"/>
      <c r="H303" s="89"/>
      <c r="I303" s="89"/>
      <c r="J303" s="89"/>
      <c r="K303" s="89"/>
      <c r="L303" s="89"/>
      <c r="M303" s="89"/>
      <c r="N303" s="89"/>
      <c r="O303" s="89"/>
      <c r="P303" s="89"/>
      <c r="Q303" s="89"/>
      <c r="R303" s="89"/>
      <c r="S303" s="89"/>
      <c r="T303" s="89"/>
      <c r="U303" s="89"/>
    </row>
    <row r="304">
      <c r="A304" s="89"/>
      <c r="B304" s="89"/>
      <c r="C304" s="91"/>
      <c r="D304" s="92"/>
      <c r="E304" s="89"/>
      <c r="F304" s="89"/>
      <c r="G304" s="89"/>
      <c r="H304" s="89"/>
      <c r="I304" s="89"/>
      <c r="J304" s="89"/>
      <c r="K304" s="89"/>
      <c r="L304" s="89"/>
      <c r="M304" s="89"/>
      <c r="N304" s="89"/>
      <c r="O304" s="89"/>
      <c r="P304" s="89"/>
      <c r="Q304" s="89"/>
      <c r="R304" s="89"/>
      <c r="S304" s="89"/>
      <c r="T304" s="89"/>
      <c r="U304" s="89"/>
    </row>
    <row r="305">
      <c r="A305" s="89"/>
      <c r="B305" s="89"/>
      <c r="C305" s="91"/>
      <c r="D305" s="92"/>
      <c r="E305" s="89"/>
      <c r="F305" s="89"/>
      <c r="G305" s="89"/>
      <c r="H305" s="89"/>
      <c r="I305" s="89"/>
      <c r="J305" s="89"/>
      <c r="K305" s="89"/>
      <c r="L305" s="89"/>
      <c r="M305" s="89"/>
      <c r="N305" s="89"/>
      <c r="O305" s="89"/>
      <c r="P305" s="89"/>
      <c r="Q305" s="89"/>
      <c r="R305" s="89"/>
      <c r="S305" s="89"/>
      <c r="T305" s="89"/>
      <c r="U305" s="89"/>
    </row>
    <row r="306">
      <c r="A306" s="89"/>
      <c r="B306" s="89"/>
      <c r="C306" s="91"/>
      <c r="D306" s="92"/>
      <c r="E306" s="89"/>
      <c r="F306" s="89"/>
      <c r="G306" s="89"/>
      <c r="H306" s="89"/>
      <c r="I306" s="89"/>
      <c r="J306" s="89"/>
      <c r="K306" s="89"/>
      <c r="L306" s="89"/>
      <c r="M306" s="89"/>
      <c r="N306" s="89"/>
      <c r="O306" s="89"/>
      <c r="P306" s="89"/>
      <c r="Q306" s="89"/>
      <c r="R306" s="89"/>
      <c r="S306" s="89"/>
      <c r="T306" s="89"/>
      <c r="U306" s="89"/>
    </row>
    <row r="307">
      <c r="A307" s="89"/>
      <c r="B307" s="89"/>
      <c r="C307" s="91"/>
      <c r="D307" s="92"/>
      <c r="E307" s="89"/>
      <c r="F307" s="89"/>
      <c r="G307" s="89"/>
      <c r="H307" s="89"/>
      <c r="I307" s="89"/>
      <c r="J307" s="89"/>
      <c r="K307" s="89"/>
      <c r="L307" s="89"/>
      <c r="M307" s="89"/>
      <c r="N307" s="89"/>
      <c r="O307" s="89"/>
      <c r="P307" s="89"/>
      <c r="Q307" s="89"/>
      <c r="R307" s="89"/>
      <c r="S307" s="89"/>
      <c r="T307" s="89"/>
      <c r="U307" s="89"/>
    </row>
    <row r="308">
      <c r="A308" s="89"/>
      <c r="B308" s="89"/>
      <c r="C308" s="91"/>
      <c r="D308" s="92"/>
      <c r="E308" s="89"/>
      <c r="F308" s="89"/>
      <c r="G308" s="89"/>
      <c r="H308" s="89"/>
      <c r="I308" s="89"/>
      <c r="J308" s="89"/>
      <c r="K308" s="89"/>
      <c r="L308" s="89"/>
      <c r="M308" s="89"/>
      <c r="N308" s="89"/>
      <c r="O308" s="89"/>
      <c r="P308" s="89"/>
      <c r="Q308" s="89"/>
      <c r="R308" s="89"/>
      <c r="S308" s="89"/>
      <c r="T308" s="89"/>
      <c r="U308" s="89"/>
    </row>
    <row r="309">
      <c r="A309" s="89"/>
      <c r="B309" s="89"/>
      <c r="C309" s="91"/>
      <c r="D309" s="92"/>
      <c r="E309" s="89"/>
      <c r="F309" s="89"/>
      <c r="G309" s="89"/>
      <c r="H309" s="89"/>
      <c r="I309" s="89"/>
      <c r="J309" s="89"/>
      <c r="K309" s="89"/>
      <c r="L309" s="89"/>
      <c r="M309" s="89"/>
      <c r="N309" s="89"/>
      <c r="O309" s="89"/>
      <c r="P309" s="89"/>
      <c r="Q309" s="89"/>
      <c r="R309" s="89"/>
      <c r="S309" s="89"/>
      <c r="T309" s="89"/>
      <c r="U309" s="89"/>
    </row>
    <row r="310">
      <c r="A310" s="89"/>
      <c r="B310" s="89"/>
      <c r="C310" s="91"/>
      <c r="D310" s="92"/>
      <c r="E310" s="89"/>
      <c r="F310" s="89"/>
      <c r="G310" s="89"/>
      <c r="H310" s="89"/>
      <c r="I310" s="89"/>
      <c r="J310" s="89"/>
      <c r="K310" s="89"/>
      <c r="L310" s="89"/>
      <c r="M310" s="89"/>
      <c r="N310" s="89"/>
      <c r="O310" s="89"/>
      <c r="P310" s="89"/>
      <c r="Q310" s="89"/>
      <c r="R310" s="89"/>
      <c r="S310" s="89"/>
      <c r="T310" s="89"/>
      <c r="U310" s="89"/>
    </row>
    <row r="311">
      <c r="A311" s="89"/>
      <c r="B311" s="89"/>
      <c r="C311" s="91"/>
      <c r="D311" s="92"/>
      <c r="E311" s="89"/>
      <c r="F311" s="89"/>
      <c r="G311" s="89"/>
      <c r="H311" s="89"/>
      <c r="I311" s="89"/>
      <c r="J311" s="89"/>
      <c r="K311" s="89"/>
      <c r="L311" s="89"/>
      <c r="M311" s="89"/>
      <c r="N311" s="89"/>
      <c r="O311" s="89"/>
      <c r="P311" s="89"/>
      <c r="Q311" s="89"/>
      <c r="R311" s="89"/>
      <c r="S311" s="89"/>
      <c r="T311" s="89"/>
      <c r="U311" s="89"/>
    </row>
    <row r="312">
      <c r="A312" s="89"/>
      <c r="B312" s="89"/>
      <c r="C312" s="91"/>
      <c r="D312" s="92"/>
      <c r="E312" s="89"/>
      <c r="F312" s="89"/>
      <c r="G312" s="89"/>
      <c r="H312" s="89"/>
      <c r="I312" s="89"/>
      <c r="J312" s="89"/>
      <c r="K312" s="89"/>
      <c r="L312" s="89"/>
      <c r="M312" s="89"/>
      <c r="N312" s="89"/>
      <c r="O312" s="89"/>
      <c r="P312" s="89"/>
      <c r="Q312" s="89"/>
      <c r="R312" s="89"/>
      <c r="S312" s="89"/>
      <c r="T312" s="89"/>
      <c r="U312" s="89"/>
    </row>
    <row r="313">
      <c r="A313" s="89"/>
      <c r="B313" s="89"/>
      <c r="C313" s="91"/>
      <c r="D313" s="92"/>
      <c r="E313" s="89"/>
      <c r="F313" s="89"/>
      <c r="G313" s="89"/>
      <c r="H313" s="89"/>
      <c r="I313" s="89"/>
      <c r="J313" s="89"/>
      <c r="K313" s="89"/>
      <c r="L313" s="89"/>
      <c r="M313" s="89"/>
      <c r="N313" s="89"/>
      <c r="O313" s="89"/>
      <c r="P313" s="89"/>
      <c r="Q313" s="89"/>
      <c r="R313" s="89"/>
      <c r="S313" s="89"/>
      <c r="T313" s="89"/>
      <c r="U313" s="89"/>
    </row>
    <row r="314">
      <c r="A314" s="89"/>
      <c r="B314" s="89"/>
      <c r="C314" s="91"/>
      <c r="D314" s="92"/>
      <c r="E314" s="89"/>
      <c r="F314" s="89"/>
      <c r="G314" s="89"/>
      <c r="H314" s="89"/>
      <c r="I314" s="89"/>
      <c r="J314" s="89"/>
      <c r="K314" s="89"/>
      <c r="L314" s="89"/>
      <c r="M314" s="89"/>
      <c r="N314" s="89"/>
      <c r="O314" s="89"/>
      <c r="P314" s="89"/>
      <c r="Q314" s="89"/>
      <c r="R314" s="89"/>
      <c r="S314" s="89"/>
      <c r="T314" s="89"/>
      <c r="U314" s="89"/>
    </row>
    <row r="315">
      <c r="A315" s="89"/>
      <c r="B315" s="89"/>
      <c r="C315" s="91"/>
      <c r="D315" s="92"/>
      <c r="E315" s="89"/>
      <c r="F315" s="89"/>
      <c r="G315" s="89"/>
      <c r="H315" s="89"/>
      <c r="I315" s="89"/>
      <c r="J315" s="89"/>
      <c r="K315" s="89"/>
      <c r="L315" s="89"/>
      <c r="M315" s="89"/>
      <c r="N315" s="89"/>
      <c r="O315" s="89"/>
      <c r="P315" s="89"/>
      <c r="Q315" s="89"/>
      <c r="R315" s="89"/>
      <c r="S315" s="89"/>
      <c r="T315" s="89"/>
      <c r="U315" s="89"/>
    </row>
    <row r="316">
      <c r="A316" s="89"/>
      <c r="B316" s="89"/>
      <c r="C316" s="91"/>
      <c r="D316" s="92"/>
      <c r="E316" s="89"/>
      <c r="F316" s="89"/>
      <c r="G316" s="89"/>
      <c r="H316" s="89"/>
      <c r="I316" s="89"/>
      <c r="J316" s="89"/>
      <c r="K316" s="89"/>
      <c r="L316" s="89"/>
      <c r="M316" s="89"/>
      <c r="N316" s="89"/>
      <c r="O316" s="89"/>
      <c r="P316" s="89"/>
      <c r="Q316" s="89"/>
      <c r="R316" s="89"/>
      <c r="S316" s="89"/>
      <c r="T316" s="89"/>
      <c r="U316" s="89"/>
    </row>
    <row r="317">
      <c r="A317" s="89"/>
      <c r="B317" s="89"/>
      <c r="C317" s="91"/>
      <c r="D317" s="92"/>
      <c r="E317" s="89"/>
      <c r="F317" s="89"/>
      <c r="G317" s="89"/>
      <c r="H317" s="89"/>
      <c r="I317" s="89"/>
      <c r="J317" s="89"/>
      <c r="K317" s="89"/>
      <c r="L317" s="89"/>
      <c r="M317" s="89"/>
      <c r="N317" s="89"/>
      <c r="O317" s="89"/>
      <c r="P317" s="89"/>
      <c r="Q317" s="89"/>
      <c r="R317" s="89"/>
      <c r="S317" s="89"/>
      <c r="T317" s="89"/>
      <c r="U317" s="89"/>
    </row>
    <row r="318">
      <c r="A318" s="89"/>
      <c r="B318" s="89"/>
      <c r="C318" s="91"/>
      <c r="D318" s="92"/>
      <c r="E318" s="89"/>
      <c r="F318" s="89"/>
      <c r="G318" s="89"/>
      <c r="H318" s="89"/>
      <c r="I318" s="89"/>
      <c r="J318" s="89"/>
      <c r="K318" s="89"/>
      <c r="L318" s="89"/>
      <c r="M318" s="89"/>
      <c r="N318" s="89"/>
      <c r="O318" s="89"/>
      <c r="P318" s="89"/>
      <c r="Q318" s="89"/>
      <c r="R318" s="89"/>
      <c r="S318" s="89"/>
      <c r="T318" s="89"/>
      <c r="U318" s="89"/>
    </row>
    <row r="319">
      <c r="A319" s="89"/>
      <c r="B319" s="89"/>
      <c r="C319" s="91"/>
      <c r="D319" s="92"/>
      <c r="E319" s="89"/>
      <c r="F319" s="89"/>
      <c r="G319" s="89"/>
      <c r="H319" s="89"/>
      <c r="I319" s="89"/>
      <c r="J319" s="89"/>
      <c r="K319" s="89"/>
      <c r="L319" s="89"/>
      <c r="M319" s="89"/>
      <c r="N319" s="89"/>
      <c r="O319" s="89"/>
      <c r="P319" s="89"/>
      <c r="Q319" s="89"/>
      <c r="R319" s="89"/>
      <c r="S319" s="89"/>
      <c r="T319" s="89"/>
      <c r="U319" s="89"/>
    </row>
    <row r="320">
      <c r="A320" s="89"/>
      <c r="B320" s="89"/>
      <c r="C320" s="91"/>
      <c r="D320" s="92"/>
      <c r="E320" s="89"/>
      <c r="F320" s="89"/>
      <c r="G320" s="89"/>
      <c r="H320" s="89"/>
      <c r="I320" s="89"/>
      <c r="J320" s="89"/>
      <c r="K320" s="89"/>
      <c r="L320" s="89"/>
      <c r="M320" s="89"/>
      <c r="N320" s="89"/>
      <c r="O320" s="89"/>
      <c r="P320" s="89"/>
      <c r="Q320" s="89"/>
      <c r="R320" s="89"/>
      <c r="S320" s="89"/>
      <c r="T320" s="89"/>
      <c r="U320" s="89"/>
    </row>
    <row r="321">
      <c r="A321" s="89"/>
      <c r="B321" s="89"/>
      <c r="C321" s="91"/>
      <c r="D321" s="92"/>
      <c r="E321" s="89"/>
      <c r="F321" s="89"/>
      <c r="G321" s="89"/>
      <c r="H321" s="89"/>
      <c r="I321" s="89"/>
      <c r="J321" s="89"/>
      <c r="K321" s="89"/>
      <c r="L321" s="89"/>
      <c r="M321" s="89"/>
      <c r="N321" s="89"/>
      <c r="O321" s="89"/>
      <c r="P321" s="89"/>
      <c r="Q321" s="89"/>
      <c r="R321" s="89"/>
      <c r="S321" s="89"/>
      <c r="T321" s="89"/>
      <c r="U321" s="89"/>
    </row>
    <row r="322">
      <c r="A322" s="89"/>
      <c r="B322" s="89"/>
      <c r="C322" s="91"/>
      <c r="D322" s="92"/>
      <c r="E322" s="89"/>
      <c r="F322" s="89"/>
      <c r="G322" s="89"/>
      <c r="H322" s="89"/>
      <c r="I322" s="89"/>
      <c r="J322" s="89"/>
      <c r="K322" s="89"/>
      <c r="L322" s="89"/>
      <c r="M322" s="89"/>
      <c r="N322" s="89"/>
      <c r="O322" s="89"/>
      <c r="P322" s="89"/>
      <c r="Q322" s="89"/>
      <c r="R322" s="89"/>
      <c r="S322" s="89"/>
      <c r="T322" s="89"/>
      <c r="U322" s="89"/>
    </row>
    <row r="323">
      <c r="A323" s="89"/>
      <c r="B323" s="89"/>
      <c r="C323" s="91"/>
      <c r="D323" s="92"/>
      <c r="E323" s="89"/>
      <c r="F323" s="89"/>
      <c r="G323" s="89"/>
      <c r="H323" s="89"/>
      <c r="I323" s="89"/>
      <c r="J323" s="89"/>
      <c r="K323" s="89"/>
      <c r="L323" s="89"/>
      <c r="M323" s="89"/>
      <c r="N323" s="89"/>
      <c r="O323" s="89"/>
      <c r="P323" s="89"/>
      <c r="Q323" s="89"/>
      <c r="R323" s="89"/>
      <c r="S323" s="89"/>
      <c r="T323" s="89"/>
      <c r="U323" s="89"/>
    </row>
    <row r="324">
      <c r="A324" s="89"/>
      <c r="B324" s="89"/>
      <c r="C324" s="91"/>
      <c r="D324" s="92"/>
      <c r="E324" s="89"/>
      <c r="F324" s="89"/>
      <c r="G324" s="89"/>
      <c r="H324" s="89"/>
      <c r="I324" s="89"/>
      <c r="J324" s="89"/>
      <c r="K324" s="89"/>
      <c r="L324" s="89"/>
      <c r="M324" s="89"/>
      <c r="N324" s="89"/>
      <c r="O324" s="89"/>
      <c r="P324" s="89"/>
      <c r="Q324" s="89"/>
      <c r="R324" s="89"/>
      <c r="S324" s="89"/>
      <c r="T324" s="89"/>
      <c r="U324" s="89"/>
    </row>
    <row r="325">
      <c r="A325" s="89"/>
      <c r="B325" s="89"/>
      <c r="C325" s="91"/>
      <c r="D325" s="92"/>
      <c r="E325" s="89"/>
      <c r="F325" s="89"/>
      <c r="G325" s="89"/>
      <c r="H325" s="89"/>
      <c r="I325" s="89"/>
      <c r="J325" s="89"/>
      <c r="K325" s="89"/>
      <c r="L325" s="89"/>
      <c r="M325" s="89"/>
      <c r="N325" s="89"/>
      <c r="O325" s="89"/>
      <c r="P325" s="89"/>
      <c r="Q325" s="89"/>
      <c r="R325" s="89"/>
      <c r="S325" s="89"/>
      <c r="T325" s="89"/>
      <c r="U325" s="89"/>
    </row>
    <row r="326">
      <c r="A326" s="89"/>
      <c r="B326" s="89"/>
      <c r="C326" s="91"/>
      <c r="D326" s="92"/>
      <c r="E326" s="89"/>
      <c r="F326" s="89"/>
      <c r="G326" s="89"/>
      <c r="H326" s="89"/>
      <c r="I326" s="89"/>
      <c r="J326" s="89"/>
      <c r="K326" s="89"/>
      <c r="L326" s="89"/>
      <c r="M326" s="89"/>
      <c r="N326" s="89"/>
      <c r="O326" s="89"/>
      <c r="P326" s="89"/>
      <c r="Q326" s="89"/>
      <c r="R326" s="89"/>
      <c r="S326" s="89"/>
      <c r="T326" s="89"/>
      <c r="U326" s="89"/>
    </row>
    <row r="327">
      <c r="A327" s="89"/>
      <c r="B327" s="89"/>
      <c r="C327" s="91"/>
      <c r="D327" s="92"/>
      <c r="E327" s="89"/>
      <c r="F327" s="89"/>
      <c r="G327" s="89"/>
      <c r="H327" s="89"/>
      <c r="I327" s="89"/>
      <c r="J327" s="89"/>
      <c r="K327" s="89"/>
      <c r="L327" s="89"/>
      <c r="M327" s="89"/>
      <c r="N327" s="89"/>
      <c r="O327" s="89"/>
      <c r="P327" s="89"/>
      <c r="Q327" s="89"/>
      <c r="R327" s="89"/>
      <c r="S327" s="89"/>
      <c r="T327" s="89"/>
      <c r="U327" s="89"/>
    </row>
    <row r="328">
      <c r="A328" s="89"/>
      <c r="B328" s="89"/>
      <c r="C328" s="91"/>
      <c r="D328" s="92"/>
      <c r="E328" s="89"/>
      <c r="F328" s="89"/>
      <c r="G328" s="89"/>
      <c r="H328" s="89"/>
      <c r="I328" s="89"/>
      <c r="J328" s="89"/>
      <c r="K328" s="89"/>
      <c r="L328" s="89"/>
      <c r="M328" s="89"/>
      <c r="N328" s="89"/>
      <c r="O328" s="89"/>
      <c r="P328" s="89"/>
      <c r="Q328" s="89"/>
      <c r="R328" s="89"/>
      <c r="S328" s="89"/>
      <c r="T328" s="89"/>
      <c r="U328" s="89"/>
    </row>
    <row r="329">
      <c r="A329" s="89"/>
      <c r="B329" s="89"/>
      <c r="C329" s="91"/>
      <c r="D329" s="92"/>
      <c r="E329" s="89"/>
      <c r="F329" s="89"/>
      <c r="G329" s="89"/>
      <c r="H329" s="89"/>
      <c r="I329" s="89"/>
      <c r="J329" s="89"/>
      <c r="K329" s="89"/>
      <c r="L329" s="89"/>
      <c r="M329" s="89"/>
      <c r="N329" s="89"/>
      <c r="O329" s="89"/>
      <c r="P329" s="89"/>
      <c r="Q329" s="89"/>
      <c r="R329" s="89"/>
      <c r="S329" s="89"/>
      <c r="T329" s="89"/>
      <c r="U329" s="89"/>
    </row>
    <row r="330">
      <c r="A330" s="89"/>
      <c r="B330" s="89"/>
      <c r="C330" s="91"/>
      <c r="D330" s="92"/>
      <c r="E330" s="89"/>
      <c r="F330" s="89"/>
      <c r="G330" s="89"/>
      <c r="H330" s="89"/>
      <c r="I330" s="89"/>
      <c r="J330" s="89"/>
      <c r="K330" s="89"/>
      <c r="L330" s="89"/>
      <c r="M330" s="89"/>
      <c r="N330" s="89"/>
      <c r="O330" s="89"/>
      <c r="P330" s="89"/>
      <c r="Q330" s="89"/>
      <c r="R330" s="89"/>
      <c r="S330" s="89"/>
      <c r="T330" s="89"/>
      <c r="U330" s="89"/>
    </row>
    <row r="331">
      <c r="A331" s="89"/>
      <c r="B331" s="89"/>
      <c r="C331" s="91"/>
      <c r="D331" s="92"/>
      <c r="E331" s="89"/>
      <c r="F331" s="89"/>
      <c r="G331" s="89"/>
      <c r="H331" s="89"/>
      <c r="I331" s="89"/>
      <c r="J331" s="89"/>
      <c r="K331" s="89"/>
      <c r="L331" s="89"/>
      <c r="M331" s="89"/>
      <c r="N331" s="89"/>
      <c r="O331" s="89"/>
      <c r="P331" s="89"/>
      <c r="Q331" s="89"/>
      <c r="R331" s="89"/>
      <c r="S331" s="89"/>
      <c r="T331" s="89"/>
      <c r="U331" s="89"/>
    </row>
    <row r="332">
      <c r="A332" s="89"/>
      <c r="B332" s="89"/>
      <c r="C332" s="91"/>
      <c r="D332" s="92"/>
      <c r="E332" s="89"/>
      <c r="F332" s="89"/>
      <c r="G332" s="89"/>
      <c r="H332" s="89"/>
      <c r="I332" s="89"/>
      <c r="J332" s="89"/>
      <c r="K332" s="89"/>
      <c r="L332" s="89"/>
      <c r="M332" s="89"/>
      <c r="N332" s="89"/>
      <c r="O332" s="89"/>
      <c r="P332" s="89"/>
      <c r="Q332" s="89"/>
      <c r="R332" s="89"/>
      <c r="S332" s="89"/>
      <c r="T332" s="89"/>
      <c r="U332" s="89"/>
    </row>
    <row r="333">
      <c r="A333" s="89"/>
      <c r="B333" s="89"/>
      <c r="C333" s="91"/>
      <c r="D333" s="92"/>
      <c r="E333" s="89"/>
      <c r="F333" s="89"/>
      <c r="G333" s="89"/>
      <c r="H333" s="89"/>
      <c r="I333" s="89"/>
      <c r="J333" s="89"/>
      <c r="K333" s="89"/>
      <c r="L333" s="89"/>
      <c r="M333" s="89"/>
      <c r="N333" s="89"/>
      <c r="O333" s="89"/>
      <c r="P333" s="89"/>
      <c r="Q333" s="89"/>
      <c r="R333" s="89"/>
      <c r="S333" s="89"/>
      <c r="T333" s="89"/>
      <c r="U333" s="89"/>
    </row>
    <row r="334">
      <c r="A334" s="89"/>
      <c r="B334" s="89"/>
      <c r="C334" s="91"/>
      <c r="D334" s="92"/>
      <c r="E334" s="89"/>
      <c r="F334" s="89"/>
      <c r="G334" s="89"/>
      <c r="H334" s="89"/>
      <c r="I334" s="89"/>
      <c r="J334" s="89"/>
      <c r="K334" s="89"/>
      <c r="L334" s="89"/>
      <c r="M334" s="89"/>
      <c r="N334" s="89"/>
      <c r="O334" s="89"/>
      <c r="P334" s="89"/>
      <c r="Q334" s="89"/>
      <c r="R334" s="89"/>
      <c r="S334" s="89"/>
      <c r="T334" s="89"/>
      <c r="U334" s="89"/>
    </row>
    <row r="335">
      <c r="A335" s="89"/>
      <c r="B335" s="89"/>
      <c r="C335" s="91"/>
      <c r="D335" s="92"/>
      <c r="E335" s="89"/>
      <c r="F335" s="89"/>
      <c r="G335" s="89"/>
      <c r="H335" s="89"/>
      <c r="I335" s="89"/>
      <c r="J335" s="89"/>
      <c r="K335" s="89"/>
      <c r="L335" s="89"/>
      <c r="M335" s="89"/>
      <c r="N335" s="89"/>
      <c r="O335" s="89"/>
      <c r="P335" s="89"/>
      <c r="Q335" s="89"/>
      <c r="R335" s="89"/>
      <c r="S335" s="89"/>
      <c r="T335" s="89"/>
      <c r="U335" s="89"/>
    </row>
    <row r="336">
      <c r="A336" s="89"/>
      <c r="B336" s="89"/>
      <c r="C336" s="91"/>
      <c r="D336" s="92"/>
      <c r="E336" s="89"/>
      <c r="F336" s="89"/>
      <c r="G336" s="89"/>
      <c r="H336" s="89"/>
      <c r="I336" s="89"/>
      <c r="J336" s="89"/>
      <c r="K336" s="89"/>
      <c r="L336" s="89"/>
      <c r="M336" s="89"/>
      <c r="N336" s="89"/>
      <c r="O336" s="89"/>
      <c r="P336" s="89"/>
      <c r="Q336" s="89"/>
      <c r="R336" s="89"/>
      <c r="S336" s="89"/>
      <c r="T336" s="89"/>
      <c r="U336" s="89"/>
    </row>
    <row r="337">
      <c r="A337" s="89"/>
      <c r="B337" s="89"/>
      <c r="C337" s="91"/>
      <c r="D337" s="92"/>
      <c r="E337" s="89"/>
      <c r="F337" s="89"/>
      <c r="G337" s="89"/>
      <c r="H337" s="89"/>
      <c r="I337" s="89"/>
      <c r="J337" s="89"/>
      <c r="K337" s="89"/>
      <c r="L337" s="89"/>
      <c r="M337" s="89"/>
      <c r="N337" s="89"/>
      <c r="O337" s="89"/>
      <c r="P337" s="89"/>
      <c r="Q337" s="89"/>
      <c r="R337" s="89"/>
      <c r="S337" s="89"/>
      <c r="T337" s="89"/>
      <c r="U337" s="89"/>
    </row>
    <row r="338">
      <c r="A338" s="89"/>
      <c r="B338" s="89"/>
      <c r="C338" s="91"/>
      <c r="D338" s="92"/>
      <c r="E338" s="89"/>
      <c r="F338" s="89"/>
      <c r="G338" s="89"/>
      <c r="H338" s="89"/>
      <c r="I338" s="89"/>
      <c r="J338" s="89"/>
      <c r="K338" s="89"/>
      <c r="L338" s="89"/>
      <c r="M338" s="89"/>
      <c r="N338" s="89"/>
      <c r="O338" s="89"/>
      <c r="P338" s="89"/>
      <c r="Q338" s="89"/>
      <c r="R338" s="89"/>
      <c r="S338" s="89"/>
      <c r="T338" s="89"/>
      <c r="U338" s="89"/>
    </row>
    <row r="339">
      <c r="A339" s="89"/>
      <c r="B339" s="89"/>
      <c r="C339" s="91"/>
      <c r="D339" s="92"/>
      <c r="E339" s="89"/>
      <c r="F339" s="89"/>
      <c r="G339" s="89"/>
      <c r="H339" s="89"/>
      <c r="I339" s="89"/>
      <c r="J339" s="89"/>
      <c r="K339" s="89"/>
      <c r="L339" s="89"/>
      <c r="M339" s="89"/>
      <c r="N339" s="89"/>
      <c r="O339" s="89"/>
      <c r="P339" s="89"/>
      <c r="Q339" s="89"/>
      <c r="R339" s="89"/>
      <c r="S339" s="89"/>
      <c r="T339" s="89"/>
      <c r="U339" s="89"/>
    </row>
    <row r="340">
      <c r="A340" s="89"/>
      <c r="B340" s="89"/>
      <c r="C340" s="91"/>
      <c r="D340" s="92"/>
      <c r="E340" s="89"/>
      <c r="F340" s="89"/>
      <c r="G340" s="89"/>
      <c r="H340" s="89"/>
      <c r="I340" s="89"/>
      <c r="J340" s="89"/>
      <c r="K340" s="89"/>
      <c r="L340" s="89"/>
      <c r="M340" s="89"/>
      <c r="N340" s="89"/>
      <c r="O340" s="89"/>
      <c r="P340" s="89"/>
      <c r="Q340" s="89"/>
      <c r="R340" s="89"/>
      <c r="S340" s="89"/>
      <c r="T340" s="89"/>
      <c r="U340" s="89"/>
    </row>
    <row r="341">
      <c r="A341" s="89"/>
      <c r="B341" s="89"/>
      <c r="C341" s="91"/>
      <c r="D341" s="92"/>
      <c r="E341" s="89"/>
      <c r="F341" s="89"/>
      <c r="G341" s="89"/>
      <c r="H341" s="89"/>
      <c r="I341" s="89"/>
      <c r="J341" s="89"/>
      <c r="K341" s="89"/>
      <c r="L341" s="89"/>
      <c r="M341" s="89"/>
      <c r="N341" s="89"/>
      <c r="O341" s="89"/>
      <c r="P341" s="89"/>
      <c r="Q341" s="89"/>
      <c r="R341" s="89"/>
      <c r="S341" s="89"/>
      <c r="T341" s="89"/>
      <c r="U341" s="89"/>
    </row>
    <row r="342">
      <c r="A342" s="89"/>
      <c r="B342" s="89"/>
      <c r="C342" s="91"/>
      <c r="D342" s="92"/>
      <c r="E342" s="89"/>
      <c r="F342" s="89"/>
      <c r="G342" s="89"/>
      <c r="H342" s="89"/>
      <c r="I342" s="89"/>
      <c r="J342" s="89"/>
      <c r="K342" s="89"/>
      <c r="L342" s="89"/>
      <c r="M342" s="89"/>
      <c r="N342" s="89"/>
      <c r="O342" s="89"/>
      <c r="P342" s="89"/>
      <c r="Q342" s="89"/>
      <c r="R342" s="89"/>
      <c r="S342" s="89"/>
      <c r="T342" s="89"/>
      <c r="U342" s="89"/>
    </row>
    <row r="343">
      <c r="A343" s="89"/>
      <c r="B343" s="89"/>
      <c r="C343" s="91"/>
      <c r="D343" s="92"/>
      <c r="E343" s="89"/>
      <c r="F343" s="89"/>
      <c r="G343" s="89"/>
      <c r="H343" s="89"/>
      <c r="I343" s="89"/>
      <c r="J343" s="89"/>
      <c r="K343" s="89"/>
      <c r="L343" s="89"/>
      <c r="M343" s="89"/>
      <c r="N343" s="89"/>
      <c r="O343" s="89"/>
      <c r="P343" s="89"/>
      <c r="Q343" s="89"/>
      <c r="R343" s="89"/>
      <c r="S343" s="89"/>
      <c r="T343" s="89"/>
      <c r="U343" s="89"/>
    </row>
    <row r="344">
      <c r="A344" s="89"/>
      <c r="B344" s="89"/>
      <c r="C344" s="91"/>
      <c r="D344" s="92"/>
      <c r="E344" s="89"/>
      <c r="F344" s="89"/>
      <c r="G344" s="89"/>
      <c r="H344" s="89"/>
      <c r="I344" s="89"/>
      <c r="J344" s="89"/>
      <c r="K344" s="89"/>
      <c r="L344" s="89"/>
      <c r="M344" s="89"/>
      <c r="N344" s="89"/>
      <c r="O344" s="89"/>
      <c r="P344" s="89"/>
      <c r="Q344" s="89"/>
      <c r="R344" s="89"/>
      <c r="S344" s="89"/>
      <c r="T344" s="89"/>
      <c r="U344" s="89"/>
    </row>
    <row r="345">
      <c r="A345" s="89"/>
      <c r="B345" s="89"/>
      <c r="C345" s="91"/>
      <c r="D345" s="92"/>
      <c r="E345" s="89"/>
      <c r="F345" s="89"/>
      <c r="G345" s="89"/>
      <c r="H345" s="89"/>
      <c r="I345" s="89"/>
      <c r="J345" s="89"/>
      <c r="K345" s="89"/>
      <c r="L345" s="89"/>
      <c r="M345" s="89"/>
      <c r="N345" s="89"/>
      <c r="O345" s="89"/>
      <c r="P345" s="89"/>
      <c r="Q345" s="89"/>
      <c r="R345" s="89"/>
      <c r="S345" s="89"/>
      <c r="T345" s="89"/>
      <c r="U345" s="89"/>
    </row>
    <row r="346">
      <c r="A346" s="89"/>
      <c r="B346" s="89"/>
      <c r="C346" s="91"/>
      <c r="D346" s="92"/>
      <c r="E346" s="89"/>
      <c r="F346" s="89"/>
      <c r="G346" s="89"/>
      <c r="H346" s="89"/>
      <c r="I346" s="89"/>
      <c r="J346" s="89"/>
      <c r="K346" s="89"/>
      <c r="L346" s="89"/>
      <c r="M346" s="89"/>
      <c r="N346" s="89"/>
      <c r="O346" s="89"/>
      <c r="P346" s="89"/>
      <c r="Q346" s="89"/>
      <c r="R346" s="89"/>
      <c r="S346" s="89"/>
      <c r="T346" s="89"/>
      <c r="U346" s="89"/>
    </row>
    <row r="347">
      <c r="A347" s="89"/>
      <c r="B347" s="89"/>
      <c r="C347" s="91"/>
      <c r="D347" s="92"/>
      <c r="E347" s="89"/>
      <c r="F347" s="89"/>
      <c r="G347" s="89"/>
      <c r="H347" s="89"/>
      <c r="I347" s="89"/>
      <c r="J347" s="89"/>
      <c r="K347" s="89"/>
      <c r="L347" s="89"/>
      <c r="M347" s="89"/>
      <c r="N347" s="89"/>
      <c r="O347" s="89"/>
      <c r="P347" s="89"/>
      <c r="Q347" s="89"/>
      <c r="R347" s="89"/>
      <c r="S347" s="89"/>
      <c r="T347" s="89"/>
      <c r="U347" s="89"/>
    </row>
    <row r="348">
      <c r="A348" s="89"/>
      <c r="B348" s="89"/>
      <c r="C348" s="91"/>
      <c r="D348" s="92"/>
      <c r="E348" s="89"/>
      <c r="F348" s="89"/>
      <c r="G348" s="89"/>
      <c r="H348" s="89"/>
      <c r="I348" s="89"/>
      <c r="J348" s="89"/>
      <c r="K348" s="89"/>
      <c r="L348" s="89"/>
      <c r="M348" s="89"/>
      <c r="N348" s="89"/>
      <c r="O348" s="89"/>
      <c r="P348" s="89"/>
      <c r="Q348" s="89"/>
      <c r="R348" s="89"/>
      <c r="S348" s="89"/>
      <c r="T348" s="89"/>
      <c r="U348" s="89"/>
    </row>
    <row r="349">
      <c r="A349" s="89"/>
      <c r="B349" s="89"/>
      <c r="C349" s="91"/>
      <c r="D349" s="92"/>
      <c r="E349" s="89"/>
      <c r="F349" s="89"/>
      <c r="G349" s="89"/>
      <c r="H349" s="89"/>
      <c r="I349" s="89"/>
      <c r="J349" s="89"/>
      <c r="K349" s="89"/>
      <c r="L349" s="89"/>
      <c r="M349" s="89"/>
      <c r="N349" s="89"/>
      <c r="O349" s="89"/>
      <c r="P349" s="89"/>
      <c r="Q349" s="89"/>
      <c r="R349" s="89"/>
      <c r="S349" s="89"/>
      <c r="T349" s="89"/>
      <c r="U349" s="89"/>
    </row>
    <row r="350">
      <c r="A350" s="89"/>
      <c r="B350" s="89"/>
      <c r="C350" s="91"/>
      <c r="D350" s="92"/>
      <c r="E350" s="89"/>
      <c r="F350" s="89"/>
      <c r="G350" s="89"/>
      <c r="H350" s="89"/>
      <c r="I350" s="89"/>
      <c r="J350" s="89"/>
      <c r="K350" s="89"/>
      <c r="L350" s="89"/>
      <c r="M350" s="89"/>
      <c r="N350" s="89"/>
      <c r="O350" s="89"/>
      <c r="P350" s="89"/>
      <c r="Q350" s="89"/>
      <c r="R350" s="89"/>
      <c r="S350" s="89"/>
      <c r="T350" s="89"/>
      <c r="U350" s="89"/>
    </row>
    <row r="351">
      <c r="A351" s="89"/>
      <c r="B351" s="89"/>
      <c r="C351" s="91"/>
      <c r="D351" s="92"/>
      <c r="E351" s="89"/>
      <c r="F351" s="89"/>
      <c r="G351" s="89"/>
      <c r="H351" s="89"/>
      <c r="I351" s="89"/>
      <c r="J351" s="89"/>
      <c r="K351" s="89"/>
      <c r="L351" s="89"/>
      <c r="M351" s="89"/>
      <c r="N351" s="89"/>
      <c r="O351" s="89"/>
      <c r="P351" s="89"/>
      <c r="Q351" s="89"/>
      <c r="R351" s="89"/>
      <c r="S351" s="89"/>
      <c r="T351" s="89"/>
      <c r="U351" s="89"/>
    </row>
    <row r="352">
      <c r="A352" s="89"/>
      <c r="B352" s="89"/>
      <c r="C352" s="91"/>
      <c r="D352" s="92"/>
      <c r="E352" s="89"/>
      <c r="F352" s="89"/>
      <c r="G352" s="89"/>
      <c r="H352" s="89"/>
      <c r="I352" s="89"/>
      <c r="J352" s="89"/>
      <c r="K352" s="89"/>
      <c r="L352" s="89"/>
      <c r="M352" s="89"/>
      <c r="N352" s="89"/>
      <c r="O352" s="89"/>
      <c r="P352" s="89"/>
      <c r="Q352" s="89"/>
      <c r="R352" s="89"/>
      <c r="S352" s="89"/>
      <c r="T352" s="89"/>
      <c r="U352" s="89"/>
    </row>
    <row r="353">
      <c r="A353" s="89"/>
      <c r="B353" s="89"/>
      <c r="C353" s="91"/>
      <c r="D353" s="92"/>
      <c r="E353" s="89"/>
      <c r="F353" s="89"/>
      <c r="G353" s="89"/>
      <c r="H353" s="89"/>
      <c r="I353" s="89"/>
      <c r="J353" s="89"/>
      <c r="K353" s="89"/>
      <c r="L353" s="89"/>
      <c r="M353" s="89"/>
      <c r="N353" s="89"/>
      <c r="O353" s="89"/>
      <c r="P353" s="89"/>
      <c r="Q353" s="89"/>
      <c r="R353" s="89"/>
      <c r="S353" s="89"/>
      <c r="T353" s="89"/>
      <c r="U353" s="89"/>
    </row>
    <row r="354">
      <c r="A354" s="89"/>
      <c r="B354" s="89"/>
      <c r="C354" s="91"/>
      <c r="D354" s="92"/>
      <c r="E354" s="89"/>
      <c r="F354" s="89"/>
      <c r="G354" s="89"/>
      <c r="H354" s="89"/>
      <c r="I354" s="89"/>
      <c r="J354" s="89"/>
      <c r="K354" s="89"/>
      <c r="L354" s="89"/>
      <c r="M354" s="89"/>
      <c r="N354" s="89"/>
      <c r="O354" s="89"/>
      <c r="P354" s="89"/>
      <c r="Q354" s="89"/>
      <c r="R354" s="89"/>
      <c r="S354" s="89"/>
      <c r="T354" s="89"/>
      <c r="U354" s="89"/>
    </row>
    <row r="355">
      <c r="A355" s="89"/>
      <c r="B355" s="89"/>
      <c r="C355" s="91"/>
      <c r="D355" s="92"/>
      <c r="E355" s="89"/>
      <c r="F355" s="89"/>
      <c r="G355" s="89"/>
      <c r="H355" s="89"/>
      <c r="I355" s="89"/>
      <c r="J355" s="89"/>
      <c r="K355" s="89"/>
      <c r="L355" s="89"/>
      <c r="M355" s="89"/>
      <c r="N355" s="89"/>
      <c r="O355" s="89"/>
      <c r="P355" s="89"/>
      <c r="Q355" s="89"/>
      <c r="R355" s="89"/>
      <c r="S355" s="89"/>
      <c r="T355" s="89"/>
      <c r="U355" s="89"/>
    </row>
    <row r="356">
      <c r="A356" s="89"/>
      <c r="B356" s="89"/>
      <c r="C356" s="91"/>
      <c r="D356" s="92"/>
      <c r="E356" s="89"/>
      <c r="F356" s="89"/>
      <c r="G356" s="89"/>
      <c r="H356" s="89"/>
      <c r="I356" s="89"/>
      <c r="J356" s="89"/>
      <c r="K356" s="89"/>
      <c r="L356" s="89"/>
      <c r="M356" s="89"/>
      <c r="N356" s="89"/>
      <c r="O356" s="89"/>
      <c r="P356" s="89"/>
      <c r="Q356" s="89"/>
      <c r="R356" s="89"/>
      <c r="S356" s="89"/>
      <c r="T356" s="89"/>
      <c r="U356" s="89"/>
    </row>
    <row r="357">
      <c r="A357" s="89"/>
      <c r="B357" s="89"/>
      <c r="C357" s="91"/>
      <c r="D357" s="92"/>
      <c r="E357" s="89"/>
      <c r="F357" s="89"/>
      <c r="G357" s="89"/>
      <c r="H357" s="89"/>
      <c r="I357" s="89"/>
      <c r="J357" s="89"/>
      <c r="K357" s="89"/>
      <c r="L357" s="89"/>
      <c r="M357" s="89"/>
      <c r="N357" s="89"/>
      <c r="O357" s="89"/>
      <c r="P357" s="89"/>
      <c r="Q357" s="89"/>
      <c r="R357" s="89"/>
      <c r="S357" s="89"/>
      <c r="T357" s="89"/>
      <c r="U357" s="89"/>
    </row>
    <row r="358">
      <c r="A358" s="89"/>
      <c r="B358" s="89"/>
      <c r="C358" s="91"/>
      <c r="D358" s="92"/>
      <c r="E358" s="89"/>
      <c r="F358" s="89"/>
      <c r="G358" s="89"/>
      <c r="H358" s="89"/>
      <c r="I358" s="89"/>
      <c r="J358" s="89"/>
      <c r="K358" s="89"/>
      <c r="L358" s="89"/>
      <c r="M358" s="89"/>
      <c r="N358" s="89"/>
      <c r="O358" s="89"/>
      <c r="P358" s="89"/>
      <c r="Q358" s="89"/>
      <c r="R358" s="89"/>
      <c r="S358" s="89"/>
      <c r="T358" s="89"/>
      <c r="U358" s="89"/>
    </row>
    <row r="359">
      <c r="A359" s="89"/>
      <c r="B359" s="89"/>
      <c r="C359" s="91"/>
      <c r="D359" s="92"/>
      <c r="E359" s="89"/>
      <c r="F359" s="89"/>
      <c r="G359" s="89"/>
      <c r="H359" s="89"/>
      <c r="I359" s="89"/>
      <c r="J359" s="89"/>
      <c r="K359" s="89"/>
      <c r="L359" s="89"/>
      <c r="M359" s="89"/>
      <c r="N359" s="89"/>
      <c r="O359" s="89"/>
      <c r="P359" s="89"/>
      <c r="Q359" s="89"/>
      <c r="R359" s="89"/>
      <c r="S359" s="89"/>
      <c r="T359" s="89"/>
      <c r="U359" s="89"/>
    </row>
    <row r="360">
      <c r="A360" s="89"/>
      <c r="B360" s="89"/>
      <c r="C360" s="91"/>
      <c r="D360" s="92"/>
      <c r="E360" s="89"/>
      <c r="F360" s="89"/>
      <c r="G360" s="89"/>
      <c r="H360" s="89"/>
      <c r="I360" s="89"/>
      <c r="J360" s="89"/>
      <c r="K360" s="89"/>
      <c r="L360" s="89"/>
      <c r="M360" s="89"/>
      <c r="N360" s="89"/>
      <c r="O360" s="89"/>
      <c r="P360" s="89"/>
      <c r="Q360" s="89"/>
      <c r="R360" s="89"/>
      <c r="S360" s="89"/>
      <c r="T360" s="89"/>
      <c r="U360" s="89"/>
    </row>
    <row r="361">
      <c r="A361" s="89"/>
      <c r="B361" s="89"/>
      <c r="C361" s="91"/>
      <c r="D361" s="92"/>
      <c r="E361" s="89"/>
      <c r="F361" s="89"/>
      <c r="G361" s="89"/>
      <c r="H361" s="89"/>
      <c r="I361" s="89"/>
      <c r="J361" s="89"/>
      <c r="K361" s="89"/>
      <c r="L361" s="89"/>
      <c r="M361" s="89"/>
      <c r="N361" s="89"/>
      <c r="O361" s="89"/>
      <c r="P361" s="89"/>
      <c r="Q361" s="89"/>
      <c r="R361" s="89"/>
      <c r="S361" s="89"/>
      <c r="T361" s="89"/>
      <c r="U361" s="89"/>
    </row>
    <row r="362">
      <c r="A362" s="89"/>
      <c r="B362" s="89"/>
      <c r="C362" s="91"/>
      <c r="D362" s="92"/>
      <c r="E362" s="89"/>
      <c r="F362" s="89"/>
      <c r="G362" s="89"/>
      <c r="H362" s="89"/>
      <c r="I362" s="89"/>
      <c r="J362" s="89"/>
      <c r="K362" s="89"/>
      <c r="L362" s="89"/>
      <c r="M362" s="89"/>
      <c r="N362" s="89"/>
      <c r="O362" s="89"/>
      <c r="P362" s="89"/>
      <c r="Q362" s="89"/>
      <c r="R362" s="89"/>
      <c r="S362" s="89"/>
      <c r="T362" s="89"/>
      <c r="U362" s="89"/>
    </row>
    <row r="363">
      <c r="A363" s="89"/>
      <c r="B363" s="89"/>
      <c r="C363" s="91"/>
      <c r="D363" s="92"/>
      <c r="E363" s="89"/>
      <c r="F363" s="89"/>
      <c r="G363" s="89"/>
      <c r="H363" s="89"/>
      <c r="I363" s="89"/>
      <c r="J363" s="89"/>
      <c r="K363" s="89"/>
      <c r="L363" s="89"/>
      <c r="M363" s="89"/>
      <c r="N363" s="89"/>
      <c r="O363" s="89"/>
      <c r="P363" s="89"/>
      <c r="Q363" s="89"/>
      <c r="R363" s="89"/>
      <c r="S363" s="89"/>
      <c r="T363" s="89"/>
      <c r="U363" s="89"/>
    </row>
    <row r="364">
      <c r="A364" s="89"/>
      <c r="B364" s="89"/>
      <c r="C364" s="91"/>
      <c r="D364" s="92"/>
      <c r="E364" s="89"/>
      <c r="F364" s="89"/>
      <c r="G364" s="89"/>
      <c r="H364" s="89"/>
      <c r="I364" s="89"/>
      <c r="J364" s="89"/>
      <c r="K364" s="89"/>
      <c r="L364" s="89"/>
      <c r="M364" s="89"/>
      <c r="N364" s="89"/>
      <c r="O364" s="89"/>
      <c r="P364" s="89"/>
      <c r="Q364" s="89"/>
      <c r="R364" s="89"/>
      <c r="S364" s="89"/>
      <c r="T364" s="89"/>
      <c r="U364" s="89"/>
    </row>
    <row r="365">
      <c r="A365" s="89"/>
      <c r="B365" s="89"/>
      <c r="C365" s="91"/>
      <c r="D365" s="92"/>
      <c r="E365" s="89"/>
      <c r="F365" s="89"/>
      <c r="G365" s="89"/>
      <c r="H365" s="89"/>
      <c r="I365" s="89"/>
      <c r="J365" s="89"/>
      <c r="K365" s="89"/>
      <c r="L365" s="89"/>
      <c r="M365" s="89"/>
      <c r="N365" s="89"/>
      <c r="O365" s="89"/>
      <c r="P365" s="89"/>
      <c r="Q365" s="89"/>
      <c r="R365" s="89"/>
      <c r="S365" s="89"/>
      <c r="T365" s="89"/>
      <c r="U365" s="89"/>
    </row>
    <row r="366">
      <c r="A366" s="89"/>
      <c r="B366" s="89"/>
      <c r="C366" s="91"/>
      <c r="D366" s="92"/>
      <c r="E366" s="89"/>
      <c r="F366" s="89"/>
      <c r="G366" s="89"/>
      <c r="H366" s="89"/>
      <c r="I366" s="89"/>
      <c r="J366" s="89"/>
      <c r="K366" s="89"/>
      <c r="L366" s="89"/>
      <c r="M366" s="89"/>
      <c r="N366" s="89"/>
      <c r="O366" s="89"/>
      <c r="P366" s="89"/>
      <c r="Q366" s="89"/>
      <c r="R366" s="89"/>
      <c r="S366" s="89"/>
      <c r="T366" s="89"/>
      <c r="U366" s="89"/>
    </row>
    <row r="367">
      <c r="A367" s="89"/>
      <c r="B367" s="89"/>
      <c r="C367" s="91"/>
      <c r="D367" s="92"/>
      <c r="E367" s="89"/>
      <c r="F367" s="89"/>
      <c r="G367" s="89"/>
      <c r="H367" s="89"/>
      <c r="I367" s="89"/>
      <c r="J367" s="89"/>
      <c r="K367" s="89"/>
      <c r="L367" s="89"/>
      <c r="M367" s="89"/>
      <c r="N367" s="89"/>
      <c r="O367" s="89"/>
      <c r="P367" s="89"/>
      <c r="Q367" s="89"/>
      <c r="R367" s="89"/>
      <c r="S367" s="89"/>
      <c r="T367" s="89"/>
      <c r="U367" s="89"/>
    </row>
    <row r="368">
      <c r="A368" s="89"/>
      <c r="B368" s="89"/>
      <c r="C368" s="91"/>
      <c r="D368" s="92"/>
      <c r="E368" s="89"/>
      <c r="F368" s="89"/>
      <c r="G368" s="89"/>
      <c r="H368" s="89"/>
      <c r="I368" s="89"/>
      <c r="J368" s="89"/>
      <c r="K368" s="89"/>
      <c r="L368" s="89"/>
      <c r="M368" s="89"/>
      <c r="N368" s="89"/>
      <c r="O368" s="89"/>
      <c r="P368" s="89"/>
      <c r="Q368" s="89"/>
      <c r="R368" s="89"/>
      <c r="S368" s="89"/>
      <c r="T368" s="89"/>
      <c r="U368" s="89"/>
    </row>
    <row r="369">
      <c r="A369" s="89"/>
      <c r="B369" s="89"/>
      <c r="C369" s="91"/>
      <c r="D369" s="92"/>
      <c r="E369" s="89"/>
      <c r="F369" s="89"/>
      <c r="G369" s="89"/>
      <c r="H369" s="89"/>
      <c r="I369" s="89"/>
      <c r="J369" s="89"/>
      <c r="K369" s="89"/>
      <c r="L369" s="89"/>
      <c r="M369" s="89"/>
      <c r="N369" s="89"/>
      <c r="O369" s="89"/>
      <c r="P369" s="89"/>
      <c r="Q369" s="89"/>
      <c r="R369" s="89"/>
      <c r="S369" s="89"/>
      <c r="T369" s="89"/>
      <c r="U369" s="89"/>
    </row>
    <row r="370">
      <c r="A370" s="89"/>
      <c r="B370" s="89"/>
      <c r="C370" s="91"/>
      <c r="D370" s="92"/>
      <c r="E370" s="89"/>
      <c r="F370" s="89"/>
      <c r="G370" s="89"/>
      <c r="H370" s="89"/>
      <c r="I370" s="89"/>
      <c r="J370" s="89"/>
      <c r="K370" s="89"/>
      <c r="L370" s="89"/>
      <c r="M370" s="89"/>
      <c r="N370" s="89"/>
      <c r="O370" s="89"/>
      <c r="P370" s="89"/>
      <c r="Q370" s="89"/>
      <c r="R370" s="89"/>
      <c r="S370" s="89"/>
      <c r="T370" s="89"/>
      <c r="U370" s="89"/>
    </row>
    <row r="371">
      <c r="A371" s="89"/>
      <c r="B371" s="89"/>
      <c r="C371" s="91"/>
      <c r="D371" s="92"/>
      <c r="E371" s="89"/>
      <c r="F371" s="89"/>
      <c r="G371" s="89"/>
      <c r="H371" s="89"/>
      <c r="I371" s="89"/>
      <c r="J371" s="89"/>
      <c r="K371" s="89"/>
      <c r="L371" s="89"/>
      <c r="M371" s="89"/>
      <c r="N371" s="89"/>
      <c r="O371" s="89"/>
      <c r="P371" s="89"/>
      <c r="Q371" s="89"/>
      <c r="R371" s="89"/>
      <c r="S371" s="89"/>
      <c r="T371" s="89"/>
      <c r="U371" s="89"/>
    </row>
    <row r="372">
      <c r="A372" s="89"/>
      <c r="B372" s="89"/>
      <c r="C372" s="91"/>
      <c r="D372" s="92"/>
      <c r="E372" s="89"/>
      <c r="F372" s="89"/>
      <c r="G372" s="89"/>
      <c r="H372" s="89"/>
      <c r="I372" s="89"/>
      <c r="J372" s="89"/>
      <c r="K372" s="89"/>
      <c r="L372" s="89"/>
      <c r="M372" s="89"/>
      <c r="N372" s="89"/>
      <c r="O372" s="89"/>
      <c r="P372" s="89"/>
      <c r="Q372" s="89"/>
      <c r="R372" s="89"/>
      <c r="S372" s="89"/>
      <c r="T372" s="89"/>
      <c r="U372" s="89"/>
    </row>
    <row r="373">
      <c r="A373" s="89"/>
      <c r="B373" s="89"/>
      <c r="C373" s="91"/>
      <c r="D373" s="92"/>
      <c r="E373" s="89"/>
      <c r="F373" s="89"/>
      <c r="G373" s="89"/>
      <c r="H373" s="89"/>
      <c r="I373" s="89"/>
      <c r="J373" s="89"/>
      <c r="K373" s="89"/>
      <c r="L373" s="89"/>
      <c r="M373" s="89"/>
      <c r="N373" s="89"/>
      <c r="O373" s="89"/>
      <c r="P373" s="89"/>
      <c r="Q373" s="89"/>
      <c r="R373" s="89"/>
      <c r="S373" s="89"/>
      <c r="T373" s="89"/>
      <c r="U373" s="89"/>
    </row>
    <row r="374">
      <c r="A374" s="89"/>
      <c r="B374" s="89"/>
      <c r="C374" s="91"/>
      <c r="D374" s="92"/>
      <c r="E374" s="89"/>
      <c r="F374" s="89"/>
      <c r="G374" s="89"/>
      <c r="H374" s="89"/>
      <c r="I374" s="89"/>
      <c r="J374" s="89"/>
      <c r="K374" s="89"/>
      <c r="L374" s="89"/>
      <c r="M374" s="89"/>
      <c r="N374" s="89"/>
      <c r="O374" s="89"/>
      <c r="P374" s="89"/>
      <c r="Q374" s="89"/>
      <c r="R374" s="89"/>
      <c r="S374" s="89"/>
      <c r="T374" s="89"/>
      <c r="U374" s="89"/>
    </row>
    <row r="375">
      <c r="A375" s="89"/>
      <c r="B375" s="89"/>
      <c r="C375" s="91"/>
      <c r="D375" s="92"/>
      <c r="E375" s="89"/>
      <c r="F375" s="89"/>
      <c r="G375" s="89"/>
      <c r="H375" s="89"/>
      <c r="I375" s="89"/>
      <c r="J375" s="89"/>
      <c r="K375" s="89"/>
      <c r="L375" s="89"/>
      <c r="M375" s="89"/>
      <c r="N375" s="89"/>
      <c r="O375" s="89"/>
      <c r="P375" s="89"/>
      <c r="Q375" s="89"/>
      <c r="R375" s="89"/>
      <c r="S375" s="89"/>
      <c r="T375" s="89"/>
      <c r="U375" s="89"/>
    </row>
    <row r="376">
      <c r="A376" s="89"/>
      <c r="B376" s="89"/>
      <c r="C376" s="91"/>
      <c r="D376" s="92"/>
      <c r="E376" s="89"/>
      <c r="F376" s="89"/>
      <c r="G376" s="89"/>
      <c r="H376" s="89"/>
      <c r="I376" s="89"/>
      <c r="J376" s="89"/>
      <c r="K376" s="89"/>
      <c r="L376" s="89"/>
      <c r="M376" s="89"/>
      <c r="N376" s="89"/>
      <c r="O376" s="89"/>
      <c r="P376" s="89"/>
      <c r="Q376" s="89"/>
      <c r="R376" s="89"/>
      <c r="S376" s="89"/>
      <c r="T376" s="89"/>
      <c r="U376" s="89"/>
    </row>
    <row r="377">
      <c r="A377" s="89"/>
      <c r="B377" s="89"/>
      <c r="C377" s="91"/>
      <c r="D377" s="92"/>
      <c r="E377" s="89"/>
      <c r="F377" s="89"/>
      <c r="G377" s="89"/>
      <c r="H377" s="89"/>
      <c r="I377" s="89"/>
      <c r="J377" s="89"/>
      <c r="K377" s="89"/>
      <c r="L377" s="89"/>
      <c r="M377" s="89"/>
      <c r="N377" s="89"/>
      <c r="O377" s="89"/>
      <c r="P377" s="89"/>
      <c r="Q377" s="89"/>
      <c r="R377" s="89"/>
      <c r="S377" s="89"/>
      <c r="T377" s="89"/>
      <c r="U377" s="89"/>
    </row>
    <row r="378">
      <c r="A378" s="89"/>
      <c r="B378" s="89"/>
      <c r="C378" s="91"/>
      <c r="D378" s="92"/>
      <c r="E378" s="89"/>
      <c r="F378" s="89"/>
      <c r="G378" s="89"/>
      <c r="H378" s="89"/>
      <c r="I378" s="89"/>
      <c r="J378" s="89"/>
      <c r="K378" s="89"/>
      <c r="L378" s="89"/>
      <c r="M378" s="89"/>
      <c r="N378" s="89"/>
      <c r="O378" s="89"/>
      <c r="P378" s="89"/>
      <c r="Q378" s="89"/>
      <c r="R378" s="89"/>
      <c r="S378" s="89"/>
      <c r="T378" s="89"/>
      <c r="U378" s="89"/>
    </row>
    <row r="379">
      <c r="A379" s="89"/>
      <c r="B379" s="89"/>
      <c r="C379" s="91"/>
      <c r="D379" s="92"/>
      <c r="E379" s="89"/>
      <c r="F379" s="89"/>
      <c r="G379" s="89"/>
      <c r="H379" s="89"/>
      <c r="I379" s="89"/>
      <c r="J379" s="89"/>
      <c r="K379" s="89"/>
      <c r="L379" s="89"/>
      <c r="M379" s="89"/>
      <c r="N379" s="89"/>
      <c r="O379" s="89"/>
      <c r="P379" s="89"/>
      <c r="Q379" s="89"/>
      <c r="R379" s="89"/>
      <c r="S379" s="89"/>
      <c r="T379" s="89"/>
      <c r="U379" s="89"/>
    </row>
    <row r="380">
      <c r="A380" s="89"/>
      <c r="B380" s="89"/>
      <c r="C380" s="91"/>
      <c r="D380" s="92"/>
      <c r="E380" s="89"/>
      <c r="F380" s="89"/>
      <c r="G380" s="89"/>
      <c r="H380" s="89"/>
      <c r="I380" s="89"/>
      <c r="J380" s="89"/>
      <c r="K380" s="89"/>
      <c r="L380" s="89"/>
      <c r="M380" s="89"/>
      <c r="N380" s="89"/>
      <c r="O380" s="89"/>
      <c r="P380" s="89"/>
      <c r="Q380" s="89"/>
      <c r="R380" s="89"/>
      <c r="S380" s="89"/>
      <c r="T380" s="89"/>
      <c r="U380" s="89"/>
    </row>
    <row r="381">
      <c r="A381" s="89"/>
      <c r="B381" s="89"/>
      <c r="C381" s="91"/>
      <c r="D381" s="92"/>
      <c r="E381" s="89"/>
      <c r="F381" s="89"/>
      <c r="G381" s="89"/>
      <c r="H381" s="89"/>
      <c r="I381" s="89"/>
      <c r="J381" s="89"/>
      <c r="K381" s="89"/>
      <c r="L381" s="89"/>
      <c r="M381" s="89"/>
      <c r="N381" s="89"/>
      <c r="O381" s="89"/>
      <c r="P381" s="89"/>
      <c r="Q381" s="89"/>
      <c r="R381" s="89"/>
      <c r="S381" s="89"/>
      <c r="T381" s="89"/>
      <c r="U381" s="89"/>
    </row>
    <row r="382">
      <c r="A382" s="89"/>
      <c r="B382" s="89"/>
      <c r="C382" s="91"/>
      <c r="D382" s="92"/>
      <c r="E382" s="89"/>
      <c r="F382" s="89"/>
      <c r="G382" s="89"/>
      <c r="H382" s="89"/>
      <c r="I382" s="89"/>
      <c r="J382" s="89"/>
      <c r="K382" s="89"/>
      <c r="L382" s="89"/>
      <c r="M382" s="89"/>
      <c r="N382" s="89"/>
      <c r="O382" s="89"/>
      <c r="P382" s="89"/>
      <c r="Q382" s="89"/>
      <c r="R382" s="89"/>
      <c r="S382" s="89"/>
      <c r="T382" s="89"/>
      <c r="U382" s="89"/>
    </row>
    <row r="383">
      <c r="A383" s="89"/>
      <c r="B383" s="89"/>
      <c r="C383" s="91"/>
      <c r="D383" s="92"/>
      <c r="E383" s="89"/>
      <c r="F383" s="89"/>
      <c r="G383" s="89"/>
      <c r="H383" s="89"/>
      <c r="I383" s="89"/>
      <c r="J383" s="89"/>
      <c r="K383" s="89"/>
      <c r="L383" s="89"/>
      <c r="M383" s="89"/>
      <c r="N383" s="89"/>
      <c r="O383" s="89"/>
      <c r="P383" s="89"/>
      <c r="Q383" s="89"/>
      <c r="R383" s="89"/>
      <c r="S383" s="89"/>
      <c r="T383" s="89"/>
      <c r="U383" s="89"/>
    </row>
    <row r="384">
      <c r="A384" s="89"/>
      <c r="B384" s="89"/>
      <c r="C384" s="91"/>
      <c r="D384" s="92"/>
      <c r="E384" s="89"/>
      <c r="F384" s="89"/>
      <c r="G384" s="89"/>
      <c r="H384" s="89"/>
      <c r="I384" s="89"/>
      <c r="J384" s="89"/>
      <c r="K384" s="89"/>
      <c r="L384" s="89"/>
      <c r="M384" s="89"/>
      <c r="N384" s="89"/>
      <c r="O384" s="89"/>
      <c r="P384" s="89"/>
      <c r="Q384" s="89"/>
      <c r="R384" s="89"/>
      <c r="S384" s="89"/>
      <c r="T384" s="89"/>
      <c r="U384" s="89"/>
    </row>
    <row r="385">
      <c r="A385" s="89"/>
      <c r="B385" s="89"/>
      <c r="C385" s="91"/>
      <c r="D385" s="92"/>
      <c r="E385" s="89"/>
      <c r="F385" s="89"/>
      <c r="G385" s="89"/>
      <c r="H385" s="89"/>
      <c r="I385" s="89"/>
      <c r="J385" s="89"/>
      <c r="K385" s="89"/>
      <c r="L385" s="89"/>
      <c r="M385" s="89"/>
      <c r="N385" s="89"/>
      <c r="O385" s="89"/>
      <c r="P385" s="89"/>
      <c r="Q385" s="89"/>
      <c r="R385" s="89"/>
      <c r="S385" s="89"/>
      <c r="T385" s="89"/>
      <c r="U385" s="89"/>
    </row>
    <row r="386">
      <c r="A386" s="89"/>
      <c r="B386" s="89"/>
      <c r="C386" s="91"/>
      <c r="D386" s="92"/>
      <c r="E386" s="89"/>
      <c r="F386" s="89"/>
      <c r="G386" s="89"/>
      <c r="H386" s="89"/>
      <c r="I386" s="89"/>
      <c r="J386" s="89"/>
      <c r="K386" s="89"/>
      <c r="L386" s="89"/>
      <c r="M386" s="89"/>
      <c r="N386" s="89"/>
      <c r="O386" s="89"/>
      <c r="P386" s="89"/>
      <c r="Q386" s="89"/>
      <c r="R386" s="89"/>
      <c r="S386" s="89"/>
      <c r="T386" s="89"/>
      <c r="U386" s="89"/>
    </row>
    <row r="387">
      <c r="A387" s="89"/>
      <c r="B387" s="89"/>
      <c r="C387" s="91"/>
      <c r="D387" s="92"/>
      <c r="E387" s="89"/>
      <c r="F387" s="89"/>
      <c r="G387" s="89"/>
      <c r="H387" s="89"/>
      <c r="I387" s="89"/>
      <c r="J387" s="89"/>
      <c r="K387" s="89"/>
      <c r="L387" s="89"/>
      <c r="M387" s="89"/>
      <c r="N387" s="89"/>
      <c r="O387" s="89"/>
      <c r="P387" s="89"/>
      <c r="Q387" s="89"/>
      <c r="R387" s="89"/>
      <c r="S387" s="89"/>
      <c r="T387" s="89"/>
      <c r="U387" s="89"/>
    </row>
    <row r="388">
      <c r="A388" s="89"/>
      <c r="B388" s="89"/>
      <c r="C388" s="91"/>
      <c r="D388" s="92"/>
      <c r="E388" s="89"/>
      <c r="F388" s="89"/>
      <c r="G388" s="89"/>
      <c r="H388" s="89"/>
      <c r="I388" s="89"/>
      <c r="J388" s="89"/>
      <c r="K388" s="89"/>
      <c r="L388" s="89"/>
      <c r="M388" s="89"/>
      <c r="N388" s="89"/>
      <c r="O388" s="89"/>
      <c r="P388" s="89"/>
      <c r="Q388" s="89"/>
      <c r="R388" s="89"/>
      <c r="S388" s="89"/>
      <c r="T388" s="89"/>
      <c r="U388" s="89"/>
    </row>
    <row r="389">
      <c r="A389" s="89"/>
      <c r="B389" s="89"/>
      <c r="C389" s="91"/>
      <c r="D389" s="92"/>
      <c r="E389" s="89"/>
      <c r="F389" s="89"/>
      <c r="G389" s="89"/>
      <c r="H389" s="89"/>
      <c r="I389" s="89"/>
      <c r="J389" s="89"/>
      <c r="K389" s="89"/>
      <c r="L389" s="89"/>
      <c r="M389" s="89"/>
      <c r="N389" s="89"/>
      <c r="O389" s="89"/>
      <c r="P389" s="89"/>
      <c r="Q389" s="89"/>
      <c r="R389" s="89"/>
      <c r="S389" s="89"/>
      <c r="T389" s="89"/>
      <c r="U389" s="89"/>
    </row>
    <row r="390">
      <c r="A390" s="89"/>
      <c r="B390" s="89"/>
      <c r="C390" s="91"/>
      <c r="D390" s="92"/>
      <c r="E390" s="89"/>
      <c r="F390" s="89"/>
      <c r="G390" s="89"/>
      <c r="H390" s="89"/>
      <c r="I390" s="89"/>
      <c r="J390" s="89"/>
      <c r="K390" s="89"/>
      <c r="L390" s="89"/>
      <c r="M390" s="89"/>
      <c r="N390" s="89"/>
      <c r="O390" s="89"/>
      <c r="P390" s="89"/>
      <c r="Q390" s="89"/>
      <c r="R390" s="89"/>
      <c r="S390" s="89"/>
      <c r="T390" s="89"/>
      <c r="U390" s="89"/>
    </row>
    <row r="391">
      <c r="A391" s="89"/>
      <c r="B391" s="89"/>
      <c r="C391" s="91"/>
      <c r="D391" s="92"/>
      <c r="E391" s="89"/>
      <c r="F391" s="89"/>
      <c r="G391" s="89"/>
      <c r="H391" s="89"/>
      <c r="I391" s="89"/>
      <c r="J391" s="89"/>
      <c r="K391" s="89"/>
      <c r="L391" s="89"/>
      <c r="M391" s="89"/>
      <c r="N391" s="89"/>
      <c r="O391" s="89"/>
      <c r="P391" s="89"/>
      <c r="Q391" s="89"/>
      <c r="R391" s="89"/>
      <c r="S391" s="89"/>
      <c r="T391" s="89"/>
      <c r="U391" s="89"/>
    </row>
    <row r="392">
      <c r="A392" s="89"/>
      <c r="B392" s="89"/>
      <c r="C392" s="91"/>
      <c r="D392" s="92"/>
      <c r="E392" s="89"/>
      <c r="F392" s="89"/>
      <c r="G392" s="89"/>
      <c r="H392" s="89"/>
      <c r="I392" s="89"/>
      <c r="J392" s="89"/>
      <c r="K392" s="89"/>
      <c r="L392" s="89"/>
      <c r="M392" s="89"/>
      <c r="N392" s="89"/>
      <c r="O392" s="89"/>
      <c r="P392" s="89"/>
      <c r="Q392" s="89"/>
      <c r="R392" s="89"/>
      <c r="S392" s="89"/>
      <c r="T392" s="89"/>
      <c r="U392" s="89"/>
    </row>
    <row r="393">
      <c r="A393" s="89"/>
      <c r="B393" s="89"/>
      <c r="C393" s="91"/>
      <c r="D393" s="92"/>
      <c r="E393" s="89"/>
      <c r="F393" s="89"/>
      <c r="G393" s="89"/>
      <c r="H393" s="89"/>
      <c r="I393" s="89"/>
      <c r="J393" s="89"/>
      <c r="K393" s="89"/>
      <c r="L393" s="89"/>
      <c r="M393" s="89"/>
      <c r="N393" s="89"/>
      <c r="O393" s="89"/>
      <c r="P393" s="89"/>
      <c r="Q393" s="89"/>
      <c r="R393" s="89"/>
      <c r="S393" s="89"/>
      <c r="T393" s="89"/>
      <c r="U393" s="89"/>
    </row>
    <row r="394">
      <c r="A394" s="89"/>
      <c r="B394" s="89"/>
      <c r="C394" s="91"/>
      <c r="D394" s="92"/>
      <c r="E394" s="89"/>
      <c r="F394" s="89"/>
      <c r="G394" s="89"/>
      <c r="H394" s="89"/>
      <c r="I394" s="89"/>
      <c r="J394" s="89"/>
      <c r="K394" s="89"/>
      <c r="L394" s="89"/>
      <c r="M394" s="89"/>
      <c r="N394" s="89"/>
      <c r="O394" s="89"/>
      <c r="P394" s="89"/>
      <c r="Q394" s="89"/>
      <c r="R394" s="89"/>
      <c r="S394" s="89"/>
      <c r="T394" s="89"/>
      <c r="U394" s="89"/>
    </row>
    <row r="395">
      <c r="A395" s="89"/>
      <c r="B395" s="89"/>
      <c r="C395" s="91"/>
      <c r="D395" s="92"/>
      <c r="E395" s="89"/>
      <c r="F395" s="89"/>
      <c r="G395" s="89"/>
      <c r="H395" s="89"/>
      <c r="I395" s="89"/>
      <c r="J395" s="89"/>
      <c r="K395" s="89"/>
      <c r="L395" s="89"/>
      <c r="M395" s="89"/>
      <c r="N395" s="89"/>
      <c r="O395" s="89"/>
      <c r="P395" s="89"/>
      <c r="Q395" s="89"/>
      <c r="R395" s="89"/>
      <c r="S395" s="89"/>
      <c r="T395" s="89"/>
      <c r="U395" s="89"/>
    </row>
    <row r="396">
      <c r="A396" s="89"/>
      <c r="B396" s="89"/>
      <c r="C396" s="91"/>
      <c r="D396" s="92"/>
      <c r="E396" s="89"/>
      <c r="F396" s="89"/>
      <c r="G396" s="89"/>
      <c r="H396" s="89"/>
      <c r="I396" s="89"/>
      <c r="J396" s="89"/>
      <c r="K396" s="89"/>
      <c r="L396" s="89"/>
      <c r="M396" s="89"/>
      <c r="N396" s="89"/>
      <c r="O396" s="89"/>
      <c r="P396" s="89"/>
      <c r="Q396" s="89"/>
      <c r="R396" s="89"/>
      <c r="S396" s="89"/>
      <c r="T396" s="89"/>
      <c r="U396" s="89"/>
    </row>
    <row r="397">
      <c r="A397" s="89"/>
      <c r="B397" s="89"/>
      <c r="C397" s="91"/>
      <c r="D397" s="92"/>
      <c r="E397" s="89"/>
      <c r="F397" s="89"/>
      <c r="G397" s="89"/>
      <c r="H397" s="89"/>
      <c r="I397" s="89"/>
      <c r="J397" s="89"/>
      <c r="K397" s="89"/>
      <c r="L397" s="89"/>
      <c r="M397" s="89"/>
      <c r="N397" s="89"/>
      <c r="O397" s="89"/>
      <c r="P397" s="89"/>
      <c r="Q397" s="89"/>
      <c r="R397" s="89"/>
      <c r="S397" s="89"/>
      <c r="T397" s="89"/>
      <c r="U397" s="89"/>
    </row>
    <row r="398">
      <c r="A398" s="89"/>
      <c r="B398" s="89"/>
      <c r="C398" s="91"/>
      <c r="D398" s="92"/>
      <c r="E398" s="89"/>
      <c r="F398" s="89"/>
      <c r="G398" s="89"/>
      <c r="H398" s="89"/>
      <c r="I398" s="89"/>
      <c r="J398" s="89"/>
      <c r="K398" s="89"/>
      <c r="L398" s="89"/>
      <c r="M398" s="89"/>
      <c r="N398" s="89"/>
      <c r="O398" s="89"/>
      <c r="P398" s="89"/>
      <c r="Q398" s="89"/>
      <c r="R398" s="89"/>
      <c r="S398" s="89"/>
      <c r="T398" s="89"/>
      <c r="U398" s="89"/>
    </row>
    <row r="399">
      <c r="A399" s="89"/>
      <c r="B399" s="89"/>
      <c r="C399" s="91"/>
      <c r="D399" s="92"/>
      <c r="E399" s="89"/>
      <c r="F399" s="89"/>
      <c r="G399" s="89"/>
      <c r="H399" s="89"/>
      <c r="I399" s="89"/>
      <c r="J399" s="89"/>
      <c r="K399" s="89"/>
      <c r="L399" s="89"/>
      <c r="M399" s="89"/>
      <c r="N399" s="89"/>
      <c r="O399" s="89"/>
      <c r="P399" s="89"/>
      <c r="Q399" s="89"/>
      <c r="R399" s="89"/>
      <c r="S399" s="89"/>
      <c r="T399" s="89"/>
      <c r="U399" s="89"/>
    </row>
    <row r="400">
      <c r="A400" s="89"/>
      <c r="B400" s="89"/>
      <c r="C400" s="91"/>
      <c r="D400" s="92"/>
      <c r="E400" s="89"/>
      <c r="F400" s="89"/>
      <c r="G400" s="89"/>
      <c r="H400" s="89"/>
      <c r="I400" s="89"/>
      <c r="J400" s="89"/>
      <c r="K400" s="89"/>
      <c r="L400" s="89"/>
      <c r="M400" s="89"/>
      <c r="N400" s="89"/>
      <c r="O400" s="89"/>
      <c r="P400" s="89"/>
      <c r="Q400" s="89"/>
      <c r="R400" s="89"/>
      <c r="S400" s="89"/>
      <c r="T400" s="89"/>
      <c r="U400" s="89"/>
    </row>
    <row r="401">
      <c r="A401" s="89"/>
      <c r="B401" s="89"/>
      <c r="C401" s="91"/>
      <c r="D401" s="92"/>
      <c r="E401" s="89"/>
      <c r="F401" s="89"/>
      <c r="G401" s="89"/>
      <c r="H401" s="89"/>
      <c r="I401" s="89"/>
      <c r="J401" s="89"/>
      <c r="K401" s="89"/>
      <c r="L401" s="89"/>
      <c r="M401" s="89"/>
      <c r="N401" s="89"/>
      <c r="O401" s="89"/>
      <c r="P401" s="89"/>
      <c r="Q401" s="89"/>
      <c r="R401" s="89"/>
      <c r="S401" s="89"/>
      <c r="T401" s="89"/>
      <c r="U401" s="89"/>
    </row>
    <row r="402">
      <c r="A402" s="89"/>
      <c r="B402" s="89"/>
      <c r="C402" s="91"/>
      <c r="D402" s="92"/>
      <c r="E402" s="89"/>
      <c r="F402" s="89"/>
      <c r="G402" s="89"/>
      <c r="H402" s="89"/>
      <c r="I402" s="89"/>
      <c r="J402" s="89"/>
      <c r="K402" s="89"/>
      <c r="L402" s="89"/>
      <c r="M402" s="89"/>
      <c r="N402" s="89"/>
      <c r="O402" s="89"/>
      <c r="P402" s="89"/>
      <c r="Q402" s="89"/>
      <c r="R402" s="89"/>
      <c r="S402" s="89"/>
      <c r="T402" s="89"/>
      <c r="U402" s="89"/>
    </row>
    <row r="403">
      <c r="A403" s="89"/>
      <c r="B403" s="89"/>
      <c r="C403" s="91"/>
      <c r="D403" s="92"/>
      <c r="E403" s="89"/>
      <c r="F403" s="89"/>
      <c r="G403" s="89"/>
      <c r="H403" s="89"/>
      <c r="I403" s="89"/>
      <c r="J403" s="89"/>
      <c r="K403" s="89"/>
      <c r="L403" s="89"/>
      <c r="M403" s="89"/>
      <c r="N403" s="89"/>
      <c r="O403" s="89"/>
      <c r="P403" s="89"/>
      <c r="Q403" s="89"/>
      <c r="R403" s="89"/>
      <c r="S403" s="89"/>
      <c r="T403" s="89"/>
      <c r="U403" s="89"/>
    </row>
    <row r="404">
      <c r="A404" s="89"/>
      <c r="B404" s="89"/>
      <c r="C404" s="91"/>
      <c r="D404" s="92"/>
      <c r="E404" s="89"/>
      <c r="F404" s="89"/>
      <c r="G404" s="89"/>
      <c r="H404" s="89"/>
      <c r="I404" s="89"/>
      <c r="J404" s="89"/>
      <c r="K404" s="89"/>
      <c r="L404" s="89"/>
      <c r="M404" s="89"/>
      <c r="N404" s="89"/>
      <c r="O404" s="89"/>
      <c r="P404" s="89"/>
      <c r="Q404" s="89"/>
      <c r="R404" s="89"/>
      <c r="S404" s="89"/>
      <c r="T404" s="89"/>
      <c r="U404" s="89"/>
    </row>
    <row r="405">
      <c r="A405" s="89"/>
      <c r="B405" s="89"/>
      <c r="C405" s="91"/>
      <c r="D405" s="92"/>
      <c r="E405" s="89"/>
      <c r="F405" s="89"/>
      <c r="G405" s="89"/>
      <c r="H405" s="89"/>
      <c r="I405" s="89"/>
      <c r="J405" s="89"/>
      <c r="K405" s="89"/>
      <c r="L405" s="89"/>
      <c r="M405" s="89"/>
      <c r="N405" s="89"/>
      <c r="O405" s="89"/>
      <c r="P405" s="89"/>
      <c r="Q405" s="89"/>
      <c r="R405" s="89"/>
      <c r="S405" s="89"/>
      <c r="T405" s="89"/>
      <c r="U405" s="89"/>
    </row>
    <row r="406">
      <c r="A406" s="89"/>
      <c r="B406" s="89"/>
      <c r="C406" s="91"/>
      <c r="D406" s="92"/>
      <c r="E406" s="89"/>
      <c r="F406" s="89"/>
      <c r="G406" s="89"/>
      <c r="H406" s="89"/>
      <c r="I406" s="89"/>
      <c r="J406" s="89"/>
      <c r="K406" s="89"/>
      <c r="L406" s="89"/>
      <c r="M406" s="89"/>
      <c r="N406" s="89"/>
      <c r="O406" s="89"/>
      <c r="P406" s="89"/>
      <c r="Q406" s="89"/>
      <c r="R406" s="89"/>
      <c r="S406" s="89"/>
      <c r="T406" s="89"/>
      <c r="U406" s="89"/>
    </row>
    <row r="407">
      <c r="A407" s="89"/>
      <c r="B407" s="89"/>
      <c r="C407" s="91"/>
      <c r="D407" s="92"/>
      <c r="E407" s="89"/>
      <c r="F407" s="89"/>
      <c r="G407" s="89"/>
      <c r="H407" s="89"/>
      <c r="I407" s="89"/>
      <c r="J407" s="89"/>
      <c r="K407" s="89"/>
      <c r="L407" s="89"/>
      <c r="M407" s="89"/>
      <c r="N407" s="89"/>
      <c r="O407" s="89"/>
      <c r="P407" s="89"/>
      <c r="Q407" s="89"/>
      <c r="R407" s="89"/>
      <c r="S407" s="89"/>
      <c r="T407" s="89"/>
      <c r="U407" s="89"/>
    </row>
    <row r="408">
      <c r="A408" s="89"/>
      <c r="B408" s="89"/>
      <c r="C408" s="91"/>
      <c r="D408" s="92"/>
      <c r="E408" s="89"/>
      <c r="F408" s="89"/>
      <c r="G408" s="89"/>
      <c r="H408" s="89"/>
      <c r="I408" s="89"/>
      <c r="J408" s="89"/>
      <c r="K408" s="89"/>
      <c r="L408" s="89"/>
      <c r="M408" s="89"/>
      <c r="N408" s="89"/>
      <c r="O408" s="89"/>
      <c r="P408" s="89"/>
      <c r="Q408" s="89"/>
      <c r="R408" s="89"/>
      <c r="S408" s="89"/>
      <c r="T408" s="89"/>
      <c r="U408" s="89"/>
    </row>
    <row r="409">
      <c r="A409" s="89"/>
      <c r="B409" s="89"/>
      <c r="C409" s="91"/>
      <c r="D409" s="92"/>
      <c r="E409" s="89"/>
      <c r="F409" s="89"/>
      <c r="G409" s="89"/>
      <c r="H409" s="89"/>
      <c r="I409" s="89"/>
      <c r="J409" s="89"/>
      <c r="K409" s="89"/>
      <c r="L409" s="89"/>
      <c r="M409" s="89"/>
      <c r="N409" s="89"/>
      <c r="O409" s="89"/>
      <c r="P409" s="89"/>
      <c r="Q409" s="89"/>
      <c r="R409" s="89"/>
      <c r="S409" s="89"/>
      <c r="T409" s="89"/>
      <c r="U409" s="89"/>
    </row>
    <row r="410">
      <c r="A410" s="89"/>
      <c r="B410" s="89"/>
      <c r="C410" s="91"/>
      <c r="D410" s="92"/>
      <c r="E410" s="89"/>
      <c r="F410" s="89"/>
      <c r="G410" s="89"/>
      <c r="H410" s="89"/>
      <c r="I410" s="89"/>
      <c r="J410" s="89"/>
      <c r="K410" s="89"/>
      <c r="L410" s="89"/>
      <c r="M410" s="89"/>
      <c r="N410" s="89"/>
      <c r="O410" s="89"/>
      <c r="P410" s="89"/>
      <c r="Q410" s="89"/>
      <c r="R410" s="89"/>
      <c r="S410" s="89"/>
      <c r="T410" s="89"/>
      <c r="U410" s="89"/>
    </row>
    <row r="411">
      <c r="A411" s="89"/>
      <c r="B411" s="89"/>
      <c r="C411" s="91"/>
      <c r="D411" s="92"/>
      <c r="E411" s="89"/>
      <c r="F411" s="89"/>
      <c r="G411" s="89"/>
      <c r="H411" s="89"/>
      <c r="I411" s="89"/>
      <c r="J411" s="89"/>
      <c r="K411" s="89"/>
      <c r="L411" s="89"/>
      <c r="M411" s="89"/>
      <c r="N411" s="89"/>
      <c r="O411" s="89"/>
      <c r="P411" s="89"/>
      <c r="Q411" s="89"/>
      <c r="R411" s="89"/>
      <c r="S411" s="89"/>
      <c r="T411" s="89"/>
      <c r="U411" s="89"/>
    </row>
    <row r="412">
      <c r="A412" s="89"/>
      <c r="B412" s="89"/>
      <c r="C412" s="91"/>
      <c r="D412" s="92"/>
      <c r="E412" s="89"/>
      <c r="F412" s="89"/>
      <c r="G412" s="89"/>
      <c r="H412" s="89"/>
      <c r="I412" s="89"/>
      <c r="J412" s="89"/>
      <c r="K412" s="89"/>
      <c r="L412" s="89"/>
      <c r="M412" s="89"/>
      <c r="N412" s="89"/>
      <c r="O412" s="89"/>
      <c r="P412" s="89"/>
      <c r="Q412" s="89"/>
      <c r="R412" s="89"/>
      <c r="S412" s="89"/>
      <c r="T412" s="89"/>
      <c r="U412" s="89"/>
    </row>
    <row r="413">
      <c r="A413" s="89"/>
      <c r="B413" s="89"/>
      <c r="C413" s="91"/>
      <c r="D413" s="92"/>
      <c r="E413" s="89"/>
      <c r="F413" s="89"/>
      <c r="G413" s="89"/>
      <c r="H413" s="89"/>
      <c r="I413" s="89"/>
      <c r="J413" s="89"/>
      <c r="K413" s="89"/>
      <c r="L413" s="89"/>
      <c r="M413" s="89"/>
      <c r="N413" s="89"/>
      <c r="O413" s="89"/>
      <c r="P413" s="89"/>
      <c r="Q413" s="89"/>
      <c r="R413" s="89"/>
      <c r="S413" s="89"/>
      <c r="T413" s="89"/>
      <c r="U413" s="89"/>
    </row>
    <row r="414">
      <c r="A414" s="89"/>
      <c r="B414" s="89"/>
      <c r="C414" s="91"/>
      <c r="D414" s="92"/>
      <c r="E414" s="89"/>
      <c r="F414" s="89"/>
      <c r="G414" s="89"/>
      <c r="H414" s="89"/>
      <c r="I414" s="89"/>
      <c r="J414" s="89"/>
      <c r="K414" s="89"/>
      <c r="L414" s="89"/>
      <c r="M414" s="89"/>
      <c r="N414" s="89"/>
      <c r="O414" s="89"/>
      <c r="P414" s="89"/>
      <c r="Q414" s="89"/>
      <c r="R414" s="89"/>
      <c r="S414" s="89"/>
      <c r="T414" s="89"/>
      <c r="U414" s="89"/>
    </row>
    <row r="415">
      <c r="A415" s="89"/>
      <c r="B415" s="89"/>
      <c r="C415" s="91"/>
      <c r="D415" s="92"/>
      <c r="E415" s="89"/>
      <c r="F415" s="89"/>
      <c r="G415" s="89"/>
      <c r="H415" s="89"/>
      <c r="I415" s="89"/>
      <c r="J415" s="89"/>
      <c r="K415" s="89"/>
      <c r="L415" s="89"/>
      <c r="M415" s="89"/>
      <c r="N415" s="89"/>
      <c r="O415" s="89"/>
      <c r="P415" s="89"/>
      <c r="Q415" s="89"/>
      <c r="R415" s="89"/>
      <c r="S415" s="89"/>
      <c r="T415" s="89"/>
      <c r="U415" s="89"/>
    </row>
    <row r="416">
      <c r="A416" s="89"/>
      <c r="B416" s="89"/>
      <c r="C416" s="91"/>
      <c r="D416" s="92"/>
      <c r="E416" s="89"/>
      <c r="F416" s="89"/>
      <c r="G416" s="89"/>
      <c r="H416" s="89"/>
      <c r="I416" s="89"/>
      <c r="J416" s="89"/>
      <c r="K416" s="89"/>
      <c r="L416" s="89"/>
      <c r="M416" s="89"/>
      <c r="N416" s="89"/>
      <c r="O416" s="89"/>
      <c r="P416" s="89"/>
      <c r="Q416" s="89"/>
      <c r="R416" s="89"/>
      <c r="S416" s="89"/>
      <c r="T416" s="89"/>
      <c r="U416" s="89"/>
    </row>
    <row r="417">
      <c r="A417" s="89"/>
      <c r="B417" s="89"/>
      <c r="C417" s="91"/>
      <c r="D417" s="92"/>
      <c r="E417" s="89"/>
      <c r="F417" s="89"/>
      <c r="G417" s="89"/>
      <c r="H417" s="89"/>
      <c r="I417" s="89"/>
      <c r="J417" s="89"/>
      <c r="K417" s="89"/>
      <c r="L417" s="89"/>
      <c r="M417" s="89"/>
      <c r="N417" s="89"/>
      <c r="O417" s="89"/>
      <c r="P417" s="89"/>
      <c r="Q417" s="89"/>
      <c r="R417" s="89"/>
      <c r="S417" s="89"/>
      <c r="T417" s="89"/>
      <c r="U417" s="89"/>
    </row>
    <row r="418">
      <c r="A418" s="89"/>
      <c r="B418" s="89"/>
      <c r="C418" s="91"/>
      <c r="D418" s="92"/>
      <c r="E418" s="89"/>
      <c r="F418" s="89"/>
      <c r="G418" s="89"/>
      <c r="H418" s="89"/>
      <c r="I418" s="89"/>
      <c r="J418" s="89"/>
      <c r="K418" s="89"/>
      <c r="L418" s="89"/>
      <c r="M418" s="89"/>
      <c r="N418" s="89"/>
      <c r="O418" s="89"/>
      <c r="P418" s="89"/>
      <c r="Q418" s="89"/>
      <c r="R418" s="89"/>
      <c r="S418" s="89"/>
      <c r="T418" s="89"/>
      <c r="U418" s="89"/>
    </row>
    <row r="419">
      <c r="A419" s="89"/>
      <c r="B419" s="89"/>
      <c r="C419" s="91"/>
      <c r="D419" s="92"/>
      <c r="E419" s="89"/>
      <c r="F419" s="89"/>
      <c r="G419" s="89"/>
      <c r="H419" s="89"/>
      <c r="I419" s="89"/>
      <c r="J419" s="89"/>
      <c r="K419" s="89"/>
      <c r="L419" s="89"/>
      <c r="M419" s="89"/>
      <c r="N419" s="89"/>
      <c r="O419" s="89"/>
      <c r="P419" s="89"/>
      <c r="Q419" s="89"/>
      <c r="R419" s="89"/>
      <c r="S419" s="89"/>
      <c r="T419" s="89"/>
      <c r="U419" s="89"/>
    </row>
    <row r="420">
      <c r="A420" s="89"/>
      <c r="B420" s="89"/>
      <c r="C420" s="91"/>
      <c r="D420" s="92"/>
      <c r="E420" s="89"/>
      <c r="F420" s="89"/>
      <c r="G420" s="89"/>
      <c r="H420" s="89"/>
      <c r="I420" s="89"/>
      <c r="J420" s="89"/>
      <c r="K420" s="89"/>
      <c r="L420" s="89"/>
      <c r="M420" s="89"/>
      <c r="N420" s="89"/>
      <c r="O420" s="89"/>
      <c r="P420" s="89"/>
      <c r="Q420" s="89"/>
      <c r="R420" s="89"/>
      <c r="S420" s="89"/>
      <c r="T420" s="89"/>
      <c r="U420" s="89"/>
    </row>
    <row r="421">
      <c r="A421" s="89"/>
      <c r="B421" s="89"/>
      <c r="C421" s="91"/>
      <c r="D421" s="92"/>
      <c r="E421" s="89"/>
      <c r="F421" s="89"/>
      <c r="G421" s="89"/>
      <c r="H421" s="89"/>
      <c r="I421" s="89"/>
      <c r="J421" s="89"/>
      <c r="K421" s="89"/>
      <c r="L421" s="89"/>
      <c r="M421" s="89"/>
      <c r="N421" s="89"/>
      <c r="O421" s="89"/>
      <c r="P421" s="89"/>
      <c r="Q421" s="89"/>
      <c r="R421" s="89"/>
      <c r="S421" s="89"/>
      <c r="T421" s="89"/>
      <c r="U421" s="89"/>
    </row>
    <row r="422">
      <c r="A422" s="89"/>
      <c r="B422" s="89"/>
      <c r="C422" s="91"/>
      <c r="D422" s="92"/>
      <c r="E422" s="89"/>
      <c r="F422" s="89"/>
      <c r="G422" s="89"/>
      <c r="H422" s="89"/>
      <c r="I422" s="89"/>
      <c r="J422" s="89"/>
      <c r="K422" s="89"/>
      <c r="L422" s="89"/>
      <c r="M422" s="89"/>
      <c r="N422" s="89"/>
      <c r="O422" s="89"/>
      <c r="P422" s="89"/>
      <c r="Q422" s="89"/>
      <c r="R422" s="89"/>
      <c r="S422" s="89"/>
      <c r="T422" s="89"/>
      <c r="U422" s="89"/>
    </row>
    <row r="423">
      <c r="A423" s="89"/>
      <c r="B423" s="89"/>
      <c r="C423" s="91"/>
      <c r="D423" s="92"/>
      <c r="E423" s="89"/>
      <c r="F423" s="89"/>
      <c r="G423" s="89"/>
      <c r="H423" s="89"/>
      <c r="I423" s="89"/>
      <c r="J423" s="89"/>
      <c r="K423" s="89"/>
      <c r="L423" s="89"/>
      <c r="M423" s="89"/>
      <c r="N423" s="89"/>
      <c r="O423" s="89"/>
      <c r="P423" s="89"/>
      <c r="Q423" s="89"/>
      <c r="R423" s="89"/>
      <c r="S423" s="89"/>
      <c r="T423" s="89"/>
      <c r="U423" s="89"/>
    </row>
    <row r="424">
      <c r="A424" s="89"/>
      <c r="B424" s="89"/>
      <c r="C424" s="91"/>
      <c r="D424" s="92"/>
      <c r="E424" s="89"/>
      <c r="F424" s="89"/>
      <c r="G424" s="89"/>
      <c r="H424" s="89"/>
      <c r="I424" s="89"/>
      <c r="J424" s="89"/>
      <c r="K424" s="89"/>
      <c r="L424" s="89"/>
      <c r="M424" s="89"/>
      <c r="N424" s="89"/>
      <c r="O424" s="89"/>
      <c r="P424" s="89"/>
      <c r="Q424" s="89"/>
      <c r="R424" s="89"/>
      <c r="S424" s="89"/>
      <c r="T424" s="89"/>
      <c r="U424" s="89"/>
    </row>
    <row r="425">
      <c r="A425" s="89"/>
      <c r="B425" s="89"/>
      <c r="C425" s="91"/>
      <c r="D425" s="92"/>
      <c r="E425" s="89"/>
      <c r="F425" s="89"/>
      <c r="G425" s="89"/>
      <c r="H425" s="89"/>
      <c r="I425" s="89"/>
      <c r="J425" s="89"/>
      <c r="K425" s="89"/>
      <c r="L425" s="89"/>
      <c r="M425" s="89"/>
      <c r="N425" s="89"/>
      <c r="O425" s="89"/>
      <c r="P425" s="89"/>
      <c r="Q425" s="89"/>
      <c r="R425" s="89"/>
      <c r="S425" s="89"/>
      <c r="T425" s="89"/>
      <c r="U425" s="89"/>
    </row>
    <row r="426">
      <c r="A426" s="89"/>
      <c r="B426" s="89"/>
      <c r="C426" s="91"/>
      <c r="D426" s="92"/>
      <c r="E426" s="89"/>
      <c r="F426" s="89"/>
      <c r="G426" s="89"/>
      <c r="H426" s="89"/>
      <c r="I426" s="89"/>
      <c r="J426" s="89"/>
      <c r="K426" s="89"/>
      <c r="L426" s="89"/>
      <c r="M426" s="89"/>
      <c r="N426" s="89"/>
      <c r="O426" s="89"/>
      <c r="P426" s="89"/>
      <c r="Q426" s="89"/>
      <c r="R426" s="89"/>
      <c r="S426" s="89"/>
      <c r="T426" s="89"/>
      <c r="U426" s="89"/>
    </row>
    <row r="427">
      <c r="A427" s="89"/>
      <c r="B427" s="89"/>
      <c r="C427" s="91"/>
      <c r="D427" s="92"/>
      <c r="E427" s="89"/>
      <c r="F427" s="89"/>
      <c r="G427" s="89"/>
      <c r="H427" s="89"/>
      <c r="I427" s="89"/>
      <c r="J427" s="89"/>
      <c r="K427" s="89"/>
      <c r="L427" s="89"/>
      <c r="M427" s="89"/>
      <c r="N427" s="89"/>
      <c r="O427" s="89"/>
      <c r="P427" s="89"/>
      <c r="Q427" s="89"/>
      <c r="R427" s="89"/>
      <c r="S427" s="89"/>
      <c r="T427" s="89"/>
      <c r="U427" s="89"/>
    </row>
    <row r="428">
      <c r="A428" s="89"/>
      <c r="B428" s="89"/>
      <c r="C428" s="91"/>
      <c r="D428" s="92"/>
      <c r="E428" s="89"/>
      <c r="F428" s="89"/>
      <c r="G428" s="89"/>
      <c r="H428" s="89"/>
      <c r="I428" s="89"/>
      <c r="J428" s="89"/>
      <c r="K428" s="89"/>
      <c r="L428" s="89"/>
      <c r="M428" s="89"/>
      <c r="N428" s="89"/>
      <c r="O428" s="89"/>
      <c r="P428" s="89"/>
      <c r="Q428" s="89"/>
      <c r="R428" s="89"/>
      <c r="S428" s="89"/>
      <c r="T428" s="89"/>
      <c r="U428" s="89"/>
    </row>
    <row r="429">
      <c r="A429" s="89"/>
      <c r="B429" s="89"/>
      <c r="C429" s="91"/>
      <c r="D429" s="92"/>
      <c r="E429" s="89"/>
      <c r="F429" s="89"/>
      <c r="G429" s="89"/>
      <c r="H429" s="89"/>
      <c r="I429" s="89"/>
      <c r="J429" s="89"/>
      <c r="K429" s="89"/>
      <c r="L429" s="89"/>
      <c r="M429" s="89"/>
      <c r="N429" s="89"/>
      <c r="O429" s="89"/>
      <c r="P429" s="89"/>
      <c r="Q429" s="89"/>
      <c r="R429" s="89"/>
      <c r="S429" s="89"/>
      <c r="T429" s="89"/>
      <c r="U429" s="89"/>
    </row>
    <row r="430">
      <c r="A430" s="89"/>
      <c r="B430" s="89"/>
      <c r="C430" s="91"/>
      <c r="D430" s="92"/>
      <c r="E430" s="89"/>
      <c r="F430" s="89"/>
      <c r="G430" s="89"/>
      <c r="H430" s="89"/>
      <c r="I430" s="89"/>
      <c r="J430" s="89"/>
      <c r="K430" s="89"/>
      <c r="L430" s="89"/>
      <c r="M430" s="89"/>
      <c r="N430" s="89"/>
      <c r="O430" s="89"/>
      <c r="P430" s="89"/>
      <c r="Q430" s="89"/>
      <c r="R430" s="89"/>
      <c r="S430" s="89"/>
      <c r="T430" s="89"/>
      <c r="U430" s="89"/>
    </row>
    <row r="431">
      <c r="A431" s="89"/>
      <c r="B431" s="89"/>
      <c r="C431" s="91"/>
      <c r="D431" s="92"/>
      <c r="E431" s="89"/>
      <c r="F431" s="89"/>
      <c r="G431" s="89"/>
      <c r="H431" s="89"/>
      <c r="I431" s="89"/>
      <c r="J431" s="89"/>
      <c r="K431" s="89"/>
      <c r="L431" s="89"/>
      <c r="M431" s="89"/>
      <c r="N431" s="89"/>
      <c r="O431" s="89"/>
      <c r="P431" s="89"/>
      <c r="Q431" s="89"/>
      <c r="R431" s="89"/>
      <c r="S431" s="89"/>
      <c r="T431" s="89"/>
      <c r="U431" s="89"/>
    </row>
    <row r="432">
      <c r="A432" s="89"/>
      <c r="B432" s="89"/>
      <c r="C432" s="91"/>
      <c r="D432" s="92"/>
      <c r="E432" s="89"/>
      <c r="F432" s="89"/>
      <c r="G432" s="89"/>
      <c r="H432" s="89"/>
      <c r="I432" s="89"/>
      <c r="J432" s="89"/>
      <c r="K432" s="89"/>
      <c r="L432" s="89"/>
      <c r="M432" s="89"/>
      <c r="N432" s="89"/>
      <c r="O432" s="89"/>
      <c r="P432" s="89"/>
      <c r="Q432" s="89"/>
      <c r="R432" s="89"/>
      <c r="S432" s="89"/>
      <c r="T432" s="89"/>
      <c r="U432" s="89"/>
    </row>
    <row r="433">
      <c r="A433" s="89"/>
      <c r="B433" s="89"/>
      <c r="C433" s="91"/>
      <c r="D433" s="92"/>
      <c r="E433" s="89"/>
      <c r="F433" s="89"/>
      <c r="G433" s="89"/>
      <c r="H433" s="89"/>
      <c r="I433" s="89"/>
      <c r="J433" s="89"/>
      <c r="K433" s="89"/>
      <c r="L433" s="89"/>
      <c r="M433" s="89"/>
      <c r="N433" s="89"/>
      <c r="O433" s="89"/>
      <c r="P433" s="89"/>
      <c r="Q433" s="89"/>
      <c r="R433" s="89"/>
      <c r="S433" s="89"/>
      <c r="T433" s="89"/>
      <c r="U433" s="89"/>
    </row>
    <row r="434">
      <c r="A434" s="89"/>
      <c r="B434" s="89"/>
      <c r="C434" s="91"/>
      <c r="D434" s="92"/>
      <c r="E434" s="89"/>
      <c r="F434" s="89"/>
      <c r="G434" s="89"/>
      <c r="H434" s="89"/>
      <c r="I434" s="89"/>
      <c r="J434" s="89"/>
      <c r="K434" s="89"/>
      <c r="L434" s="89"/>
      <c r="M434" s="89"/>
      <c r="N434" s="89"/>
      <c r="O434" s="89"/>
      <c r="P434" s="89"/>
      <c r="Q434" s="89"/>
      <c r="R434" s="89"/>
      <c r="S434" s="89"/>
      <c r="T434" s="89"/>
      <c r="U434" s="89"/>
    </row>
    <row r="435">
      <c r="A435" s="89"/>
      <c r="B435" s="89"/>
      <c r="C435" s="91"/>
      <c r="D435" s="92"/>
      <c r="E435" s="89"/>
      <c r="F435" s="89"/>
      <c r="G435" s="89"/>
      <c r="H435" s="89"/>
      <c r="I435" s="89"/>
      <c r="J435" s="89"/>
      <c r="K435" s="89"/>
      <c r="L435" s="89"/>
      <c r="M435" s="89"/>
      <c r="N435" s="89"/>
      <c r="O435" s="89"/>
      <c r="P435" s="89"/>
      <c r="Q435" s="89"/>
      <c r="R435" s="89"/>
      <c r="S435" s="89"/>
      <c r="T435" s="89"/>
      <c r="U435" s="89"/>
    </row>
    <row r="436">
      <c r="A436" s="89"/>
      <c r="B436" s="89"/>
      <c r="C436" s="91"/>
      <c r="D436" s="92"/>
      <c r="E436" s="89"/>
      <c r="F436" s="89"/>
      <c r="G436" s="89"/>
      <c r="H436" s="89"/>
      <c r="I436" s="89"/>
      <c r="J436" s="89"/>
      <c r="K436" s="89"/>
      <c r="L436" s="89"/>
      <c r="M436" s="89"/>
      <c r="N436" s="89"/>
      <c r="O436" s="89"/>
      <c r="P436" s="89"/>
      <c r="Q436" s="89"/>
      <c r="R436" s="89"/>
      <c r="S436" s="89"/>
      <c r="T436" s="89"/>
      <c r="U436" s="89"/>
    </row>
    <row r="437">
      <c r="A437" s="89"/>
      <c r="B437" s="89"/>
      <c r="C437" s="91"/>
      <c r="D437" s="92"/>
      <c r="E437" s="89"/>
      <c r="F437" s="89"/>
      <c r="G437" s="89"/>
      <c r="H437" s="89"/>
      <c r="I437" s="89"/>
      <c r="J437" s="89"/>
      <c r="K437" s="89"/>
      <c r="L437" s="89"/>
      <c r="M437" s="89"/>
      <c r="N437" s="89"/>
      <c r="O437" s="89"/>
      <c r="P437" s="89"/>
      <c r="Q437" s="89"/>
      <c r="R437" s="89"/>
      <c r="S437" s="89"/>
      <c r="T437" s="89"/>
      <c r="U437" s="89"/>
    </row>
    <row r="438">
      <c r="A438" s="89"/>
      <c r="B438" s="89"/>
      <c r="C438" s="91"/>
      <c r="D438" s="92"/>
      <c r="E438" s="89"/>
      <c r="F438" s="89"/>
      <c r="G438" s="89"/>
      <c r="H438" s="89"/>
      <c r="I438" s="89"/>
      <c r="J438" s="89"/>
      <c r="K438" s="89"/>
      <c r="L438" s="89"/>
      <c r="M438" s="89"/>
      <c r="N438" s="89"/>
      <c r="O438" s="89"/>
      <c r="P438" s="89"/>
      <c r="Q438" s="89"/>
      <c r="R438" s="89"/>
      <c r="S438" s="89"/>
      <c r="T438" s="89"/>
      <c r="U438" s="89"/>
    </row>
    <row r="439">
      <c r="A439" s="89"/>
      <c r="B439" s="89"/>
      <c r="C439" s="91"/>
      <c r="D439" s="92"/>
      <c r="E439" s="89"/>
      <c r="F439" s="89"/>
      <c r="G439" s="89"/>
      <c r="H439" s="89"/>
      <c r="I439" s="89"/>
      <c r="J439" s="89"/>
      <c r="K439" s="89"/>
      <c r="L439" s="89"/>
      <c r="M439" s="89"/>
      <c r="N439" s="89"/>
      <c r="O439" s="89"/>
      <c r="P439" s="89"/>
      <c r="Q439" s="89"/>
      <c r="R439" s="89"/>
      <c r="S439" s="89"/>
      <c r="T439" s="89"/>
      <c r="U439" s="89"/>
    </row>
    <row r="440">
      <c r="A440" s="89"/>
      <c r="B440" s="89"/>
      <c r="C440" s="91"/>
      <c r="D440" s="92"/>
      <c r="E440" s="89"/>
      <c r="F440" s="89"/>
      <c r="G440" s="89"/>
      <c r="H440" s="89"/>
      <c r="I440" s="89"/>
      <c r="J440" s="89"/>
      <c r="K440" s="89"/>
      <c r="L440" s="89"/>
      <c r="M440" s="89"/>
      <c r="N440" s="89"/>
      <c r="O440" s="89"/>
      <c r="P440" s="89"/>
      <c r="Q440" s="89"/>
      <c r="R440" s="89"/>
      <c r="S440" s="89"/>
      <c r="T440" s="89"/>
      <c r="U440" s="89"/>
    </row>
    <row r="441">
      <c r="A441" s="89"/>
      <c r="B441" s="89"/>
      <c r="C441" s="91"/>
      <c r="D441" s="92"/>
      <c r="E441" s="89"/>
      <c r="F441" s="89"/>
      <c r="G441" s="89"/>
      <c r="H441" s="89"/>
      <c r="I441" s="89"/>
      <c r="J441" s="89"/>
      <c r="K441" s="89"/>
      <c r="L441" s="89"/>
      <c r="M441" s="89"/>
      <c r="N441" s="89"/>
      <c r="O441" s="89"/>
      <c r="P441" s="89"/>
      <c r="Q441" s="89"/>
      <c r="R441" s="89"/>
      <c r="S441" s="89"/>
      <c r="T441" s="89"/>
      <c r="U441" s="89"/>
    </row>
    <row r="442">
      <c r="A442" s="89"/>
      <c r="B442" s="89"/>
      <c r="C442" s="91"/>
      <c r="D442" s="92"/>
      <c r="E442" s="89"/>
      <c r="F442" s="89"/>
      <c r="G442" s="89"/>
      <c r="H442" s="89"/>
      <c r="I442" s="89"/>
      <c r="J442" s="89"/>
      <c r="K442" s="89"/>
      <c r="L442" s="89"/>
      <c r="M442" s="89"/>
      <c r="N442" s="89"/>
      <c r="O442" s="89"/>
      <c r="P442" s="89"/>
      <c r="Q442" s="89"/>
      <c r="R442" s="89"/>
      <c r="S442" s="89"/>
      <c r="T442" s="89"/>
      <c r="U442" s="89"/>
    </row>
    <row r="443">
      <c r="A443" s="89"/>
      <c r="B443" s="89"/>
      <c r="C443" s="91"/>
      <c r="D443" s="92"/>
      <c r="E443" s="89"/>
      <c r="F443" s="89"/>
      <c r="G443" s="89"/>
      <c r="H443" s="89"/>
      <c r="I443" s="89"/>
      <c r="J443" s="89"/>
      <c r="K443" s="89"/>
      <c r="L443" s="89"/>
      <c r="M443" s="89"/>
      <c r="N443" s="89"/>
      <c r="O443" s="89"/>
      <c r="P443" s="89"/>
      <c r="Q443" s="89"/>
      <c r="R443" s="89"/>
      <c r="S443" s="89"/>
      <c r="T443" s="89"/>
      <c r="U443" s="89"/>
    </row>
    <row r="444">
      <c r="A444" s="89"/>
      <c r="B444" s="89"/>
      <c r="C444" s="91"/>
      <c r="D444" s="92"/>
      <c r="E444" s="89"/>
      <c r="F444" s="89"/>
      <c r="G444" s="89"/>
      <c r="H444" s="89"/>
      <c r="I444" s="89"/>
      <c r="J444" s="89"/>
      <c r="K444" s="89"/>
      <c r="L444" s="89"/>
      <c r="M444" s="89"/>
      <c r="N444" s="89"/>
      <c r="O444" s="89"/>
      <c r="P444" s="89"/>
      <c r="Q444" s="89"/>
      <c r="R444" s="89"/>
      <c r="S444" s="89"/>
      <c r="T444" s="89"/>
      <c r="U444" s="89"/>
    </row>
    <row r="445">
      <c r="A445" s="89"/>
      <c r="B445" s="89"/>
      <c r="C445" s="91"/>
      <c r="D445" s="92"/>
      <c r="E445" s="89"/>
      <c r="F445" s="89"/>
      <c r="G445" s="89"/>
      <c r="H445" s="89"/>
      <c r="I445" s="89"/>
      <c r="J445" s="89"/>
      <c r="K445" s="89"/>
      <c r="L445" s="89"/>
      <c r="M445" s="89"/>
      <c r="N445" s="89"/>
      <c r="O445" s="89"/>
      <c r="P445" s="89"/>
      <c r="Q445" s="89"/>
      <c r="R445" s="89"/>
      <c r="S445" s="89"/>
      <c r="T445" s="89"/>
      <c r="U445" s="89"/>
    </row>
    <row r="446">
      <c r="A446" s="89"/>
      <c r="B446" s="89"/>
      <c r="C446" s="91"/>
      <c r="D446" s="92"/>
      <c r="E446" s="89"/>
      <c r="F446" s="89"/>
      <c r="G446" s="89"/>
      <c r="H446" s="89"/>
      <c r="I446" s="89"/>
      <c r="J446" s="89"/>
      <c r="K446" s="89"/>
      <c r="L446" s="89"/>
      <c r="M446" s="89"/>
      <c r="N446" s="89"/>
      <c r="O446" s="89"/>
      <c r="P446" s="89"/>
      <c r="Q446" s="89"/>
      <c r="R446" s="89"/>
      <c r="S446" s="89"/>
      <c r="T446" s="89"/>
      <c r="U446" s="89"/>
    </row>
    <row r="447">
      <c r="A447" s="89"/>
      <c r="B447" s="89"/>
      <c r="C447" s="91"/>
      <c r="D447" s="92"/>
      <c r="E447" s="89"/>
      <c r="F447" s="89"/>
      <c r="G447" s="89"/>
      <c r="H447" s="89"/>
      <c r="I447" s="89"/>
      <c r="J447" s="89"/>
      <c r="K447" s="89"/>
      <c r="L447" s="89"/>
      <c r="M447" s="89"/>
      <c r="N447" s="89"/>
      <c r="O447" s="89"/>
      <c r="P447" s="89"/>
      <c r="Q447" s="89"/>
      <c r="R447" s="89"/>
      <c r="S447" s="89"/>
      <c r="T447" s="89"/>
      <c r="U447" s="89"/>
    </row>
    <row r="448">
      <c r="A448" s="89"/>
      <c r="B448" s="89"/>
      <c r="C448" s="91"/>
      <c r="D448" s="92"/>
      <c r="E448" s="89"/>
      <c r="F448" s="89"/>
      <c r="G448" s="89"/>
      <c r="H448" s="89"/>
      <c r="I448" s="89"/>
      <c r="J448" s="89"/>
      <c r="K448" s="89"/>
      <c r="L448" s="89"/>
      <c r="M448" s="89"/>
      <c r="N448" s="89"/>
      <c r="O448" s="89"/>
      <c r="P448" s="89"/>
      <c r="Q448" s="89"/>
      <c r="R448" s="89"/>
      <c r="S448" s="89"/>
      <c r="T448" s="89"/>
      <c r="U448" s="89"/>
    </row>
    <row r="449">
      <c r="A449" s="89"/>
      <c r="B449" s="89"/>
      <c r="C449" s="91"/>
      <c r="D449" s="92"/>
      <c r="E449" s="89"/>
      <c r="F449" s="89"/>
      <c r="G449" s="89"/>
      <c r="H449" s="89"/>
      <c r="I449" s="89"/>
      <c r="J449" s="89"/>
      <c r="K449" s="89"/>
      <c r="L449" s="89"/>
      <c r="M449" s="89"/>
      <c r="N449" s="89"/>
      <c r="O449" s="89"/>
      <c r="P449" s="89"/>
      <c r="Q449" s="89"/>
      <c r="R449" s="89"/>
      <c r="S449" s="89"/>
      <c r="T449" s="89"/>
      <c r="U449" s="89"/>
    </row>
    <row r="450">
      <c r="A450" s="89"/>
      <c r="B450" s="89"/>
      <c r="C450" s="91"/>
      <c r="D450" s="92"/>
      <c r="E450" s="89"/>
      <c r="F450" s="89"/>
      <c r="G450" s="89"/>
      <c r="H450" s="89"/>
      <c r="I450" s="89"/>
      <c r="J450" s="89"/>
      <c r="K450" s="89"/>
      <c r="L450" s="89"/>
      <c r="M450" s="89"/>
      <c r="N450" s="89"/>
      <c r="O450" s="89"/>
      <c r="P450" s="89"/>
      <c r="Q450" s="89"/>
      <c r="R450" s="89"/>
      <c r="S450" s="89"/>
      <c r="T450" s="89"/>
      <c r="U450" s="89"/>
    </row>
    <row r="451">
      <c r="A451" s="89"/>
      <c r="B451" s="89"/>
      <c r="C451" s="91"/>
      <c r="D451" s="92"/>
      <c r="E451" s="89"/>
      <c r="F451" s="89"/>
      <c r="G451" s="89"/>
      <c r="H451" s="89"/>
      <c r="I451" s="89"/>
      <c r="J451" s="89"/>
      <c r="K451" s="89"/>
      <c r="L451" s="89"/>
      <c r="M451" s="89"/>
      <c r="N451" s="89"/>
      <c r="O451" s="89"/>
      <c r="P451" s="89"/>
      <c r="Q451" s="89"/>
      <c r="R451" s="89"/>
      <c r="S451" s="89"/>
      <c r="T451" s="89"/>
      <c r="U451" s="89"/>
    </row>
    <row r="452">
      <c r="A452" s="89"/>
      <c r="B452" s="89"/>
      <c r="C452" s="91"/>
      <c r="D452" s="92"/>
      <c r="E452" s="89"/>
      <c r="F452" s="89"/>
      <c r="G452" s="89"/>
      <c r="H452" s="89"/>
      <c r="I452" s="89"/>
      <c r="J452" s="89"/>
      <c r="K452" s="89"/>
      <c r="L452" s="89"/>
      <c r="M452" s="89"/>
      <c r="N452" s="89"/>
      <c r="O452" s="89"/>
      <c r="P452" s="89"/>
      <c r="Q452" s="89"/>
      <c r="R452" s="89"/>
      <c r="S452" s="89"/>
      <c r="T452" s="89"/>
      <c r="U452" s="89"/>
    </row>
    <row r="453">
      <c r="A453" s="89"/>
      <c r="B453" s="89"/>
      <c r="C453" s="91"/>
      <c r="D453" s="92"/>
      <c r="E453" s="89"/>
      <c r="F453" s="89"/>
      <c r="G453" s="89"/>
      <c r="H453" s="89"/>
      <c r="I453" s="89"/>
      <c r="J453" s="89"/>
      <c r="K453" s="89"/>
      <c r="L453" s="89"/>
      <c r="M453" s="89"/>
      <c r="N453" s="89"/>
      <c r="O453" s="89"/>
      <c r="P453" s="89"/>
      <c r="Q453" s="89"/>
      <c r="R453" s="89"/>
      <c r="S453" s="89"/>
      <c r="T453" s="89"/>
      <c r="U453" s="89"/>
    </row>
    <row r="454">
      <c r="A454" s="89"/>
      <c r="B454" s="89"/>
      <c r="C454" s="91"/>
      <c r="D454" s="92"/>
      <c r="E454" s="89"/>
      <c r="F454" s="89"/>
      <c r="G454" s="89"/>
      <c r="H454" s="89"/>
      <c r="I454" s="89"/>
      <c r="J454" s="89"/>
      <c r="K454" s="89"/>
      <c r="L454" s="89"/>
      <c r="M454" s="89"/>
      <c r="N454" s="89"/>
      <c r="O454" s="89"/>
      <c r="P454" s="89"/>
      <c r="Q454" s="89"/>
      <c r="R454" s="89"/>
      <c r="S454" s="89"/>
      <c r="T454" s="89"/>
      <c r="U454" s="89"/>
    </row>
    <row r="455">
      <c r="A455" s="89"/>
      <c r="B455" s="89"/>
      <c r="C455" s="91"/>
      <c r="D455" s="92"/>
      <c r="E455" s="89"/>
      <c r="F455" s="89"/>
      <c r="G455" s="89"/>
      <c r="H455" s="89"/>
      <c r="I455" s="89"/>
      <c r="J455" s="89"/>
      <c r="K455" s="89"/>
      <c r="L455" s="89"/>
      <c r="M455" s="89"/>
      <c r="N455" s="89"/>
      <c r="O455" s="89"/>
      <c r="P455" s="89"/>
      <c r="Q455" s="89"/>
      <c r="R455" s="89"/>
      <c r="S455" s="89"/>
      <c r="T455" s="89"/>
      <c r="U455" s="89"/>
    </row>
    <row r="456">
      <c r="A456" s="89"/>
      <c r="B456" s="89"/>
      <c r="C456" s="91"/>
      <c r="D456" s="92"/>
      <c r="E456" s="89"/>
      <c r="F456" s="89"/>
      <c r="G456" s="89"/>
      <c r="H456" s="89"/>
      <c r="I456" s="89"/>
      <c r="J456" s="89"/>
      <c r="K456" s="89"/>
      <c r="L456" s="89"/>
      <c r="M456" s="89"/>
      <c r="N456" s="89"/>
      <c r="O456" s="89"/>
      <c r="P456" s="89"/>
      <c r="Q456" s="89"/>
      <c r="R456" s="89"/>
      <c r="S456" s="89"/>
      <c r="T456" s="89"/>
      <c r="U456" s="89"/>
    </row>
    <row r="457">
      <c r="A457" s="89"/>
      <c r="B457" s="89"/>
      <c r="C457" s="91"/>
      <c r="D457" s="92"/>
      <c r="E457" s="89"/>
      <c r="F457" s="89"/>
      <c r="G457" s="89"/>
      <c r="H457" s="89"/>
      <c r="I457" s="89"/>
      <c r="J457" s="89"/>
      <c r="K457" s="89"/>
      <c r="L457" s="89"/>
      <c r="M457" s="89"/>
      <c r="N457" s="89"/>
      <c r="O457" s="89"/>
      <c r="P457" s="89"/>
      <c r="Q457" s="89"/>
      <c r="R457" s="89"/>
      <c r="S457" s="89"/>
      <c r="T457" s="89"/>
      <c r="U457" s="89"/>
    </row>
    <row r="458">
      <c r="A458" s="89"/>
      <c r="B458" s="89"/>
      <c r="C458" s="91"/>
      <c r="D458" s="92"/>
      <c r="E458" s="89"/>
      <c r="F458" s="89"/>
      <c r="G458" s="89"/>
      <c r="H458" s="89"/>
      <c r="I458" s="89"/>
      <c r="J458" s="89"/>
      <c r="K458" s="89"/>
      <c r="L458" s="89"/>
      <c r="M458" s="89"/>
      <c r="N458" s="89"/>
      <c r="O458" s="89"/>
      <c r="P458" s="89"/>
      <c r="Q458" s="89"/>
      <c r="R458" s="89"/>
      <c r="S458" s="89"/>
      <c r="T458" s="89"/>
      <c r="U458" s="89"/>
    </row>
    <row r="459">
      <c r="A459" s="89"/>
      <c r="B459" s="89"/>
      <c r="C459" s="91"/>
      <c r="D459" s="92"/>
      <c r="E459" s="89"/>
      <c r="F459" s="89"/>
      <c r="G459" s="89"/>
      <c r="H459" s="89"/>
      <c r="I459" s="89"/>
      <c r="J459" s="89"/>
      <c r="K459" s="89"/>
      <c r="L459" s="89"/>
      <c r="M459" s="89"/>
      <c r="N459" s="89"/>
      <c r="O459" s="89"/>
      <c r="P459" s="89"/>
      <c r="Q459" s="89"/>
      <c r="R459" s="89"/>
      <c r="S459" s="89"/>
      <c r="T459" s="89"/>
      <c r="U459" s="89"/>
    </row>
    <row r="460">
      <c r="A460" s="89"/>
      <c r="B460" s="89"/>
      <c r="C460" s="91"/>
      <c r="D460" s="92"/>
      <c r="E460" s="89"/>
      <c r="F460" s="89"/>
      <c r="G460" s="89"/>
      <c r="H460" s="89"/>
      <c r="I460" s="89"/>
      <c r="J460" s="89"/>
      <c r="K460" s="89"/>
      <c r="L460" s="89"/>
      <c r="M460" s="89"/>
      <c r="N460" s="89"/>
      <c r="O460" s="89"/>
      <c r="P460" s="89"/>
      <c r="Q460" s="89"/>
      <c r="R460" s="89"/>
      <c r="S460" s="89"/>
      <c r="T460" s="89"/>
      <c r="U460" s="89"/>
    </row>
    <row r="461">
      <c r="A461" s="89"/>
      <c r="B461" s="89"/>
      <c r="C461" s="91"/>
      <c r="D461" s="92"/>
      <c r="E461" s="89"/>
      <c r="F461" s="89"/>
      <c r="G461" s="89"/>
      <c r="H461" s="89"/>
      <c r="I461" s="89"/>
      <c r="J461" s="89"/>
      <c r="K461" s="89"/>
      <c r="L461" s="89"/>
      <c r="M461" s="89"/>
      <c r="N461" s="89"/>
      <c r="O461" s="89"/>
      <c r="P461" s="89"/>
      <c r="Q461" s="89"/>
      <c r="R461" s="89"/>
      <c r="S461" s="89"/>
      <c r="T461" s="89"/>
      <c r="U461" s="89"/>
    </row>
    <row r="462">
      <c r="A462" s="89"/>
      <c r="B462" s="89"/>
      <c r="C462" s="91"/>
      <c r="D462" s="92"/>
      <c r="E462" s="89"/>
      <c r="F462" s="89"/>
      <c r="G462" s="89"/>
      <c r="H462" s="89"/>
      <c r="I462" s="89"/>
      <c r="J462" s="89"/>
      <c r="K462" s="89"/>
      <c r="L462" s="89"/>
      <c r="M462" s="89"/>
      <c r="N462" s="89"/>
      <c r="O462" s="89"/>
      <c r="P462" s="89"/>
      <c r="Q462" s="89"/>
      <c r="R462" s="89"/>
      <c r="S462" s="89"/>
      <c r="T462" s="89"/>
      <c r="U462" s="89"/>
    </row>
    <row r="463">
      <c r="A463" s="89"/>
      <c r="B463" s="89"/>
      <c r="C463" s="91"/>
      <c r="D463" s="92"/>
      <c r="E463" s="89"/>
      <c r="F463" s="89"/>
      <c r="G463" s="89"/>
      <c r="H463" s="89"/>
      <c r="I463" s="89"/>
      <c r="J463" s="89"/>
      <c r="K463" s="89"/>
      <c r="L463" s="89"/>
      <c r="M463" s="89"/>
      <c r="N463" s="89"/>
      <c r="O463" s="89"/>
      <c r="P463" s="89"/>
      <c r="Q463" s="89"/>
      <c r="R463" s="89"/>
      <c r="S463" s="89"/>
      <c r="T463" s="89"/>
      <c r="U463" s="89"/>
    </row>
    <row r="464">
      <c r="A464" s="89"/>
      <c r="B464" s="89"/>
      <c r="C464" s="91"/>
      <c r="D464" s="92"/>
      <c r="E464" s="89"/>
      <c r="F464" s="89"/>
      <c r="G464" s="89"/>
      <c r="H464" s="89"/>
      <c r="I464" s="89"/>
      <c r="J464" s="89"/>
      <c r="K464" s="89"/>
      <c r="L464" s="89"/>
      <c r="M464" s="89"/>
      <c r="N464" s="89"/>
      <c r="O464" s="89"/>
      <c r="P464" s="89"/>
      <c r="Q464" s="89"/>
      <c r="R464" s="89"/>
      <c r="S464" s="89"/>
      <c r="T464" s="89"/>
      <c r="U464" s="89"/>
    </row>
    <row r="465">
      <c r="A465" s="89"/>
      <c r="B465" s="89"/>
      <c r="C465" s="91"/>
      <c r="D465" s="92"/>
      <c r="E465" s="89"/>
      <c r="F465" s="89"/>
      <c r="G465" s="89"/>
      <c r="H465" s="89"/>
      <c r="I465" s="89"/>
      <c r="J465" s="89"/>
      <c r="K465" s="89"/>
      <c r="L465" s="89"/>
      <c r="M465" s="89"/>
      <c r="N465" s="89"/>
      <c r="O465" s="89"/>
      <c r="P465" s="89"/>
      <c r="Q465" s="89"/>
      <c r="R465" s="89"/>
      <c r="S465" s="89"/>
      <c r="T465" s="89"/>
      <c r="U465" s="89"/>
    </row>
    <row r="466">
      <c r="A466" s="89"/>
      <c r="B466" s="89"/>
      <c r="C466" s="91"/>
      <c r="D466" s="92"/>
      <c r="E466" s="89"/>
      <c r="F466" s="89"/>
      <c r="G466" s="89"/>
      <c r="H466" s="89"/>
      <c r="I466" s="89"/>
      <c r="J466" s="89"/>
      <c r="K466" s="89"/>
      <c r="L466" s="89"/>
      <c r="M466" s="89"/>
      <c r="N466" s="89"/>
      <c r="O466" s="89"/>
      <c r="P466" s="89"/>
      <c r="Q466" s="89"/>
      <c r="R466" s="89"/>
      <c r="S466" s="89"/>
      <c r="T466" s="89"/>
      <c r="U466" s="89"/>
    </row>
    <row r="467">
      <c r="A467" s="89"/>
      <c r="B467" s="89"/>
      <c r="C467" s="91"/>
      <c r="D467" s="92"/>
      <c r="E467" s="89"/>
      <c r="F467" s="89"/>
      <c r="G467" s="89"/>
      <c r="H467" s="89"/>
      <c r="I467" s="89"/>
      <c r="J467" s="89"/>
      <c r="K467" s="89"/>
      <c r="L467" s="89"/>
      <c r="M467" s="89"/>
      <c r="N467" s="89"/>
      <c r="O467" s="89"/>
      <c r="P467" s="89"/>
      <c r="Q467" s="89"/>
      <c r="R467" s="89"/>
      <c r="S467" s="89"/>
      <c r="T467" s="89"/>
      <c r="U467" s="89"/>
    </row>
    <row r="468">
      <c r="A468" s="89"/>
      <c r="B468" s="89"/>
      <c r="C468" s="91"/>
      <c r="D468" s="92"/>
      <c r="E468" s="89"/>
      <c r="F468" s="89"/>
      <c r="G468" s="89"/>
      <c r="H468" s="89"/>
      <c r="I468" s="89"/>
      <c r="J468" s="89"/>
      <c r="K468" s="89"/>
      <c r="L468" s="89"/>
      <c r="M468" s="89"/>
      <c r="N468" s="89"/>
      <c r="O468" s="89"/>
      <c r="P468" s="89"/>
      <c r="Q468" s="89"/>
      <c r="R468" s="89"/>
      <c r="S468" s="89"/>
      <c r="T468" s="89"/>
      <c r="U468" s="89"/>
    </row>
    <row r="469">
      <c r="A469" s="89"/>
      <c r="B469" s="89"/>
      <c r="C469" s="91"/>
      <c r="D469" s="92"/>
      <c r="E469" s="89"/>
      <c r="F469" s="89"/>
      <c r="G469" s="89"/>
      <c r="H469" s="89"/>
      <c r="I469" s="89"/>
      <c r="J469" s="89"/>
      <c r="K469" s="89"/>
      <c r="L469" s="89"/>
      <c r="M469" s="89"/>
      <c r="N469" s="89"/>
      <c r="O469" s="89"/>
      <c r="P469" s="89"/>
      <c r="Q469" s="89"/>
      <c r="R469" s="89"/>
      <c r="S469" s="89"/>
      <c r="T469" s="89"/>
      <c r="U469" s="89"/>
    </row>
    <row r="470">
      <c r="A470" s="89"/>
      <c r="B470" s="89"/>
      <c r="C470" s="91"/>
      <c r="D470" s="92"/>
      <c r="E470" s="89"/>
      <c r="F470" s="89"/>
      <c r="G470" s="89"/>
      <c r="H470" s="89"/>
      <c r="I470" s="89"/>
      <c r="J470" s="89"/>
      <c r="K470" s="89"/>
      <c r="L470" s="89"/>
      <c r="M470" s="89"/>
      <c r="N470" s="89"/>
      <c r="O470" s="89"/>
      <c r="P470" s="89"/>
      <c r="Q470" s="89"/>
      <c r="R470" s="89"/>
      <c r="S470" s="89"/>
      <c r="T470" s="89"/>
      <c r="U470" s="89"/>
    </row>
    <row r="471">
      <c r="A471" s="89"/>
      <c r="B471" s="89"/>
      <c r="C471" s="91"/>
      <c r="D471" s="92"/>
      <c r="E471" s="89"/>
      <c r="F471" s="89"/>
      <c r="G471" s="89"/>
      <c r="H471" s="89"/>
      <c r="I471" s="89"/>
      <c r="J471" s="89"/>
      <c r="K471" s="89"/>
      <c r="L471" s="89"/>
      <c r="M471" s="89"/>
      <c r="N471" s="89"/>
      <c r="O471" s="89"/>
      <c r="P471" s="89"/>
      <c r="Q471" s="89"/>
      <c r="R471" s="89"/>
      <c r="S471" s="89"/>
      <c r="T471" s="89"/>
      <c r="U471" s="89"/>
    </row>
    <row r="472">
      <c r="A472" s="89"/>
      <c r="B472" s="89"/>
      <c r="C472" s="91"/>
      <c r="D472" s="92"/>
      <c r="E472" s="89"/>
      <c r="F472" s="89"/>
      <c r="G472" s="89"/>
      <c r="H472" s="89"/>
      <c r="I472" s="89"/>
      <c r="J472" s="89"/>
      <c r="K472" s="89"/>
      <c r="L472" s="89"/>
      <c r="M472" s="89"/>
      <c r="N472" s="89"/>
      <c r="O472" s="89"/>
      <c r="P472" s="89"/>
      <c r="Q472" s="89"/>
      <c r="R472" s="89"/>
      <c r="S472" s="89"/>
      <c r="T472" s="89"/>
      <c r="U472" s="89"/>
    </row>
    <row r="473">
      <c r="A473" s="89"/>
      <c r="B473" s="89"/>
      <c r="C473" s="91"/>
      <c r="D473" s="92"/>
      <c r="E473" s="89"/>
      <c r="F473" s="89"/>
      <c r="G473" s="89"/>
      <c r="H473" s="89"/>
      <c r="I473" s="89"/>
      <c r="J473" s="89"/>
      <c r="K473" s="89"/>
      <c r="L473" s="89"/>
      <c r="M473" s="89"/>
      <c r="N473" s="89"/>
      <c r="O473" s="89"/>
      <c r="P473" s="89"/>
      <c r="Q473" s="89"/>
      <c r="R473" s="89"/>
      <c r="S473" s="89"/>
      <c r="T473" s="89"/>
      <c r="U473" s="89"/>
    </row>
    <row r="474">
      <c r="A474" s="89"/>
      <c r="B474" s="89"/>
      <c r="C474" s="91"/>
      <c r="D474" s="92"/>
      <c r="E474" s="89"/>
      <c r="F474" s="89"/>
      <c r="G474" s="89"/>
      <c r="H474" s="89"/>
      <c r="I474" s="89"/>
      <c r="J474" s="89"/>
      <c r="K474" s="89"/>
      <c r="L474" s="89"/>
      <c r="M474" s="89"/>
      <c r="N474" s="89"/>
      <c r="O474" s="89"/>
      <c r="P474" s="89"/>
      <c r="Q474" s="89"/>
      <c r="R474" s="89"/>
      <c r="S474" s="89"/>
      <c r="T474" s="89"/>
      <c r="U474" s="89"/>
    </row>
    <row r="475">
      <c r="A475" s="89"/>
      <c r="B475" s="89"/>
      <c r="C475" s="91"/>
      <c r="D475" s="92"/>
      <c r="E475" s="89"/>
      <c r="F475" s="89"/>
      <c r="G475" s="89"/>
      <c r="H475" s="89"/>
      <c r="I475" s="89"/>
      <c r="J475" s="89"/>
      <c r="K475" s="89"/>
      <c r="L475" s="89"/>
      <c r="M475" s="89"/>
      <c r="N475" s="89"/>
      <c r="O475" s="89"/>
      <c r="P475" s="89"/>
      <c r="Q475" s="89"/>
      <c r="R475" s="89"/>
      <c r="S475" s="89"/>
      <c r="T475" s="89"/>
      <c r="U475" s="89"/>
    </row>
    <row r="476">
      <c r="A476" s="89"/>
      <c r="B476" s="89"/>
      <c r="C476" s="91"/>
      <c r="D476" s="92"/>
      <c r="E476" s="89"/>
      <c r="F476" s="89"/>
      <c r="G476" s="89"/>
      <c r="H476" s="89"/>
      <c r="I476" s="89"/>
      <c r="J476" s="89"/>
      <c r="K476" s="89"/>
      <c r="L476" s="89"/>
      <c r="M476" s="89"/>
      <c r="N476" s="89"/>
      <c r="O476" s="89"/>
      <c r="P476" s="89"/>
      <c r="Q476" s="89"/>
      <c r="R476" s="89"/>
      <c r="S476" s="89"/>
      <c r="T476" s="89"/>
      <c r="U476" s="89"/>
    </row>
    <row r="477">
      <c r="A477" s="89"/>
      <c r="B477" s="89"/>
      <c r="C477" s="91"/>
      <c r="D477" s="92"/>
      <c r="E477" s="89"/>
      <c r="F477" s="89"/>
      <c r="G477" s="89"/>
      <c r="H477" s="89"/>
      <c r="I477" s="89"/>
      <c r="J477" s="89"/>
      <c r="K477" s="89"/>
      <c r="L477" s="89"/>
      <c r="M477" s="89"/>
      <c r="N477" s="89"/>
      <c r="O477" s="89"/>
      <c r="P477" s="89"/>
      <c r="Q477" s="89"/>
      <c r="R477" s="89"/>
      <c r="S477" s="89"/>
      <c r="T477" s="89"/>
      <c r="U477" s="89"/>
    </row>
    <row r="478">
      <c r="A478" s="89"/>
      <c r="B478" s="89"/>
      <c r="C478" s="91"/>
      <c r="D478" s="92"/>
      <c r="E478" s="89"/>
      <c r="F478" s="89"/>
      <c r="G478" s="89"/>
      <c r="H478" s="89"/>
      <c r="I478" s="89"/>
      <c r="J478" s="89"/>
      <c r="K478" s="89"/>
      <c r="L478" s="89"/>
      <c r="M478" s="89"/>
      <c r="N478" s="89"/>
      <c r="O478" s="89"/>
      <c r="P478" s="89"/>
      <c r="Q478" s="89"/>
      <c r="R478" s="89"/>
      <c r="S478" s="89"/>
      <c r="T478" s="89"/>
      <c r="U478" s="89"/>
    </row>
    <row r="479">
      <c r="A479" s="89"/>
      <c r="B479" s="89"/>
      <c r="C479" s="91"/>
      <c r="D479" s="92"/>
      <c r="E479" s="89"/>
      <c r="F479" s="89"/>
      <c r="G479" s="89"/>
      <c r="H479" s="89"/>
      <c r="I479" s="89"/>
      <c r="J479" s="89"/>
      <c r="K479" s="89"/>
      <c r="L479" s="89"/>
      <c r="M479" s="89"/>
      <c r="N479" s="89"/>
      <c r="O479" s="89"/>
      <c r="P479" s="89"/>
      <c r="Q479" s="89"/>
      <c r="R479" s="89"/>
      <c r="S479" s="89"/>
      <c r="T479" s="89"/>
      <c r="U479" s="89"/>
    </row>
    <row r="480">
      <c r="A480" s="89"/>
      <c r="B480" s="89"/>
      <c r="C480" s="91"/>
      <c r="D480" s="92"/>
      <c r="E480" s="89"/>
      <c r="F480" s="89"/>
      <c r="G480" s="89"/>
      <c r="H480" s="89"/>
      <c r="I480" s="89"/>
      <c r="J480" s="89"/>
      <c r="K480" s="89"/>
      <c r="L480" s="89"/>
      <c r="M480" s="89"/>
      <c r="N480" s="89"/>
      <c r="O480" s="89"/>
      <c r="P480" s="89"/>
      <c r="Q480" s="89"/>
      <c r="R480" s="89"/>
      <c r="S480" s="89"/>
      <c r="T480" s="89"/>
      <c r="U480" s="89"/>
    </row>
    <row r="481">
      <c r="A481" s="89"/>
      <c r="B481" s="89"/>
      <c r="C481" s="91"/>
      <c r="D481" s="92"/>
      <c r="E481" s="89"/>
      <c r="F481" s="89"/>
      <c r="G481" s="89"/>
      <c r="H481" s="89"/>
      <c r="I481" s="89"/>
      <c r="J481" s="89"/>
      <c r="K481" s="89"/>
      <c r="L481" s="89"/>
      <c r="M481" s="89"/>
      <c r="N481" s="89"/>
      <c r="O481" s="89"/>
      <c r="P481" s="89"/>
      <c r="Q481" s="89"/>
      <c r="R481" s="89"/>
      <c r="S481" s="89"/>
      <c r="T481" s="89"/>
      <c r="U481" s="89"/>
    </row>
    <row r="482">
      <c r="A482" s="89"/>
      <c r="B482" s="89"/>
      <c r="C482" s="91"/>
      <c r="D482" s="92"/>
      <c r="E482" s="89"/>
      <c r="F482" s="89"/>
      <c r="G482" s="89"/>
      <c r="H482" s="89"/>
      <c r="I482" s="89"/>
      <c r="J482" s="89"/>
      <c r="K482" s="89"/>
      <c r="L482" s="89"/>
      <c r="M482" s="89"/>
      <c r="N482" s="89"/>
      <c r="O482" s="89"/>
      <c r="P482" s="89"/>
      <c r="Q482" s="89"/>
      <c r="R482" s="89"/>
      <c r="S482" s="89"/>
      <c r="T482" s="89"/>
      <c r="U482" s="89"/>
    </row>
    <row r="483">
      <c r="A483" s="89"/>
      <c r="B483" s="89"/>
      <c r="C483" s="91"/>
      <c r="D483" s="92"/>
      <c r="E483" s="89"/>
      <c r="F483" s="89"/>
      <c r="G483" s="89"/>
      <c r="H483" s="89"/>
      <c r="I483" s="89"/>
      <c r="J483" s="89"/>
      <c r="K483" s="89"/>
      <c r="L483" s="89"/>
      <c r="M483" s="89"/>
      <c r="N483" s="89"/>
      <c r="O483" s="89"/>
      <c r="P483" s="89"/>
      <c r="Q483" s="89"/>
      <c r="R483" s="89"/>
      <c r="S483" s="89"/>
      <c r="T483" s="89"/>
      <c r="U483" s="89"/>
    </row>
    <row r="484">
      <c r="A484" s="89"/>
      <c r="B484" s="89"/>
      <c r="C484" s="91"/>
      <c r="D484" s="92"/>
      <c r="E484" s="89"/>
      <c r="F484" s="89"/>
      <c r="G484" s="89"/>
      <c r="H484" s="89"/>
      <c r="I484" s="89"/>
      <c r="J484" s="89"/>
      <c r="K484" s="89"/>
      <c r="L484" s="89"/>
      <c r="M484" s="89"/>
      <c r="N484" s="89"/>
      <c r="O484" s="89"/>
      <c r="P484" s="89"/>
      <c r="Q484" s="89"/>
      <c r="R484" s="89"/>
      <c r="S484" s="89"/>
      <c r="T484" s="89"/>
      <c r="U484" s="89"/>
    </row>
    <row r="485">
      <c r="A485" s="89"/>
      <c r="B485" s="89"/>
      <c r="C485" s="91"/>
      <c r="D485" s="92"/>
      <c r="E485" s="89"/>
      <c r="F485" s="89"/>
      <c r="G485" s="89"/>
      <c r="H485" s="89"/>
      <c r="I485" s="89"/>
      <c r="J485" s="89"/>
      <c r="K485" s="89"/>
      <c r="L485" s="89"/>
      <c r="M485" s="89"/>
      <c r="N485" s="89"/>
      <c r="O485" s="89"/>
      <c r="P485" s="89"/>
      <c r="Q485" s="89"/>
      <c r="R485" s="89"/>
      <c r="S485" s="89"/>
      <c r="T485" s="89"/>
      <c r="U485" s="89"/>
    </row>
    <row r="486">
      <c r="A486" s="89"/>
      <c r="B486" s="89"/>
      <c r="C486" s="91"/>
      <c r="D486" s="92"/>
      <c r="E486" s="89"/>
      <c r="F486" s="89"/>
      <c r="G486" s="89"/>
      <c r="H486" s="89"/>
      <c r="I486" s="89"/>
      <c r="J486" s="89"/>
      <c r="K486" s="89"/>
      <c r="L486" s="89"/>
      <c r="M486" s="89"/>
      <c r="N486" s="89"/>
      <c r="O486" s="89"/>
      <c r="P486" s="89"/>
      <c r="Q486" s="89"/>
      <c r="R486" s="89"/>
      <c r="S486" s="89"/>
      <c r="T486" s="89"/>
      <c r="U486" s="89"/>
    </row>
    <row r="487">
      <c r="A487" s="89"/>
      <c r="B487" s="89"/>
      <c r="C487" s="91"/>
      <c r="D487" s="92"/>
      <c r="E487" s="89"/>
      <c r="F487" s="89"/>
      <c r="G487" s="89"/>
      <c r="H487" s="89"/>
      <c r="I487" s="89"/>
      <c r="J487" s="89"/>
      <c r="K487" s="89"/>
      <c r="L487" s="89"/>
      <c r="M487" s="89"/>
      <c r="N487" s="89"/>
      <c r="O487" s="89"/>
      <c r="P487" s="89"/>
      <c r="Q487" s="89"/>
      <c r="R487" s="89"/>
      <c r="S487" s="89"/>
      <c r="T487" s="89"/>
      <c r="U487" s="89"/>
    </row>
    <row r="488">
      <c r="A488" s="89"/>
      <c r="B488" s="89"/>
      <c r="C488" s="91"/>
      <c r="D488" s="92"/>
      <c r="E488" s="89"/>
      <c r="F488" s="89"/>
      <c r="G488" s="89"/>
      <c r="H488" s="89"/>
      <c r="I488" s="89"/>
      <c r="J488" s="89"/>
      <c r="K488" s="89"/>
      <c r="L488" s="89"/>
      <c r="M488" s="89"/>
      <c r="N488" s="89"/>
      <c r="O488" s="89"/>
      <c r="P488" s="89"/>
      <c r="Q488" s="89"/>
      <c r="R488" s="89"/>
      <c r="S488" s="89"/>
      <c r="T488" s="89"/>
      <c r="U488" s="89"/>
    </row>
    <row r="489">
      <c r="A489" s="89"/>
      <c r="B489" s="89"/>
      <c r="C489" s="91"/>
      <c r="D489" s="92"/>
      <c r="E489" s="89"/>
      <c r="F489" s="89"/>
      <c r="G489" s="89"/>
      <c r="H489" s="89"/>
      <c r="I489" s="89"/>
      <c r="J489" s="89"/>
      <c r="K489" s="89"/>
      <c r="L489" s="89"/>
      <c r="M489" s="89"/>
      <c r="N489" s="89"/>
      <c r="O489" s="89"/>
      <c r="P489" s="89"/>
      <c r="Q489" s="89"/>
      <c r="R489" s="89"/>
      <c r="S489" s="89"/>
      <c r="T489" s="89"/>
      <c r="U489" s="89"/>
    </row>
    <row r="490">
      <c r="A490" s="89"/>
      <c r="B490" s="89"/>
      <c r="C490" s="91"/>
      <c r="D490" s="92"/>
      <c r="E490" s="89"/>
      <c r="F490" s="89"/>
      <c r="G490" s="89"/>
      <c r="H490" s="89"/>
      <c r="I490" s="89"/>
      <c r="J490" s="89"/>
      <c r="K490" s="89"/>
      <c r="L490" s="89"/>
      <c r="M490" s="89"/>
      <c r="N490" s="89"/>
      <c r="O490" s="89"/>
      <c r="P490" s="89"/>
      <c r="Q490" s="89"/>
      <c r="R490" s="89"/>
      <c r="S490" s="89"/>
      <c r="T490" s="89"/>
      <c r="U490" s="89"/>
    </row>
    <row r="491">
      <c r="A491" s="89"/>
      <c r="B491" s="89"/>
      <c r="C491" s="91"/>
      <c r="D491" s="92"/>
      <c r="E491" s="89"/>
      <c r="F491" s="89"/>
      <c r="G491" s="89"/>
      <c r="H491" s="89"/>
      <c r="I491" s="89"/>
      <c r="J491" s="89"/>
      <c r="K491" s="89"/>
      <c r="L491" s="89"/>
      <c r="M491" s="89"/>
      <c r="N491" s="89"/>
      <c r="O491" s="89"/>
      <c r="P491" s="89"/>
      <c r="Q491" s="89"/>
      <c r="R491" s="89"/>
      <c r="S491" s="89"/>
      <c r="T491" s="89"/>
      <c r="U491" s="89"/>
    </row>
    <row r="492">
      <c r="A492" s="89"/>
      <c r="B492" s="89"/>
      <c r="C492" s="91"/>
      <c r="D492" s="92"/>
      <c r="E492" s="89"/>
      <c r="F492" s="89"/>
      <c r="G492" s="89"/>
      <c r="H492" s="89"/>
      <c r="I492" s="89"/>
      <c r="J492" s="89"/>
      <c r="K492" s="89"/>
      <c r="L492" s="89"/>
      <c r="M492" s="89"/>
      <c r="N492" s="89"/>
      <c r="O492" s="89"/>
      <c r="P492" s="89"/>
      <c r="Q492" s="89"/>
      <c r="R492" s="89"/>
      <c r="S492" s="89"/>
      <c r="T492" s="89"/>
      <c r="U492" s="89"/>
    </row>
    <row r="493">
      <c r="A493" s="89"/>
      <c r="B493" s="89"/>
      <c r="C493" s="91"/>
      <c r="D493" s="92"/>
      <c r="E493" s="89"/>
      <c r="F493" s="89"/>
      <c r="G493" s="89"/>
      <c r="H493" s="89"/>
      <c r="I493" s="89"/>
      <c r="J493" s="89"/>
      <c r="K493" s="89"/>
      <c r="L493" s="89"/>
      <c r="M493" s="89"/>
      <c r="N493" s="89"/>
      <c r="O493" s="89"/>
      <c r="P493" s="89"/>
      <c r="Q493" s="89"/>
      <c r="R493" s="89"/>
      <c r="S493" s="89"/>
      <c r="T493" s="89"/>
      <c r="U493" s="89"/>
    </row>
    <row r="494">
      <c r="A494" s="89"/>
      <c r="B494" s="89"/>
      <c r="C494" s="91"/>
      <c r="D494" s="92"/>
      <c r="E494" s="89"/>
      <c r="F494" s="89"/>
      <c r="G494" s="89"/>
      <c r="H494" s="89"/>
      <c r="I494" s="89"/>
      <c r="J494" s="89"/>
      <c r="K494" s="89"/>
      <c r="L494" s="89"/>
      <c r="M494" s="89"/>
      <c r="N494" s="89"/>
      <c r="O494" s="89"/>
      <c r="P494" s="89"/>
      <c r="Q494" s="89"/>
      <c r="R494" s="89"/>
      <c r="S494" s="89"/>
      <c r="T494" s="89"/>
      <c r="U494" s="89"/>
    </row>
    <row r="495">
      <c r="A495" s="89"/>
      <c r="B495" s="89"/>
      <c r="C495" s="91"/>
      <c r="D495" s="92"/>
      <c r="E495" s="89"/>
      <c r="F495" s="89"/>
      <c r="G495" s="89"/>
      <c r="H495" s="89"/>
      <c r="I495" s="89"/>
      <c r="J495" s="89"/>
      <c r="K495" s="89"/>
      <c r="L495" s="89"/>
      <c r="M495" s="89"/>
      <c r="N495" s="89"/>
      <c r="O495" s="89"/>
      <c r="P495" s="89"/>
      <c r="Q495" s="89"/>
      <c r="R495" s="89"/>
      <c r="S495" s="89"/>
      <c r="T495" s="89"/>
      <c r="U495" s="89"/>
    </row>
    <row r="496">
      <c r="A496" s="89"/>
      <c r="B496" s="89"/>
      <c r="C496" s="91"/>
      <c r="D496" s="92"/>
      <c r="E496" s="89"/>
      <c r="F496" s="89"/>
      <c r="G496" s="89"/>
      <c r="H496" s="89"/>
      <c r="I496" s="89"/>
      <c r="J496" s="89"/>
      <c r="K496" s="89"/>
      <c r="L496" s="89"/>
      <c r="M496" s="89"/>
      <c r="N496" s="89"/>
      <c r="O496" s="89"/>
      <c r="P496" s="89"/>
      <c r="Q496" s="89"/>
      <c r="R496" s="89"/>
      <c r="S496" s="89"/>
      <c r="T496" s="89"/>
      <c r="U496" s="89"/>
    </row>
    <row r="497">
      <c r="A497" s="89"/>
      <c r="B497" s="89"/>
      <c r="C497" s="91"/>
      <c r="D497" s="92"/>
      <c r="E497" s="89"/>
      <c r="F497" s="89"/>
      <c r="G497" s="89"/>
      <c r="H497" s="89"/>
      <c r="I497" s="89"/>
      <c r="J497" s="89"/>
      <c r="K497" s="89"/>
      <c r="L497" s="89"/>
      <c r="M497" s="89"/>
      <c r="N497" s="89"/>
      <c r="O497" s="89"/>
      <c r="P497" s="89"/>
      <c r="Q497" s="89"/>
      <c r="R497" s="89"/>
      <c r="S497" s="89"/>
      <c r="T497" s="89"/>
      <c r="U497" s="89"/>
    </row>
    <row r="498">
      <c r="A498" s="89"/>
      <c r="B498" s="89"/>
      <c r="C498" s="91"/>
      <c r="D498" s="92"/>
      <c r="E498" s="89"/>
      <c r="F498" s="89"/>
      <c r="G498" s="89"/>
      <c r="H498" s="89"/>
      <c r="I498" s="89"/>
      <c r="J498" s="89"/>
      <c r="K498" s="89"/>
      <c r="L498" s="89"/>
      <c r="M498" s="89"/>
      <c r="N498" s="89"/>
      <c r="O498" s="89"/>
      <c r="P498" s="89"/>
      <c r="Q498" s="89"/>
      <c r="R498" s="89"/>
      <c r="S498" s="89"/>
      <c r="T498" s="89"/>
      <c r="U498" s="89"/>
    </row>
    <row r="499">
      <c r="A499" s="89"/>
      <c r="B499" s="89"/>
      <c r="C499" s="91"/>
      <c r="D499" s="92"/>
      <c r="E499" s="89"/>
      <c r="F499" s="89"/>
      <c r="G499" s="89"/>
      <c r="H499" s="89"/>
      <c r="I499" s="89"/>
      <c r="J499" s="89"/>
      <c r="K499" s="89"/>
      <c r="L499" s="89"/>
      <c r="M499" s="89"/>
      <c r="N499" s="89"/>
      <c r="O499" s="89"/>
      <c r="P499" s="89"/>
      <c r="Q499" s="89"/>
      <c r="R499" s="89"/>
      <c r="S499" s="89"/>
      <c r="T499" s="89"/>
      <c r="U499" s="89"/>
    </row>
    <row r="500">
      <c r="A500" s="89"/>
      <c r="B500" s="89"/>
      <c r="C500" s="91"/>
      <c r="D500" s="92"/>
      <c r="E500" s="89"/>
      <c r="F500" s="89"/>
      <c r="G500" s="89"/>
      <c r="H500" s="89"/>
      <c r="I500" s="89"/>
      <c r="J500" s="89"/>
      <c r="K500" s="89"/>
      <c r="L500" s="89"/>
      <c r="M500" s="89"/>
      <c r="N500" s="89"/>
      <c r="O500" s="89"/>
      <c r="P500" s="89"/>
      <c r="Q500" s="89"/>
      <c r="R500" s="89"/>
      <c r="S500" s="89"/>
      <c r="T500" s="89"/>
      <c r="U500" s="89"/>
    </row>
    <row r="501">
      <c r="A501" s="89"/>
      <c r="B501" s="89"/>
      <c r="C501" s="91"/>
      <c r="D501" s="92"/>
      <c r="E501" s="89"/>
      <c r="F501" s="89"/>
      <c r="G501" s="89"/>
      <c r="H501" s="89"/>
      <c r="I501" s="89"/>
      <c r="J501" s="89"/>
      <c r="K501" s="89"/>
      <c r="L501" s="89"/>
      <c r="M501" s="89"/>
      <c r="N501" s="89"/>
      <c r="O501" s="89"/>
      <c r="P501" s="89"/>
      <c r="Q501" s="89"/>
      <c r="R501" s="89"/>
      <c r="S501" s="89"/>
      <c r="T501" s="89"/>
      <c r="U501" s="89"/>
    </row>
    <row r="502">
      <c r="A502" s="89"/>
      <c r="B502" s="89"/>
      <c r="C502" s="91"/>
      <c r="D502" s="92"/>
      <c r="E502" s="89"/>
      <c r="F502" s="89"/>
      <c r="G502" s="89"/>
      <c r="H502" s="89"/>
      <c r="I502" s="89"/>
      <c r="J502" s="89"/>
      <c r="K502" s="89"/>
      <c r="L502" s="89"/>
      <c r="M502" s="89"/>
      <c r="N502" s="89"/>
      <c r="O502" s="89"/>
      <c r="P502" s="89"/>
      <c r="Q502" s="89"/>
      <c r="R502" s="89"/>
      <c r="S502" s="89"/>
      <c r="T502" s="89"/>
      <c r="U502" s="89"/>
    </row>
    <row r="503">
      <c r="A503" s="89"/>
      <c r="B503" s="89"/>
      <c r="C503" s="91"/>
      <c r="D503" s="92"/>
      <c r="E503" s="89"/>
      <c r="F503" s="89"/>
      <c r="G503" s="89"/>
      <c r="H503" s="89"/>
      <c r="I503" s="89"/>
      <c r="J503" s="89"/>
      <c r="K503" s="89"/>
      <c r="L503" s="89"/>
      <c r="M503" s="89"/>
      <c r="N503" s="89"/>
      <c r="O503" s="89"/>
      <c r="P503" s="89"/>
      <c r="Q503" s="89"/>
      <c r="R503" s="89"/>
      <c r="S503" s="89"/>
      <c r="T503" s="89"/>
      <c r="U503" s="89"/>
    </row>
    <row r="504">
      <c r="A504" s="89"/>
      <c r="B504" s="89"/>
      <c r="C504" s="91"/>
      <c r="D504" s="92"/>
      <c r="E504" s="89"/>
      <c r="F504" s="89"/>
      <c r="G504" s="89"/>
      <c r="H504" s="89"/>
      <c r="I504" s="89"/>
      <c r="J504" s="89"/>
      <c r="K504" s="89"/>
      <c r="L504" s="89"/>
      <c r="M504" s="89"/>
      <c r="N504" s="89"/>
      <c r="O504" s="89"/>
      <c r="P504" s="89"/>
      <c r="Q504" s="89"/>
      <c r="R504" s="89"/>
      <c r="S504" s="89"/>
      <c r="T504" s="89"/>
      <c r="U504" s="89"/>
    </row>
    <row r="505">
      <c r="A505" s="89"/>
      <c r="B505" s="89"/>
      <c r="C505" s="91"/>
      <c r="D505" s="92"/>
      <c r="E505" s="89"/>
      <c r="F505" s="89"/>
      <c r="G505" s="89"/>
      <c r="H505" s="89"/>
      <c r="I505" s="89"/>
      <c r="J505" s="89"/>
      <c r="K505" s="89"/>
      <c r="L505" s="89"/>
      <c r="M505" s="89"/>
      <c r="N505" s="89"/>
      <c r="O505" s="89"/>
      <c r="P505" s="89"/>
      <c r="Q505" s="89"/>
      <c r="R505" s="89"/>
      <c r="S505" s="89"/>
      <c r="T505" s="89"/>
      <c r="U505" s="89"/>
    </row>
    <row r="506">
      <c r="A506" s="89"/>
      <c r="B506" s="89"/>
      <c r="C506" s="91"/>
      <c r="D506" s="92"/>
      <c r="E506" s="89"/>
      <c r="F506" s="89"/>
      <c r="G506" s="89"/>
      <c r="H506" s="89"/>
      <c r="I506" s="89"/>
      <c r="J506" s="89"/>
      <c r="K506" s="89"/>
      <c r="L506" s="89"/>
      <c r="M506" s="89"/>
      <c r="N506" s="89"/>
      <c r="O506" s="89"/>
      <c r="P506" s="89"/>
      <c r="Q506" s="89"/>
      <c r="R506" s="89"/>
      <c r="S506" s="89"/>
      <c r="T506" s="89"/>
      <c r="U506" s="89"/>
    </row>
    <row r="507">
      <c r="A507" s="89"/>
      <c r="B507" s="89"/>
      <c r="C507" s="91"/>
      <c r="D507" s="92"/>
      <c r="E507" s="89"/>
      <c r="F507" s="89"/>
      <c r="G507" s="89"/>
      <c r="H507" s="89"/>
      <c r="I507" s="89"/>
      <c r="J507" s="89"/>
      <c r="K507" s="89"/>
      <c r="L507" s="89"/>
      <c r="M507" s="89"/>
      <c r="N507" s="89"/>
      <c r="O507" s="89"/>
      <c r="P507" s="89"/>
      <c r="Q507" s="89"/>
      <c r="R507" s="89"/>
      <c r="S507" s="89"/>
      <c r="T507" s="89"/>
      <c r="U507" s="89"/>
    </row>
    <row r="508">
      <c r="A508" s="89"/>
      <c r="B508" s="89"/>
      <c r="C508" s="91"/>
      <c r="D508" s="92"/>
      <c r="E508" s="89"/>
      <c r="F508" s="89"/>
      <c r="G508" s="89"/>
      <c r="H508" s="89"/>
      <c r="I508" s="89"/>
      <c r="J508" s="89"/>
      <c r="K508" s="89"/>
      <c r="L508" s="89"/>
      <c r="M508" s="89"/>
      <c r="N508" s="89"/>
      <c r="O508" s="89"/>
      <c r="P508" s="89"/>
      <c r="Q508" s="89"/>
      <c r="R508" s="89"/>
      <c r="S508" s="89"/>
      <c r="T508" s="89"/>
      <c r="U508" s="89"/>
    </row>
    <row r="509">
      <c r="A509" s="89"/>
      <c r="B509" s="89"/>
      <c r="C509" s="91"/>
      <c r="D509" s="92"/>
      <c r="E509" s="89"/>
      <c r="F509" s="89"/>
      <c r="G509" s="89"/>
      <c r="H509" s="89"/>
      <c r="I509" s="89"/>
      <c r="J509" s="89"/>
      <c r="K509" s="89"/>
      <c r="L509" s="89"/>
      <c r="M509" s="89"/>
      <c r="N509" s="89"/>
      <c r="O509" s="89"/>
      <c r="P509" s="89"/>
      <c r="Q509" s="89"/>
      <c r="R509" s="89"/>
      <c r="S509" s="89"/>
      <c r="T509" s="89"/>
      <c r="U509" s="89"/>
    </row>
    <row r="510">
      <c r="A510" s="89"/>
      <c r="B510" s="89"/>
      <c r="C510" s="91"/>
      <c r="D510" s="92"/>
      <c r="E510" s="89"/>
      <c r="F510" s="89"/>
      <c r="G510" s="89"/>
      <c r="H510" s="89"/>
      <c r="I510" s="89"/>
      <c r="J510" s="89"/>
      <c r="K510" s="89"/>
      <c r="L510" s="89"/>
      <c r="M510" s="89"/>
      <c r="N510" s="89"/>
      <c r="O510" s="89"/>
      <c r="P510" s="89"/>
      <c r="Q510" s="89"/>
      <c r="R510" s="89"/>
      <c r="S510" s="89"/>
      <c r="T510" s="89"/>
      <c r="U510" s="89"/>
    </row>
    <row r="511">
      <c r="A511" s="89"/>
      <c r="B511" s="89"/>
      <c r="C511" s="91"/>
      <c r="D511" s="92"/>
      <c r="E511" s="89"/>
      <c r="F511" s="89"/>
      <c r="G511" s="89"/>
      <c r="H511" s="89"/>
      <c r="I511" s="89"/>
      <c r="J511" s="89"/>
      <c r="K511" s="89"/>
      <c r="L511" s="89"/>
      <c r="M511" s="89"/>
      <c r="N511" s="89"/>
      <c r="O511" s="89"/>
      <c r="P511" s="89"/>
      <c r="Q511" s="89"/>
      <c r="R511" s="89"/>
      <c r="S511" s="89"/>
      <c r="T511" s="89"/>
      <c r="U511" s="89"/>
    </row>
    <row r="512">
      <c r="A512" s="89"/>
      <c r="B512" s="89"/>
      <c r="C512" s="91"/>
      <c r="D512" s="92"/>
      <c r="E512" s="89"/>
      <c r="F512" s="89"/>
      <c r="G512" s="89"/>
      <c r="H512" s="89"/>
      <c r="I512" s="89"/>
      <c r="J512" s="89"/>
      <c r="K512" s="89"/>
      <c r="L512" s="89"/>
      <c r="M512" s="89"/>
      <c r="N512" s="89"/>
      <c r="O512" s="89"/>
      <c r="P512" s="89"/>
      <c r="Q512" s="89"/>
      <c r="R512" s="89"/>
      <c r="S512" s="89"/>
      <c r="T512" s="89"/>
      <c r="U512" s="89"/>
    </row>
    <row r="513">
      <c r="A513" s="89"/>
      <c r="B513" s="89"/>
      <c r="C513" s="91"/>
      <c r="D513" s="92"/>
      <c r="E513" s="89"/>
      <c r="F513" s="89"/>
      <c r="G513" s="89"/>
      <c r="H513" s="89"/>
      <c r="I513" s="89"/>
      <c r="J513" s="89"/>
      <c r="K513" s="89"/>
      <c r="L513" s="89"/>
      <c r="M513" s="89"/>
      <c r="N513" s="89"/>
      <c r="O513" s="89"/>
      <c r="P513" s="89"/>
      <c r="Q513" s="89"/>
      <c r="R513" s="89"/>
      <c r="S513" s="89"/>
      <c r="T513" s="89"/>
      <c r="U513" s="89"/>
    </row>
    <row r="514">
      <c r="A514" s="89"/>
      <c r="B514" s="89"/>
      <c r="C514" s="91"/>
      <c r="D514" s="92"/>
      <c r="E514" s="89"/>
      <c r="F514" s="89"/>
      <c r="G514" s="89"/>
      <c r="H514" s="89"/>
      <c r="I514" s="89"/>
      <c r="J514" s="89"/>
      <c r="K514" s="89"/>
      <c r="L514" s="89"/>
      <c r="M514" s="89"/>
      <c r="N514" s="89"/>
      <c r="O514" s="89"/>
      <c r="P514" s="89"/>
      <c r="Q514" s="89"/>
      <c r="R514" s="89"/>
      <c r="S514" s="89"/>
      <c r="T514" s="89"/>
      <c r="U514" s="89"/>
    </row>
    <row r="515">
      <c r="A515" s="89"/>
      <c r="B515" s="89"/>
      <c r="C515" s="91"/>
      <c r="D515" s="92"/>
      <c r="E515" s="89"/>
      <c r="F515" s="89"/>
      <c r="G515" s="89"/>
      <c r="H515" s="89"/>
      <c r="I515" s="89"/>
      <c r="J515" s="89"/>
      <c r="K515" s="89"/>
      <c r="L515" s="89"/>
      <c r="M515" s="89"/>
      <c r="N515" s="89"/>
      <c r="O515" s="89"/>
      <c r="P515" s="89"/>
      <c r="Q515" s="89"/>
      <c r="R515" s="89"/>
      <c r="S515" s="89"/>
      <c r="T515" s="89"/>
      <c r="U515" s="89"/>
    </row>
    <row r="516">
      <c r="A516" s="89"/>
      <c r="B516" s="89"/>
      <c r="C516" s="91"/>
      <c r="D516" s="92"/>
      <c r="E516" s="89"/>
      <c r="F516" s="89"/>
      <c r="G516" s="89"/>
      <c r="H516" s="89"/>
      <c r="I516" s="89"/>
      <c r="J516" s="89"/>
      <c r="K516" s="89"/>
      <c r="L516" s="89"/>
      <c r="M516" s="89"/>
      <c r="N516" s="89"/>
      <c r="O516" s="89"/>
      <c r="P516" s="89"/>
      <c r="Q516" s="89"/>
      <c r="R516" s="89"/>
      <c r="S516" s="89"/>
      <c r="T516" s="89"/>
      <c r="U516" s="89"/>
    </row>
    <row r="517">
      <c r="A517" s="89"/>
      <c r="B517" s="89"/>
      <c r="C517" s="91"/>
      <c r="D517" s="92"/>
      <c r="E517" s="89"/>
      <c r="F517" s="89"/>
      <c r="G517" s="89"/>
      <c r="H517" s="89"/>
      <c r="I517" s="89"/>
      <c r="J517" s="89"/>
      <c r="K517" s="89"/>
      <c r="L517" s="89"/>
      <c r="M517" s="89"/>
      <c r="N517" s="89"/>
      <c r="O517" s="89"/>
      <c r="P517" s="89"/>
      <c r="Q517" s="89"/>
      <c r="R517" s="89"/>
      <c r="S517" s="89"/>
      <c r="T517" s="89"/>
      <c r="U517" s="89"/>
    </row>
    <row r="518">
      <c r="A518" s="89"/>
      <c r="B518" s="89"/>
      <c r="C518" s="91"/>
      <c r="D518" s="92"/>
      <c r="E518" s="89"/>
      <c r="F518" s="89"/>
      <c r="G518" s="89"/>
      <c r="H518" s="89"/>
      <c r="I518" s="89"/>
      <c r="J518" s="89"/>
      <c r="K518" s="89"/>
      <c r="L518" s="89"/>
      <c r="M518" s="89"/>
      <c r="N518" s="89"/>
      <c r="O518" s="89"/>
      <c r="P518" s="89"/>
      <c r="Q518" s="89"/>
      <c r="R518" s="89"/>
      <c r="S518" s="89"/>
      <c r="T518" s="89"/>
      <c r="U518" s="89"/>
    </row>
    <row r="519">
      <c r="A519" s="89"/>
      <c r="B519" s="89"/>
      <c r="C519" s="91"/>
      <c r="D519" s="92"/>
      <c r="E519" s="89"/>
      <c r="F519" s="89"/>
      <c r="G519" s="89"/>
      <c r="H519" s="89"/>
      <c r="I519" s="89"/>
      <c r="J519" s="89"/>
      <c r="K519" s="89"/>
      <c r="L519" s="89"/>
      <c r="M519" s="89"/>
      <c r="N519" s="89"/>
      <c r="O519" s="89"/>
      <c r="P519" s="89"/>
      <c r="Q519" s="89"/>
      <c r="R519" s="89"/>
      <c r="S519" s="89"/>
      <c r="T519" s="89"/>
      <c r="U519" s="89"/>
    </row>
    <row r="520">
      <c r="A520" s="89"/>
      <c r="B520" s="89"/>
      <c r="C520" s="91"/>
      <c r="D520" s="92"/>
      <c r="E520" s="89"/>
      <c r="F520" s="89"/>
      <c r="G520" s="89"/>
      <c r="H520" s="89"/>
      <c r="I520" s="89"/>
      <c r="J520" s="89"/>
      <c r="K520" s="89"/>
      <c r="L520" s="89"/>
      <c r="M520" s="89"/>
      <c r="N520" s="89"/>
      <c r="O520" s="89"/>
      <c r="P520" s="89"/>
      <c r="Q520" s="89"/>
      <c r="R520" s="89"/>
      <c r="S520" s="89"/>
      <c r="T520" s="89"/>
      <c r="U520" s="89"/>
    </row>
    <row r="521">
      <c r="A521" s="89"/>
      <c r="B521" s="89"/>
      <c r="C521" s="91"/>
      <c r="D521" s="92"/>
      <c r="E521" s="89"/>
      <c r="F521" s="89"/>
      <c r="G521" s="89"/>
      <c r="H521" s="89"/>
      <c r="I521" s="89"/>
      <c r="J521" s="89"/>
      <c r="K521" s="89"/>
      <c r="L521" s="89"/>
      <c r="M521" s="89"/>
      <c r="N521" s="89"/>
      <c r="O521" s="89"/>
      <c r="P521" s="89"/>
      <c r="Q521" s="89"/>
      <c r="R521" s="89"/>
      <c r="S521" s="89"/>
      <c r="T521" s="89"/>
      <c r="U521" s="89"/>
    </row>
    <row r="522">
      <c r="A522" s="89"/>
      <c r="B522" s="89"/>
      <c r="C522" s="91"/>
      <c r="D522" s="92"/>
      <c r="E522" s="89"/>
      <c r="F522" s="89"/>
      <c r="G522" s="89"/>
      <c r="H522" s="89"/>
      <c r="I522" s="89"/>
      <c r="J522" s="89"/>
      <c r="K522" s="89"/>
      <c r="L522" s="89"/>
      <c r="M522" s="89"/>
      <c r="N522" s="89"/>
      <c r="O522" s="89"/>
      <c r="P522" s="89"/>
      <c r="Q522" s="89"/>
      <c r="R522" s="89"/>
      <c r="S522" s="89"/>
      <c r="T522" s="89"/>
      <c r="U522" s="89"/>
    </row>
    <row r="523">
      <c r="A523" s="89"/>
      <c r="B523" s="89"/>
      <c r="C523" s="91"/>
      <c r="D523" s="92"/>
      <c r="E523" s="89"/>
      <c r="F523" s="89"/>
      <c r="G523" s="89"/>
      <c r="H523" s="89"/>
      <c r="I523" s="89"/>
      <c r="J523" s="89"/>
      <c r="K523" s="89"/>
      <c r="L523" s="89"/>
      <c r="M523" s="89"/>
      <c r="N523" s="89"/>
      <c r="O523" s="89"/>
      <c r="P523" s="89"/>
      <c r="Q523" s="89"/>
      <c r="R523" s="89"/>
      <c r="S523" s="89"/>
      <c r="T523" s="89"/>
      <c r="U523" s="89"/>
    </row>
    <row r="524">
      <c r="A524" s="89"/>
      <c r="B524" s="89"/>
      <c r="C524" s="91"/>
      <c r="D524" s="92"/>
      <c r="E524" s="89"/>
      <c r="F524" s="89"/>
      <c r="G524" s="89"/>
      <c r="H524" s="89"/>
      <c r="I524" s="89"/>
      <c r="J524" s="89"/>
      <c r="K524" s="89"/>
      <c r="L524" s="89"/>
      <c r="M524" s="89"/>
      <c r="N524" s="89"/>
      <c r="O524" s="89"/>
      <c r="P524" s="89"/>
      <c r="Q524" s="89"/>
      <c r="R524" s="89"/>
      <c r="S524" s="89"/>
      <c r="T524" s="89"/>
      <c r="U524" s="89"/>
    </row>
    <row r="525">
      <c r="A525" s="89"/>
      <c r="B525" s="89"/>
      <c r="C525" s="91"/>
      <c r="D525" s="92"/>
      <c r="E525" s="89"/>
      <c r="F525" s="89"/>
      <c r="G525" s="89"/>
      <c r="H525" s="89"/>
      <c r="I525" s="89"/>
      <c r="J525" s="89"/>
      <c r="K525" s="89"/>
      <c r="L525" s="89"/>
      <c r="M525" s="89"/>
      <c r="N525" s="89"/>
      <c r="O525" s="89"/>
      <c r="P525" s="89"/>
      <c r="Q525" s="89"/>
      <c r="R525" s="89"/>
      <c r="S525" s="89"/>
      <c r="T525" s="89"/>
      <c r="U525" s="89"/>
    </row>
    <row r="526">
      <c r="A526" s="89"/>
      <c r="B526" s="89"/>
      <c r="C526" s="91"/>
      <c r="D526" s="92"/>
      <c r="E526" s="89"/>
      <c r="F526" s="89"/>
      <c r="G526" s="89"/>
      <c r="H526" s="89"/>
      <c r="I526" s="89"/>
      <c r="J526" s="89"/>
      <c r="K526" s="89"/>
      <c r="L526" s="89"/>
      <c r="M526" s="89"/>
      <c r="N526" s="89"/>
      <c r="O526" s="89"/>
      <c r="P526" s="89"/>
      <c r="Q526" s="89"/>
      <c r="R526" s="89"/>
      <c r="S526" s="89"/>
      <c r="T526" s="89"/>
      <c r="U526" s="89"/>
    </row>
    <row r="527">
      <c r="A527" s="89"/>
      <c r="B527" s="89"/>
      <c r="C527" s="91"/>
      <c r="D527" s="92"/>
      <c r="E527" s="89"/>
      <c r="F527" s="89"/>
      <c r="G527" s="89"/>
      <c r="H527" s="89"/>
      <c r="I527" s="89"/>
      <c r="J527" s="89"/>
      <c r="K527" s="89"/>
      <c r="L527" s="89"/>
      <c r="M527" s="89"/>
      <c r="N527" s="89"/>
      <c r="O527" s="89"/>
      <c r="P527" s="89"/>
      <c r="Q527" s="89"/>
      <c r="R527" s="89"/>
      <c r="S527" s="89"/>
      <c r="T527" s="89"/>
      <c r="U527" s="89"/>
    </row>
    <row r="528">
      <c r="A528" s="89"/>
      <c r="B528" s="89"/>
      <c r="C528" s="91"/>
      <c r="D528" s="92"/>
      <c r="E528" s="89"/>
      <c r="F528" s="89"/>
      <c r="G528" s="89"/>
      <c r="H528" s="89"/>
      <c r="I528" s="89"/>
      <c r="J528" s="89"/>
      <c r="K528" s="89"/>
      <c r="L528" s="89"/>
      <c r="M528" s="89"/>
      <c r="N528" s="89"/>
      <c r="O528" s="89"/>
      <c r="P528" s="89"/>
      <c r="Q528" s="89"/>
      <c r="R528" s="89"/>
      <c r="S528" s="89"/>
      <c r="T528" s="89"/>
      <c r="U528" s="89"/>
    </row>
    <row r="529">
      <c r="A529" s="89"/>
      <c r="B529" s="89"/>
      <c r="C529" s="91"/>
      <c r="D529" s="92"/>
      <c r="E529" s="89"/>
      <c r="F529" s="89"/>
      <c r="G529" s="89"/>
      <c r="H529" s="89"/>
      <c r="I529" s="89"/>
      <c r="J529" s="89"/>
      <c r="K529" s="89"/>
      <c r="L529" s="89"/>
      <c r="M529" s="89"/>
      <c r="N529" s="89"/>
      <c r="O529" s="89"/>
      <c r="P529" s="89"/>
      <c r="Q529" s="89"/>
      <c r="R529" s="89"/>
      <c r="S529" s="89"/>
      <c r="T529" s="89"/>
      <c r="U529" s="89"/>
    </row>
    <row r="530">
      <c r="A530" s="89"/>
      <c r="B530" s="89"/>
      <c r="C530" s="91"/>
      <c r="D530" s="92"/>
      <c r="E530" s="89"/>
      <c r="F530" s="89"/>
      <c r="G530" s="89"/>
      <c r="H530" s="89"/>
      <c r="I530" s="89"/>
      <c r="J530" s="89"/>
      <c r="K530" s="89"/>
      <c r="L530" s="89"/>
      <c r="M530" s="89"/>
      <c r="N530" s="89"/>
      <c r="O530" s="89"/>
      <c r="P530" s="89"/>
      <c r="Q530" s="89"/>
      <c r="R530" s="89"/>
      <c r="S530" s="89"/>
      <c r="T530" s="89"/>
      <c r="U530" s="89"/>
    </row>
    <row r="531">
      <c r="A531" s="89"/>
      <c r="B531" s="89"/>
      <c r="C531" s="91"/>
      <c r="D531" s="92"/>
      <c r="E531" s="89"/>
      <c r="F531" s="89"/>
      <c r="G531" s="89"/>
      <c r="H531" s="89"/>
      <c r="I531" s="89"/>
      <c r="J531" s="89"/>
      <c r="K531" s="89"/>
      <c r="L531" s="89"/>
      <c r="M531" s="89"/>
      <c r="N531" s="89"/>
      <c r="O531" s="89"/>
      <c r="P531" s="89"/>
      <c r="Q531" s="89"/>
      <c r="R531" s="89"/>
      <c r="S531" s="89"/>
      <c r="T531" s="89"/>
      <c r="U531" s="89"/>
    </row>
    <row r="532">
      <c r="A532" s="89"/>
      <c r="B532" s="89"/>
      <c r="C532" s="91"/>
      <c r="D532" s="92"/>
      <c r="E532" s="89"/>
      <c r="F532" s="89"/>
      <c r="G532" s="89"/>
      <c r="H532" s="89"/>
      <c r="I532" s="89"/>
      <c r="J532" s="89"/>
      <c r="K532" s="89"/>
      <c r="L532" s="89"/>
      <c r="M532" s="89"/>
      <c r="N532" s="89"/>
      <c r="O532" s="89"/>
      <c r="P532" s="89"/>
      <c r="Q532" s="89"/>
      <c r="R532" s="89"/>
      <c r="S532" s="89"/>
      <c r="T532" s="89"/>
      <c r="U532" s="89"/>
    </row>
    <row r="533">
      <c r="A533" s="89"/>
      <c r="B533" s="89"/>
      <c r="C533" s="91"/>
      <c r="D533" s="92"/>
      <c r="E533" s="89"/>
      <c r="F533" s="89"/>
      <c r="G533" s="89"/>
      <c r="H533" s="89"/>
      <c r="I533" s="89"/>
      <c r="J533" s="89"/>
      <c r="K533" s="89"/>
      <c r="L533" s="89"/>
      <c r="M533" s="89"/>
      <c r="N533" s="89"/>
      <c r="O533" s="89"/>
      <c r="P533" s="89"/>
      <c r="Q533" s="89"/>
      <c r="R533" s="89"/>
      <c r="S533" s="89"/>
      <c r="T533" s="89"/>
      <c r="U533" s="89"/>
    </row>
    <row r="534">
      <c r="A534" s="89"/>
      <c r="B534" s="89"/>
      <c r="C534" s="91"/>
      <c r="D534" s="92"/>
      <c r="E534" s="89"/>
      <c r="F534" s="89"/>
      <c r="G534" s="89"/>
      <c r="H534" s="89"/>
      <c r="I534" s="89"/>
      <c r="J534" s="89"/>
      <c r="K534" s="89"/>
      <c r="L534" s="89"/>
      <c r="M534" s="89"/>
      <c r="N534" s="89"/>
      <c r="O534" s="89"/>
      <c r="P534" s="89"/>
      <c r="Q534" s="89"/>
      <c r="R534" s="89"/>
      <c r="S534" s="89"/>
      <c r="T534" s="89"/>
      <c r="U534" s="89"/>
    </row>
    <row r="535">
      <c r="A535" s="89"/>
      <c r="B535" s="89"/>
      <c r="C535" s="91"/>
      <c r="D535" s="92"/>
      <c r="E535" s="89"/>
      <c r="F535" s="89"/>
      <c r="G535" s="89"/>
      <c r="H535" s="89"/>
      <c r="I535" s="89"/>
      <c r="J535" s="89"/>
      <c r="K535" s="89"/>
      <c r="L535" s="89"/>
      <c r="M535" s="89"/>
      <c r="N535" s="89"/>
      <c r="O535" s="89"/>
      <c r="P535" s="89"/>
      <c r="Q535" s="89"/>
      <c r="R535" s="89"/>
      <c r="S535" s="89"/>
      <c r="T535" s="89"/>
      <c r="U535" s="89"/>
    </row>
    <row r="536">
      <c r="A536" s="89"/>
      <c r="B536" s="89"/>
      <c r="C536" s="91"/>
      <c r="D536" s="92"/>
      <c r="E536" s="89"/>
      <c r="F536" s="89"/>
      <c r="G536" s="89"/>
      <c r="H536" s="89"/>
      <c r="I536" s="89"/>
      <c r="J536" s="89"/>
      <c r="K536" s="89"/>
      <c r="L536" s="89"/>
      <c r="M536" s="89"/>
      <c r="N536" s="89"/>
      <c r="O536" s="89"/>
      <c r="P536" s="89"/>
      <c r="Q536" s="89"/>
      <c r="R536" s="89"/>
      <c r="S536" s="89"/>
      <c r="T536" s="89"/>
      <c r="U536" s="89"/>
    </row>
    <row r="537">
      <c r="A537" s="89"/>
      <c r="B537" s="89"/>
      <c r="C537" s="91"/>
      <c r="D537" s="92"/>
      <c r="E537" s="89"/>
      <c r="F537" s="89"/>
      <c r="G537" s="89"/>
      <c r="H537" s="89"/>
      <c r="I537" s="89"/>
      <c r="J537" s="89"/>
      <c r="K537" s="89"/>
      <c r="L537" s="89"/>
      <c r="M537" s="89"/>
      <c r="N537" s="89"/>
      <c r="O537" s="89"/>
      <c r="P537" s="89"/>
      <c r="Q537" s="89"/>
      <c r="R537" s="89"/>
      <c r="S537" s="89"/>
      <c r="T537" s="89"/>
      <c r="U537" s="89"/>
    </row>
    <row r="538">
      <c r="A538" s="89"/>
      <c r="B538" s="89"/>
      <c r="C538" s="91"/>
      <c r="D538" s="92"/>
      <c r="E538" s="89"/>
      <c r="F538" s="89"/>
      <c r="G538" s="89"/>
      <c r="H538" s="89"/>
      <c r="I538" s="89"/>
      <c r="J538" s="89"/>
      <c r="K538" s="89"/>
      <c r="L538" s="89"/>
      <c r="M538" s="89"/>
      <c r="N538" s="89"/>
      <c r="O538" s="89"/>
      <c r="P538" s="89"/>
      <c r="Q538" s="89"/>
      <c r="R538" s="89"/>
      <c r="S538" s="89"/>
      <c r="T538" s="89"/>
      <c r="U538" s="89"/>
    </row>
    <row r="539">
      <c r="A539" s="89"/>
      <c r="B539" s="89"/>
      <c r="C539" s="91"/>
      <c r="D539" s="92"/>
      <c r="E539" s="89"/>
      <c r="F539" s="89"/>
      <c r="G539" s="89"/>
      <c r="H539" s="89"/>
      <c r="I539" s="89"/>
      <c r="J539" s="89"/>
      <c r="K539" s="89"/>
      <c r="L539" s="89"/>
      <c r="M539" s="89"/>
      <c r="N539" s="89"/>
      <c r="O539" s="89"/>
      <c r="P539" s="89"/>
      <c r="Q539" s="89"/>
      <c r="R539" s="89"/>
      <c r="S539" s="89"/>
      <c r="T539" s="89"/>
      <c r="U539" s="89"/>
    </row>
    <row r="540">
      <c r="A540" s="89"/>
      <c r="B540" s="89"/>
      <c r="C540" s="91"/>
      <c r="D540" s="92"/>
      <c r="E540" s="89"/>
      <c r="F540" s="89"/>
      <c r="G540" s="89"/>
      <c r="H540" s="89"/>
      <c r="I540" s="89"/>
      <c r="J540" s="89"/>
      <c r="K540" s="89"/>
      <c r="L540" s="89"/>
      <c r="M540" s="89"/>
      <c r="N540" s="89"/>
      <c r="O540" s="89"/>
      <c r="P540" s="89"/>
      <c r="Q540" s="89"/>
      <c r="R540" s="89"/>
      <c r="S540" s="89"/>
      <c r="T540" s="89"/>
      <c r="U540" s="89"/>
    </row>
    <row r="541">
      <c r="A541" s="89"/>
      <c r="B541" s="89"/>
      <c r="C541" s="91"/>
      <c r="D541" s="92"/>
      <c r="E541" s="89"/>
      <c r="F541" s="89"/>
      <c r="G541" s="89"/>
      <c r="H541" s="89"/>
      <c r="I541" s="89"/>
      <c r="J541" s="89"/>
      <c r="K541" s="89"/>
      <c r="L541" s="89"/>
      <c r="M541" s="89"/>
      <c r="N541" s="89"/>
      <c r="O541" s="89"/>
      <c r="P541" s="89"/>
      <c r="Q541" s="89"/>
      <c r="R541" s="89"/>
      <c r="S541" s="89"/>
      <c r="T541" s="89"/>
      <c r="U541" s="89"/>
    </row>
    <row r="542">
      <c r="A542" s="89"/>
      <c r="B542" s="89"/>
      <c r="C542" s="91"/>
      <c r="D542" s="92"/>
      <c r="E542" s="89"/>
      <c r="F542" s="89"/>
      <c r="G542" s="89"/>
      <c r="H542" s="89"/>
      <c r="I542" s="89"/>
      <c r="J542" s="89"/>
      <c r="K542" s="89"/>
      <c r="L542" s="89"/>
      <c r="M542" s="89"/>
      <c r="N542" s="89"/>
      <c r="O542" s="89"/>
      <c r="P542" s="89"/>
      <c r="Q542" s="89"/>
      <c r="R542" s="89"/>
      <c r="S542" s="89"/>
      <c r="T542" s="89"/>
      <c r="U542" s="89"/>
    </row>
    <row r="543">
      <c r="A543" s="89"/>
      <c r="B543" s="89"/>
      <c r="C543" s="91"/>
      <c r="D543" s="92"/>
      <c r="E543" s="89"/>
      <c r="F543" s="89"/>
      <c r="G543" s="89"/>
      <c r="H543" s="89"/>
      <c r="I543" s="89"/>
      <c r="J543" s="89"/>
      <c r="K543" s="89"/>
      <c r="L543" s="89"/>
      <c r="M543" s="89"/>
      <c r="N543" s="89"/>
      <c r="O543" s="89"/>
      <c r="P543" s="89"/>
      <c r="Q543" s="89"/>
      <c r="R543" s="89"/>
      <c r="S543" s="89"/>
      <c r="T543" s="89"/>
      <c r="U543" s="89"/>
    </row>
    <row r="544">
      <c r="A544" s="89"/>
      <c r="B544" s="89"/>
      <c r="C544" s="91"/>
      <c r="D544" s="92"/>
      <c r="E544" s="89"/>
      <c r="F544" s="89"/>
      <c r="G544" s="89"/>
      <c r="H544" s="89"/>
      <c r="I544" s="89"/>
      <c r="J544" s="89"/>
      <c r="K544" s="89"/>
      <c r="L544" s="89"/>
      <c r="M544" s="89"/>
      <c r="N544" s="89"/>
      <c r="O544" s="89"/>
      <c r="P544" s="89"/>
      <c r="Q544" s="89"/>
      <c r="R544" s="89"/>
      <c r="S544" s="89"/>
      <c r="T544" s="89"/>
      <c r="U544" s="89"/>
    </row>
    <row r="545">
      <c r="A545" s="89"/>
      <c r="B545" s="89"/>
      <c r="C545" s="91"/>
      <c r="D545" s="92"/>
      <c r="E545" s="89"/>
      <c r="F545" s="89"/>
      <c r="G545" s="89"/>
      <c r="H545" s="89"/>
      <c r="I545" s="89"/>
      <c r="J545" s="89"/>
      <c r="K545" s="89"/>
      <c r="L545" s="89"/>
      <c r="M545" s="89"/>
      <c r="N545" s="89"/>
      <c r="O545" s="89"/>
      <c r="P545" s="89"/>
      <c r="Q545" s="89"/>
      <c r="R545" s="89"/>
      <c r="S545" s="89"/>
      <c r="T545" s="89"/>
      <c r="U545" s="89"/>
    </row>
    <row r="546">
      <c r="A546" s="89"/>
      <c r="B546" s="89"/>
      <c r="C546" s="91"/>
      <c r="D546" s="92"/>
      <c r="E546" s="89"/>
      <c r="F546" s="89"/>
      <c r="G546" s="89"/>
      <c r="H546" s="89"/>
      <c r="I546" s="89"/>
      <c r="J546" s="89"/>
      <c r="K546" s="89"/>
      <c r="L546" s="89"/>
      <c r="M546" s="89"/>
      <c r="N546" s="89"/>
      <c r="O546" s="89"/>
      <c r="P546" s="89"/>
      <c r="Q546" s="89"/>
      <c r="R546" s="89"/>
      <c r="S546" s="89"/>
      <c r="T546" s="89"/>
      <c r="U546" s="89"/>
    </row>
    <row r="547">
      <c r="A547" s="89"/>
      <c r="B547" s="89"/>
      <c r="C547" s="91"/>
      <c r="D547" s="92"/>
      <c r="E547" s="89"/>
      <c r="F547" s="89"/>
      <c r="G547" s="89"/>
      <c r="H547" s="89"/>
      <c r="I547" s="89"/>
      <c r="J547" s="89"/>
      <c r="K547" s="89"/>
      <c r="L547" s="89"/>
      <c r="M547" s="89"/>
      <c r="N547" s="89"/>
      <c r="O547" s="89"/>
      <c r="P547" s="89"/>
      <c r="Q547" s="89"/>
      <c r="R547" s="89"/>
      <c r="S547" s="89"/>
      <c r="T547" s="89"/>
      <c r="U547" s="89"/>
    </row>
    <row r="548">
      <c r="A548" s="89"/>
      <c r="B548" s="89"/>
      <c r="C548" s="91"/>
      <c r="D548" s="92"/>
      <c r="E548" s="89"/>
      <c r="F548" s="89"/>
      <c r="G548" s="89"/>
      <c r="H548" s="89"/>
      <c r="I548" s="89"/>
      <c r="J548" s="89"/>
      <c r="K548" s="89"/>
      <c r="L548" s="89"/>
      <c r="M548" s="89"/>
      <c r="N548" s="89"/>
      <c r="O548" s="89"/>
      <c r="P548" s="89"/>
      <c r="Q548" s="89"/>
      <c r="R548" s="89"/>
      <c r="S548" s="89"/>
      <c r="T548" s="89"/>
      <c r="U548" s="89"/>
    </row>
    <row r="549">
      <c r="A549" s="89"/>
      <c r="B549" s="89"/>
      <c r="C549" s="91"/>
      <c r="D549" s="92"/>
      <c r="E549" s="89"/>
      <c r="F549" s="89"/>
      <c r="G549" s="89"/>
      <c r="H549" s="89"/>
      <c r="I549" s="89"/>
      <c r="J549" s="89"/>
      <c r="K549" s="89"/>
      <c r="L549" s="89"/>
      <c r="M549" s="89"/>
      <c r="N549" s="89"/>
      <c r="O549" s="89"/>
      <c r="P549" s="89"/>
      <c r="Q549" s="89"/>
      <c r="R549" s="89"/>
      <c r="S549" s="89"/>
      <c r="T549" s="89"/>
      <c r="U549" s="89"/>
    </row>
    <row r="550">
      <c r="A550" s="89"/>
      <c r="B550" s="89"/>
      <c r="C550" s="91"/>
      <c r="D550" s="92"/>
      <c r="E550" s="89"/>
      <c r="F550" s="89"/>
      <c r="G550" s="89"/>
      <c r="H550" s="89"/>
      <c r="I550" s="89"/>
      <c r="J550" s="89"/>
      <c r="K550" s="89"/>
      <c r="L550" s="89"/>
      <c r="M550" s="89"/>
      <c r="N550" s="89"/>
      <c r="O550" s="89"/>
      <c r="P550" s="89"/>
      <c r="Q550" s="89"/>
      <c r="R550" s="89"/>
      <c r="S550" s="89"/>
      <c r="T550" s="89"/>
      <c r="U550" s="89"/>
    </row>
    <row r="551">
      <c r="A551" s="89"/>
      <c r="B551" s="89"/>
      <c r="C551" s="91"/>
      <c r="D551" s="92"/>
      <c r="E551" s="89"/>
      <c r="F551" s="89"/>
      <c r="G551" s="89"/>
      <c r="H551" s="89"/>
      <c r="I551" s="89"/>
      <c r="J551" s="89"/>
      <c r="K551" s="89"/>
      <c r="L551" s="89"/>
      <c r="M551" s="89"/>
      <c r="N551" s="89"/>
      <c r="O551" s="89"/>
      <c r="P551" s="89"/>
      <c r="Q551" s="89"/>
      <c r="R551" s="89"/>
      <c r="S551" s="89"/>
      <c r="T551" s="89"/>
      <c r="U551" s="89"/>
    </row>
    <row r="552">
      <c r="A552" s="89"/>
      <c r="B552" s="89"/>
      <c r="C552" s="91"/>
      <c r="D552" s="92"/>
      <c r="E552" s="89"/>
      <c r="F552" s="89"/>
      <c r="G552" s="89"/>
      <c r="H552" s="89"/>
      <c r="I552" s="89"/>
      <c r="J552" s="89"/>
      <c r="K552" s="89"/>
      <c r="L552" s="89"/>
      <c r="M552" s="89"/>
      <c r="N552" s="89"/>
      <c r="O552" s="89"/>
      <c r="P552" s="89"/>
      <c r="Q552" s="89"/>
      <c r="R552" s="89"/>
      <c r="S552" s="89"/>
      <c r="T552" s="89"/>
      <c r="U552" s="89"/>
    </row>
    <row r="553">
      <c r="A553" s="89"/>
      <c r="B553" s="89"/>
      <c r="C553" s="91"/>
      <c r="D553" s="92"/>
      <c r="E553" s="89"/>
      <c r="F553" s="89"/>
      <c r="G553" s="89"/>
      <c r="H553" s="89"/>
      <c r="I553" s="89"/>
      <c r="J553" s="89"/>
      <c r="K553" s="89"/>
      <c r="L553" s="89"/>
      <c r="M553" s="89"/>
      <c r="N553" s="89"/>
      <c r="O553" s="89"/>
      <c r="P553" s="89"/>
      <c r="Q553" s="89"/>
      <c r="R553" s="89"/>
      <c r="S553" s="89"/>
      <c r="T553" s="89"/>
      <c r="U553" s="89"/>
    </row>
    <row r="554">
      <c r="A554" s="89"/>
      <c r="B554" s="89"/>
      <c r="C554" s="91"/>
      <c r="D554" s="92"/>
      <c r="E554" s="89"/>
      <c r="F554" s="89"/>
      <c r="G554" s="89"/>
      <c r="H554" s="89"/>
      <c r="I554" s="89"/>
      <c r="J554" s="89"/>
      <c r="K554" s="89"/>
      <c r="L554" s="89"/>
      <c r="M554" s="89"/>
      <c r="N554" s="89"/>
      <c r="O554" s="89"/>
      <c r="P554" s="89"/>
      <c r="Q554" s="89"/>
      <c r="R554" s="89"/>
      <c r="S554" s="89"/>
      <c r="T554" s="89"/>
      <c r="U554" s="89"/>
    </row>
    <row r="555">
      <c r="A555" s="89"/>
      <c r="B555" s="89"/>
      <c r="C555" s="91"/>
      <c r="D555" s="92"/>
      <c r="E555" s="89"/>
      <c r="F555" s="89"/>
      <c r="G555" s="89"/>
      <c r="H555" s="89"/>
      <c r="I555" s="89"/>
      <c r="J555" s="89"/>
      <c r="K555" s="89"/>
      <c r="L555" s="89"/>
      <c r="M555" s="89"/>
      <c r="N555" s="89"/>
      <c r="O555" s="89"/>
      <c r="P555" s="89"/>
      <c r="Q555" s="89"/>
      <c r="R555" s="89"/>
      <c r="S555" s="89"/>
      <c r="T555" s="89"/>
      <c r="U555" s="89"/>
    </row>
    <row r="556">
      <c r="A556" s="89"/>
      <c r="B556" s="89"/>
      <c r="C556" s="91"/>
      <c r="D556" s="92"/>
      <c r="E556" s="89"/>
      <c r="F556" s="89"/>
      <c r="G556" s="89"/>
      <c r="H556" s="89"/>
      <c r="I556" s="89"/>
      <c r="J556" s="89"/>
      <c r="K556" s="89"/>
      <c r="L556" s="89"/>
      <c r="M556" s="89"/>
      <c r="N556" s="89"/>
      <c r="O556" s="89"/>
      <c r="P556" s="89"/>
      <c r="Q556" s="89"/>
      <c r="R556" s="89"/>
      <c r="S556" s="89"/>
      <c r="T556" s="89"/>
      <c r="U556" s="89"/>
    </row>
    <row r="557">
      <c r="A557" s="89"/>
      <c r="B557" s="89"/>
      <c r="C557" s="91"/>
      <c r="D557" s="92"/>
      <c r="E557" s="89"/>
      <c r="F557" s="89"/>
      <c r="G557" s="89"/>
      <c r="H557" s="89"/>
      <c r="I557" s="89"/>
      <c r="J557" s="89"/>
      <c r="K557" s="89"/>
      <c r="L557" s="89"/>
      <c r="M557" s="89"/>
      <c r="N557" s="89"/>
      <c r="O557" s="89"/>
      <c r="P557" s="89"/>
      <c r="Q557" s="89"/>
      <c r="R557" s="89"/>
      <c r="S557" s="89"/>
      <c r="T557" s="89"/>
      <c r="U557" s="89"/>
    </row>
    <row r="558">
      <c r="A558" s="89"/>
      <c r="B558" s="89"/>
      <c r="C558" s="91"/>
      <c r="D558" s="92"/>
      <c r="E558" s="89"/>
      <c r="F558" s="89"/>
      <c r="G558" s="89"/>
      <c r="H558" s="89"/>
      <c r="I558" s="89"/>
      <c r="J558" s="89"/>
      <c r="K558" s="89"/>
      <c r="L558" s="89"/>
      <c r="M558" s="89"/>
      <c r="N558" s="89"/>
      <c r="O558" s="89"/>
      <c r="P558" s="89"/>
      <c r="Q558" s="89"/>
      <c r="R558" s="89"/>
      <c r="S558" s="89"/>
      <c r="T558" s="89"/>
      <c r="U558" s="89"/>
    </row>
    <row r="559">
      <c r="A559" s="89"/>
      <c r="B559" s="89"/>
      <c r="C559" s="91"/>
      <c r="D559" s="92"/>
      <c r="E559" s="89"/>
      <c r="F559" s="89"/>
      <c r="G559" s="89"/>
      <c r="H559" s="89"/>
      <c r="I559" s="89"/>
      <c r="J559" s="89"/>
      <c r="K559" s="89"/>
      <c r="L559" s="89"/>
      <c r="M559" s="89"/>
      <c r="N559" s="89"/>
      <c r="O559" s="89"/>
      <c r="P559" s="89"/>
      <c r="Q559" s="89"/>
      <c r="R559" s="89"/>
      <c r="S559" s="89"/>
      <c r="T559" s="89"/>
      <c r="U559" s="89"/>
    </row>
    <row r="560">
      <c r="A560" s="89"/>
      <c r="B560" s="89"/>
      <c r="C560" s="91"/>
      <c r="D560" s="92"/>
      <c r="E560" s="89"/>
      <c r="F560" s="89"/>
      <c r="G560" s="89"/>
      <c r="H560" s="89"/>
      <c r="I560" s="89"/>
      <c r="J560" s="89"/>
      <c r="K560" s="89"/>
      <c r="L560" s="89"/>
      <c r="M560" s="89"/>
      <c r="N560" s="89"/>
      <c r="O560" s="89"/>
      <c r="P560" s="89"/>
      <c r="Q560" s="89"/>
      <c r="R560" s="89"/>
      <c r="S560" s="89"/>
      <c r="T560" s="89"/>
      <c r="U560" s="89"/>
    </row>
    <row r="561">
      <c r="A561" s="89"/>
      <c r="B561" s="89"/>
      <c r="C561" s="91"/>
      <c r="D561" s="92"/>
      <c r="E561" s="89"/>
      <c r="F561" s="89"/>
      <c r="G561" s="89"/>
      <c r="H561" s="89"/>
      <c r="I561" s="89"/>
      <c r="J561" s="89"/>
      <c r="K561" s="89"/>
      <c r="L561" s="89"/>
      <c r="M561" s="89"/>
      <c r="N561" s="89"/>
      <c r="O561" s="89"/>
      <c r="P561" s="89"/>
      <c r="Q561" s="89"/>
      <c r="R561" s="89"/>
      <c r="S561" s="89"/>
      <c r="T561" s="89"/>
      <c r="U561" s="89"/>
    </row>
    <row r="562">
      <c r="A562" s="89"/>
      <c r="B562" s="89"/>
      <c r="C562" s="91"/>
      <c r="D562" s="92"/>
      <c r="E562" s="89"/>
      <c r="F562" s="89"/>
      <c r="G562" s="89"/>
      <c r="H562" s="89"/>
      <c r="I562" s="89"/>
      <c r="J562" s="89"/>
      <c r="K562" s="89"/>
      <c r="L562" s="89"/>
      <c r="M562" s="89"/>
      <c r="N562" s="89"/>
      <c r="O562" s="89"/>
      <c r="P562" s="89"/>
      <c r="Q562" s="89"/>
      <c r="R562" s="89"/>
      <c r="S562" s="89"/>
      <c r="T562" s="89"/>
      <c r="U562" s="89"/>
    </row>
    <row r="563">
      <c r="A563" s="89"/>
      <c r="B563" s="89"/>
      <c r="C563" s="91"/>
      <c r="D563" s="92"/>
      <c r="E563" s="89"/>
      <c r="F563" s="89"/>
      <c r="G563" s="89"/>
      <c r="H563" s="89"/>
      <c r="I563" s="89"/>
      <c r="J563" s="89"/>
      <c r="K563" s="89"/>
      <c r="L563" s="89"/>
      <c r="M563" s="89"/>
      <c r="N563" s="89"/>
      <c r="O563" s="89"/>
      <c r="P563" s="89"/>
      <c r="Q563" s="89"/>
      <c r="R563" s="89"/>
      <c r="S563" s="89"/>
      <c r="T563" s="89"/>
      <c r="U563" s="89"/>
    </row>
    <row r="564">
      <c r="A564" s="89"/>
      <c r="B564" s="89"/>
      <c r="C564" s="91"/>
      <c r="D564" s="92"/>
      <c r="E564" s="89"/>
      <c r="F564" s="89"/>
      <c r="G564" s="89"/>
      <c r="H564" s="89"/>
      <c r="I564" s="89"/>
      <c r="J564" s="89"/>
      <c r="K564" s="89"/>
      <c r="L564" s="89"/>
      <c r="M564" s="89"/>
      <c r="N564" s="89"/>
      <c r="O564" s="89"/>
      <c r="P564" s="89"/>
      <c r="Q564" s="89"/>
      <c r="R564" s="89"/>
      <c r="S564" s="89"/>
      <c r="T564" s="89"/>
      <c r="U564" s="89"/>
    </row>
    <row r="565">
      <c r="A565" s="89"/>
      <c r="B565" s="89"/>
      <c r="C565" s="91"/>
      <c r="D565" s="92"/>
      <c r="E565" s="89"/>
      <c r="F565" s="89"/>
      <c r="G565" s="89"/>
      <c r="H565" s="89"/>
      <c r="I565" s="89"/>
      <c r="J565" s="89"/>
      <c r="K565" s="89"/>
      <c r="L565" s="89"/>
      <c r="M565" s="89"/>
      <c r="N565" s="89"/>
      <c r="O565" s="89"/>
      <c r="P565" s="89"/>
      <c r="Q565" s="89"/>
      <c r="R565" s="89"/>
      <c r="S565" s="89"/>
      <c r="T565" s="89"/>
      <c r="U565" s="89"/>
    </row>
    <row r="566">
      <c r="A566" s="89"/>
      <c r="B566" s="89"/>
      <c r="C566" s="91"/>
      <c r="D566" s="92"/>
      <c r="E566" s="89"/>
      <c r="F566" s="89"/>
      <c r="G566" s="89"/>
      <c r="H566" s="89"/>
      <c r="I566" s="89"/>
      <c r="J566" s="89"/>
      <c r="K566" s="89"/>
      <c r="L566" s="89"/>
      <c r="M566" s="89"/>
      <c r="N566" s="89"/>
      <c r="O566" s="89"/>
      <c r="P566" s="89"/>
      <c r="Q566" s="89"/>
      <c r="R566" s="89"/>
      <c r="S566" s="89"/>
      <c r="T566" s="89"/>
      <c r="U566" s="89"/>
    </row>
    <row r="567">
      <c r="A567" s="89"/>
      <c r="B567" s="89"/>
      <c r="C567" s="91"/>
      <c r="D567" s="92"/>
      <c r="E567" s="89"/>
      <c r="F567" s="89"/>
      <c r="G567" s="89"/>
      <c r="H567" s="89"/>
      <c r="I567" s="89"/>
      <c r="J567" s="89"/>
      <c r="K567" s="89"/>
      <c r="L567" s="89"/>
      <c r="M567" s="89"/>
      <c r="N567" s="89"/>
      <c r="O567" s="89"/>
      <c r="P567" s="89"/>
      <c r="Q567" s="89"/>
      <c r="R567" s="89"/>
      <c r="S567" s="89"/>
      <c r="T567" s="89"/>
      <c r="U567" s="89"/>
    </row>
    <row r="568">
      <c r="A568" s="89"/>
      <c r="B568" s="89"/>
      <c r="C568" s="91"/>
      <c r="D568" s="92"/>
      <c r="E568" s="89"/>
      <c r="F568" s="89"/>
      <c r="G568" s="89"/>
      <c r="H568" s="89"/>
      <c r="I568" s="89"/>
      <c r="J568" s="89"/>
      <c r="K568" s="89"/>
      <c r="L568" s="89"/>
      <c r="M568" s="89"/>
      <c r="N568" s="89"/>
      <c r="O568" s="89"/>
      <c r="P568" s="89"/>
      <c r="Q568" s="89"/>
      <c r="R568" s="89"/>
      <c r="S568" s="89"/>
      <c r="T568" s="89"/>
      <c r="U568" s="89"/>
    </row>
    <row r="569">
      <c r="A569" s="89"/>
      <c r="B569" s="89"/>
      <c r="C569" s="91"/>
      <c r="D569" s="92"/>
      <c r="E569" s="89"/>
      <c r="F569" s="89"/>
      <c r="G569" s="89"/>
      <c r="H569" s="89"/>
      <c r="I569" s="89"/>
      <c r="J569" s="89"/>
      <c r="K569" s="89"/>
      <c r="L569" s="89"/>
      <c r="M569" s="89"/>
      <c r="N569" s="89"/>
      <c r="O569" s="89"/>
      <c r="P569" s="89"/>
      <c r="Q569" s="89"/>
      <c r="R569" s="89"/>
      <c r="S569" s="89"/>
      <c r="T569" s="89"/>
      <c r="U569" s="89"/>
    </row>
    <row r="570">
      <c r="A570" s="89"/>
      <c r="B570" s="89"/>
      <c r="C570" s="91"/>
      <c r="D570" s="92"/>
      <c r="E570" s="89"/>
      <c r="F570" s="89"/>
      <c r="G570" s="89"/>
      <c r="H570" s="89"/>
      <c r="I570" s="89"/>
      <c r="J570" s="89"/>
      <c r="K570" s="89"/>
      <c r="L570" s="89"/>
      <c r="M570" s="89"/>
      <c r="N570" s="89"/>
      <c r="O570" s="89"/>
      <c r="P570" s="89"/>
      <c r="Q570" s="89"/>
      <c r="R570" s="89"/>
      <c r="S570" s="89"/>
      <c r="T570" s="89"/>
      <c r="U570" s="89"/>
    </row>
    <row r="571">
      <c r="A571" s="89"/>
      <c r="B571" s="89"/>
      <c r="C571" s="91"/>
      <c r="D571" s="92"/>
      <c r="E571" s="89"/>
      <c r="F571" s="89"/>
      <c r="G571" s="89"/>
      <c r="H571" s="89"/>
      <c r="I571" s="89"/>
      <c r="J571" s="89"/>
      <c r="K571" s="89"/>
      <c r="L571" s="89"/>
      <c r="M571" s="89"/>
      <c r="N571" s="89"/>
      <c r="O571" s="89"/>
      <c r="P571" s="89"/>
      <c r="Q571" s="89"/>
      <c r="R571" s="89"/>
      <c r="S571" s="89"/>
      <c r="T571" s="89"/>
      <c r="U571" s="89"/>
    </row>
    <row r="572">
      <c r="A572" s="89"/>
      <c r="B572" s="89"/>
      <c r="C572" s="91"/>
      <c r="D572" s="92"/>
      <c r="E572" s="89"/>
      <c r="F572" s="89"/>
      <c r="G572" s="89"/>
      <c r="H572" s="89"/>
      <c r="I572" s="89"/>
      <c r="J572" s="89"/>
      <c r="K572" s="89"/>
      <c r="L572" s="89"/>
      <c r="M572" s="89"/>
      <c r="N572" s="89"/>
      <c r="O572" s="89"/>
      <c r="P572" s="89"/>
      <c r="Q572" s="89"/>
      <c r="R572" s="89"/>
      <c r="S572" s="89"/>
      <c r="T572" s="89"/>
      <c r="U572" s="89"/>
    </row>
    <row r="573">
      <c r="A573" s="89"/>
      <c r="B573" s="89"/>
      <c r="C573" s="91"/>
      <c r="D573" s="92"/>
      <c r="E573" s="89"/>
      <c r="F573" s="89"/>
      <c r="G573" s="89"/>
      <c r="H573" s="89"/>
      <c r="I573" s="89"/>
      <c r="J573" s="89"/>
      <c r="K573" s="89"/>
      <c r="L573" s="89"/>
      <c r="M573" s="89"/>
      <c r="N573" s="89"/>
      <c r="O573" s="89"/>
      <c r="P573" s="89"/>
      <c r="Q573" s="89"/>
      <c r="R573" s="89"/>
      <c r="S573" s="89"/>
      <c r="T573" s="89"/>
      <c r="U573" s="89"/>
    </row>
    <row r="574">
      <c r="A574" s="89"/>
      <c r="B574" s="89"/>
      <c r="C574" s="91"/>
      <c r="D574" s="92"/>
      <c r="E574" s="89"/>
      <c r="F574" s="89"/>
      <c r="G574" s="89"/>
      <c r="H574" s="89"/>
      <c r="I574" s="89"/>
      <c r="J574" s="89"/>
      <c r="K574" s="89"/>
      <c r="L574" s="89"/>
      <c r="M574" s="89"/>
      <c r="N574" s="89"/>
      <c r="O574" s="89"/>
      <c r="P574" s="89"/>
      <c r="Q574" s="89"/>
      <c r="R574" s="89"/>
      <c r="S574" s="89"/>
      <c r="T574" s="89"/>
      <c r="U574" s="89"/>
    </row>
    <row r="575">
      <c r="A575" s="89"/>
      <c r="B575" s="89"/>
      <c r="C575" s="91"/>
      <c r="D575" s="92"/>
      <c r="E575" s="89"/>
      <c r="F575" s="89"/>
      <c r="G575" s="89"/>
      <c r="H575" s="89"/>
      <c r="I575" s="89"/>
      <c r="J575" s="89"/>
      <c r="K575" s="89"/>
      <c r="L575" s="89"/>
      <c r="M575" s="89"/>
      <c r="N575" s="89"/>
      <c r="O575" s="89"/>
      <c r="P575" s="89"/>
      <c r="Q575" s="89"/>
      <c r="R575" s="89"/>
      <c r="S575" s="89"/>
      <c r="T575" s="89"/>
      <c r="U575" s="89"/>
    </row>
    <row r="576">
      <c r="A576" s="89"/>
      <c r="B576" s="89"/>
      <c r="C576" s="91"/>
      <c r="D576" s="92"/>
      <c r="E576" s="89"/>
      <c r="F576" s="89"/>
      <c r="G576" s="89"/>
      <c r="H576" s="89"/>
      <c r="I576" s="89"/>
      <c r="J576" s="89"/>
      <c r="K576" s="89"/>
      <c r="L576" s="89"/>
      <c r="M576" s="89"/>
      <c r="N576" s="89"/>
      <c r="O576" s="89"/>
      <c r="P576" s="89"/>
      <c r="Q576" s="89"/>
      <c r="R576" s="89"/>
      <c r="S576" s="89"/>
      <c r="T576" s="89"/>
      <c r="U576" s="89"/>
    </row>
    <row r="577">
      <c r="A577" s="89"/>
      <c r="B577" s="89"/>
      <c r="C577" s="91"/>
      <c r="D577" s="92"/>
      <c r="E577" s="89"/>
      <c r="F577" s="89"/>
      <c r="G577" s="89"/>
      <c r="H577" s="89"/>
      <c r="I577" s="89"/>
      <c r="J577" s="89"/>
      <c r="K577" s="89"/>
      <c r="L577" s="89"/>
      <c r="M577" s="89"/>
      <c r="N577" s="89"/>
      <c r="O577" s="89"/>
      <c r="P577" s="89"/>
      <c r="Q577" s="89"/>
      <c r="R577" s="89"/>
      <c r="S577" s="89"/>
      <c r="T577" s="89"/>
      <c r="U577" s="89"/>
    </row>
    <row r="578">
      <c r="A578" s="89"/>
      <c r="B578" s="89"/>
      <c r="C578" s="91"/>
      <c r="D578" s="92"/>
      <c r="E578" s="89"/>
      <c r="F578" s="89"/>
      <c r="G578" s="89"/>
      <c r="H578" s="89"/>
      <c r="I578" s="89"/>
      <c r="J578" s="89"/>
      <c r="K578" s="89"/>
      <c r="L578" s="89"/>
      <c r="M578" s="89"/>
      <c r="N578" s="89"/>
      <c r="O578" s="89"/>
      <c r="P578" s="89"/>
      <c r="Q578" s="89"/>
      <c r="R578" s="89"/>
      <c r="S578" s="89"/>
      <c r="T578" s="89"/>
      <c r="U578" s="89"/>
    </row>
    <row r="579">
      <c r="A579" s="89"/>
      <c r="B579" s="89"/>
      <c r="C579" s="91"/>
      <c r="D579" s="92"/>
      <c r="E579" s="89"/>
      <c r="F579" s="89"/>
      <c r="G579" s="89"/>
      <c r="H579" s="89"/>
      <c r="I579" s="89"/>
      <c r="J579" s="89"/>
      <c r="K579" s="89"/>
      <c r="L579" s="89"/>
      <c r="M579" s="89"/>
      <c r="N579" s="89"/>
      <c r="O579" s="89"/>
      <c r="P579" s="89"/>
      <c r="Q579" s="89"/>
      <c r="R579" s="89"/>
      <c r="S579" s="89"/>
      <c r="T579" s="89"/>
      <c r="U579" s="89"/>
    </row>
    <row r="580">
      <c r="A580" s="89"/>
      <c r="B580" s="89"/>
      <c r="C580" s="91"/>
      <c r="D580" s="92"/>
      <c r="E580" s="89"/>
      <c r="F580" s="89"/>
      <c r="G580" s="89"/>
      <c r="H580" s="89"/>
      <c r="I580" s="89"/>
      <c r="J580" s="89"/>
      <c r="K580" s="89"/>
      <c r="L580" s="89"/>
      <c r="M580" s="89"/>
      <c r="N580" s="89"/>
      <c r="O580" s="89"/>
      <c r="P580" s="89"/>
      <c r="Q580" s="89"/>
      <c r="R580" s="89"/>
      <c r="S580" s="89"/>
      <c r="T580" s="89"/>
      <c r="U580" s="89"/>
    </row>
    <row r="581">
      <c r="A581" s="89"/>
      <c r="B581" s="89"/>
      <c r="C581" s="91"/>
      <c r="D581" s="92"/>
      <c r="E581" s="89"/>
      <c r="F581" s="89"/>
      <c r="G581" s="89"/>
      <c r="H581" s="89"/>
      <c r="I581" s="89"/>
      <c r="J581" s="89"/>
      <c r="K581" s="89"/>
      <c r="L581" s="89"/>
      <c r="M581" s="89"/>
      <c r="N581" s="89"/>
      <c r="O581" s="89"/>
      <c r="P581" s="89"/>
      <c r="Q581" s="89"/>
      <c r="R581" s="89"/>
      <c r="S581" s="89"/>
      <c r="T581" s="89"/>
      <c r="U581" s="89"/>
    </row>
    <row r="582">
      <c r="A582" s="89"/>
      <c r="B582" s="89"/>
      <c r="C582" s="91"/>
      <c r="D582" s="92"/>
      <c r="E582" s="89"/>
      <c r="F582" s="89"/>
      <c r="G582" s="89"/>
      <c r="H582" s="89"/>
      <c r="I582" s="89"/>
      <c r="J582" s="89"/>
      <c r="K582" s="89"/>
      <c r="L582" s="89"/>
      <c r="M582" s="89"/>
      <c r="N582" s="89"/>
      <c r="O582" s="89"/>
      <c r="P582" s="89"/>
      <c r="Q582" s="89"/>
      <c r="R582" s="89"/>
      <c r="S582" s="89"/>
      <c r="T582" s="89"/>
      <c r="U582" s="89"/>
    </row>
    <row r="583">
      <c r="A583" s="89"/>
      <c r="B583" s="89"/>
      <c r="C583" s="91"/>
      <c r="D583" s="92"/>
      <c r="E583" s="89"/>
      <c r="F583" s="89"/>
      <c r="G583" s="89"/>
      <c r="H583" s="89"/>
      <c r="I583" s="89"/>
      <c r="J583" s="89"/>
      <c r="K583" s="89"/>
      <c r="L583" s="89"/>
      <c r="M583" s="89"/>
      <c r="N583" s="89"/>
      <c r="O583" s="89"/>
      <c r="P583" s="89"/>
      <c r="Q583" s="89"/>
      <c r="R583" s="89"/>
      <c r="S583" s="89"/>
      <c r="T583" s="89"/>
      <c r="U583" s="89"/>
    </row>
    <row r="584">
      <c r="A584" s="89"/>
      <c r="B584" s="89"/>
      <c r="C584" s="91"/>
      <c r="D584" s="92"/>
      <c r="E584" s="89"/>
      <c r="F584" s="89"/>
      <c r="G584" s="89"/>
      <c r="H584" s="89"/>
      <c r="I584" s="89"/>
      <c r="J584" s="89"/>
      <c r="K584" s="89"/>
      <c r="L584" s="89"/>
      <c r="M584" s="89"/>
      <c r="N584" s="89"/>
      <c r="O584" s="89"/>
      <c r="P584" s="89"/>
      <c r="Q584" s="89"/>
      <c r="R584" s="89"/>
      <c r="S584" s="89"/>
      <c r="T584" s="89"/>
      <c r="U584" s="89"/>
    </row>
    <row r="585">
      <c r="A585" s="89"/>
      <c r="B585" s="89"/>
      <c r="C585" s="91"/>
      <c r="D585" s="92"/>
      <c r="E585" s="89"/>
      <c r="F585" s="89"/>
      <c r="G585" s="89"/>
      <c r="H585" s="89"/>
      <c r="I585" s="89"/>
      <c r="J585" s="89"/>
      <c r="K585" s="89"/>
      <c r="L585" s="89"/>
      <c r="M585" s="89"/>
      <c r="N585" s="89"/>
      <c r="O585" s="89"/>
      <c r="P585" s="89"/>
      <c r="Q585" s="89"/>
      <c r="R585" s="89"/>
      <c r="S585" s="89"/>
      <c r="T585" s="89"/>
      <c r="U585" s="89"/>
    </row>
    <row r="586">
      <c r="A586" s="89"/>
      <c r="B586" s="89"/>
      <c r="C586" s="91"/>
      <c r="D586" s="92"/>
      <c r="E586" s="89"/>
      <c r="F586" s="89"/>
      <c r="G586" s="89"/>
      <c r="H586" s="89"/>
      <c r="I586" s="89"/>
      <c r="J586" s="89"/>
      <c r="K586" s="89"/>
      <c r="L586" s="89"/>
      <c r="M586" s="89"/>
      <c r="N586" s="89"/>
      <c r="O586" s="89"/>
      <c r="P586" s="89"/>
      <c r="Q586" s="89"/>
      <c r="R586" s="89"/>
      <c r="S586" s="89"/>
      <c r="T586" s="89"/>
      <c r="U586" s="89"/>
    </row>
    <row r="587">
      <c r="A587" s="89"/>
      <c r="B587" s="89"/>
      <c r="C587" s="91"/>
      <c r="D587" s="92"/>
      <c r="E587" s="89"/>
      <c r="F587" s="89"/>
      <c r="G587" s="89"/>
      <c r="H587" s="89"/>
      <c r="I587" s="89"/>
      <c r="J587" s="89"/>
      <c r="K587" s="89"/>
      <c r="L587" s="89"/>
      <c r="M587" s="89"/>
      <c r="N587" s="89"/>
      <c r="O587" s="89"/>
      <c r="P587" s="89"/>
      <c r="Q587" s="89"/>
      <c r="R587" s="89"/>
      <c r="S587" s="89"/>
      <c r="T587" s="89"/>
      <c r="U587" s="89"/>
    </row>
    <row r="588">
      <c r="A588" s="89"/>
      <c r="B588" s="89"/>
      <c r="C588" s="91"/>
      <c r="D588" s="92"/>
      <c r="E588" s="89"/>
      <c r="F588" s="89"/>
      <c r="G588" s="89"/>
      <c r="H588" s="89"/>
      <c r="I588" s="89"/>
      <c r="J588" s="89"/>
      <c r="K588" s="89"/>
      <c r="L588" s="89"/>
      <c r="M588" s="89"/>
      <c r="N588" s="89"/>
      <c r="O588" s="89"/>
      <c r="P588" s="89"/>
      <c r="Q588" s="89"/>
      <c r="R588" s="89"/>
      <c r="S588" s="89"/>
      <c r="T588" s="89"/>
      <c r="U588" s="89"/>
    </row>
    <row r="589">
      <c r="A589" s="89"/>
      <c r="B589" s="89"/>
      <c r="C589" s="91"/>
      <c r="D589" s="92"/>
      <c r="E589" s="89"/>
      <c r="F589" s="89"/>
      <c r="G589" s="89"/>
      <c r="H589" s="89"/>
      <c r="I589" s="89"/>
      <c r="J589" s="89"/>
      <c r="K589" s="89"/>
      <c r="L589" s="89"/>
      <c r="M589" s="89"/>
      <c r="N589" s="89"/>
      <c r="O589" s="89"/>
      <c r="P589" s="89"/>
      <c r="Q589" s="89"/>
      <c r="R589" s="89"/>
      <c r="S589" s="89"/>
      <c r="T589" s="89"/>
      <c r="U589" s="89"/>
    </row>
    <row r="590">
      <c r="A590" s="89"/>
      <c r="B590" s="89"/>
      <c r="C590" s="91"/>
      <c r="D590" s="92"/>
      <c r="E590" s="89"/>
      <c r="F590" s="89"/>
      <c r="G590" s="89"/>
      <c r="H590" s="89"/>
      <c r="I590" s="89"/>
      <c r="J590" s="89"/>
      <c r="K590" s="89"/>
      <c r="L590" s="89"/>
      <c r="M590" s="89"/>
      <c r="N590" s="89"/>
      <c r="O590" s="89"/>
      <c r="P590" s="89"/>
      <c r="Q590" s="89"/>
      <c r="R590" s="89"/>
      <c r="S590" s="89"/>
      <c r="T590" s="89"/>
      <c r="U590" s="89"/>
    </row>
    <row r="591">
      <c r="A591" s="89"/>
      <c r="B591" s="89"/>
      <c r="C591" s="91"/>
      <c r="D591" s="92"/>
      <c r="E591" s="89"/>
      <c r="F591" s="89"/>
      <c r="G591" s="89"/>
      <c r="H591" s="89"/>
      <c r="I591" s="89"/>
      <c r="J591" s="89"/>
      <c r="K591" s="89"/>
      <c r="L591" s="89"/>
      <c r="M591" s="89"/>
      <c r="N591" s="89"/>
      <c r="O591" s="89"/>
      <c r="P591" s="89"/>
      <c r="Q591" s="89"/>
      <c r="R591" s="89"/>
      <c r="S591" s="89"/>
      <c r="T591" s="89"/>
      <c r="U591" s="89"/>
    </row>
    <row r="592">
      <c r="A592" s="89"/>
      <c r="B592" s="89"/>
      <c r="C592" s="91"/>
      <c r="D592" s="92"/>
      <c r="E592" s="89"/>
      <c r="F592" s="89"/>
      <c r="G592" s="89"/>
      <c r="H592" s="89"/>
      <c r="I592" s="89"/>
      <c r="J592" s="89"/>
      <c r="K592" s="89"/>
      <c r="L592" s="89"/>
      <c r="M592" s="89"/>
      <c r="N592" s="89"/>
      <c r="O592" s="89"/>
      <c r="P592" s="89"/>
      <c r="Q592" s="89"/>
      <c r="R592" s="89"/>
      <c r="S592" s="89"/>
      <c r="T592" s="89"/>
      <c r="U592" s="89"/>
    </row>
    <row r="593">
      <c r="A593" s="89"/>
      <c r="B593" s="89"/>
      <c r="C593" s="91"/>
      <c r="D593" s="92"/>
      <c r="E593" s="89"/>
      <c r="F593" s="89"/>
      <c r="G593" s="89"/>
      <c r="H593" s="89"/>
      <c r="I593" s="89"/>
      <c r="J593" s="89"/>
      <c r="K593" s="89"/>
      <c r="L593" s="89"/>
      <c r="M593" s="89"/>
      <c r="N593" s="89"/>
      <c r="O593" s="89"/>
      <c r="P593" s="89"/>
      <c r="Q593" s="89"/>
      <c r="R593" s="89"/>
      <c r="S593" s="89"/>
      <c r="T593" s="89"/>
      <c r="U593" s="89"/>
    </row>
    <row r="594">
      <c r="A594" s="89"/>
      <c r="B594" s="89"/>
      <c r="C594" s="91"/>
      <c r="D594" s="92"/>
      <c r="E594" s="89"/>
      <c r="F594" s="89"/>
      <c r="G594" s="89"/>
      <c r="H594" s="89"/>
      <c r="I594" s="89"/>
      <c r="J594" s="89"/>
      <c r="K594" s="89"/>
      <c r="L594" s="89"/>
      <c r="M594" s="89"/>
      <c r="N594" s="89"/>
      <c r="O594" s="89"/>
      <c r="P594" s="89"/>
      <c r="Q594" s="89"/>
      <c r="R594" s="89"/>
      <c r="S594" s="89"/>
      <c r="T594" s="89"/>
      <c r="U594" s="89"/>
    </row>
    <row r="595">
      <c r="A595" s="89"/>
      <c r="B595" s="89"/>
      <c r="C595" s="91"/>
      <c r="D595" s="92"/>
      <c r="E595" s="89"/>
      <c r="F595" s="89"/>
      <c r="G595" s="89"/>
      <c r="H595" s="89"/>
      <c r="I595" s="89"/>
      <c r="J595" s="89"/>
      <c r="K595" s="89"/>
      <c r="L595" s="89"/>
      <c r="M595" s="89"/>
      <c r="N595" s="89"/>
      <c r="O595" s="89"/>
      <c r="P595" s="89"/>
      <c r="Q595" s="89"/>
      <c r="R595" s="89"/>
      <c r="S595" s="89"/>
      <c r="T595" s="89"/>
      <c r="U595" s="89"/>
    </row>
    <row r="596">
      <c r="A596" s="89"/>
      <c r="B596" s="89"/>
      <c r="C596" s="91"/>
      <c r="D596" s="92"/>
      <c r="E596" s="89"/>
      <c r="F596" s="89"/>
      <c r="G596" s="89"/>
      <c r="H596" s="89"/>
      <c r="I596" s="89"/>
      <c r="J596" s="89"/>
      <c r="K596" s="89"/>
      <c r="L596" s="89"/>
      <c r="M596" s="89"/>
      <c r="N596" s="89"/>
      <c r="O596" s="89"/>
      <c r="P596" s="89"/>
      <c r="Q596" s="89"/>
      <c r="R596" s="89"/>
      <c r="S596" s="89"/>
      <c r="T596" s="89"/>
      <c r="U596" s="89"/>
    </row>
    <row r="597">
      <c r="A597" s="89"/>
      <c r="B597" s="89"/>
      <c r="C597" s="91"/>
      <c r="D597" s="92"/>
      <c r="E597" s="89"/>
      <c r="F597" s="89"/>
      <c r="G597" s="89"/>
      <c r="H597" s="89"/>
      <c r="I597" s="89"/>
      <c r="J597" s="89"/>
      <c r="K597" s="89"/>
      <c r="L597" s="89"/>
      <c r="M597" s="89"/>
      <c r="N597" s="89"/>
      <c r="O597" s="89"/>
      <c r="P597" s="89"/>
      <c r="Q597" s="89"/>
      <c r="R597" s="89"/>
      <c r="S597" s="89"/>
      <c r="T597" s="89"/>
      <c r="U597" s="89"/>
    </row>
    <row r="598">
      <c r="A598" s="89"/>
      <c r="B598" s="89"/>
      <c r="C598" s="91"/>
      <c r="D598" s="92"/>
      <c r="E598" s="89"/>
      <c r="F598" s="89"/>
      <c r="G598" s="89"/>
      <c r="H598" s="89"/>
      <c r="I598" s="89"/>
      <c r="J598" s="89"/>
      <c r="K598" s="89"/>
      <c r="L598" s="89"/>
      <c r="M598" s="89"/>
      <c r="N598" s="89"/>
      <c r="O598" s="89"/>
      <c r="P598" s="89"/>
      <c r="Q598" s="89"/>
      <c r="R598" s="89"/>
      <c r="S598" s="89"/>
      <c r="T598" s="89"/>
      <c r="U598" s="89"/>
    </row>
    <row r="599">
      <c r="A599" s="89"/>
      <c r="B599" s="89"/>
      <c r="C599" s="91"/>
      <c r="D599" s="92"/>
      <c r="E599" s="89"/>
      <c r="F599" s="89"/>
      <c r="G599" s="89"/>
      <c r="H599" s="89"/>
      <c r="I599" s="89"/>
      <c r="J599" s="89"/>
      <c r="K599" s="89"/>
      <c r="L599" s="89"/>
      <c r="M599" s="89"/>
      <c r="N599" s="89"/>
      <c r="O599" s="89"/>
      <c r="P599" s="89"/>
      <c r="Q599" s="89"/>
      <c r="R599" s="89"/>
      <c r="S599" s="89"/>
      <c r="T599" s="89"/>
      <c r="U599" s="89"/>
    </row>
    <row r="600">
      <c r="A600" s="89"/>
      <c r="B600" s="89"/>
      <c r="C600" s="91"/>
      <c r="D600" s="92"/>
      <c r="E600" s="89"/>
      <c r="F600" s="89"/>
      <c r="G600" s="89"/>
      <c r="H600" s="89"/>
      <c r="I600" s="89"/>
      <c r="J600" s="89"/>
      <c r="K600" s="89"/>
      <c r="L600" s="89"/>
      <c r="M600" s="89"/>
      <c r="N600" s="89"/>
      <c r="O600" s="89"/>
      <c r="P600" s="89"/>
      <c r="Q600" s="89"/>
      <c r="R600" s="89"/>
      <c r="S600" s="89"/>
      <c r="T600" s="89"/>
      <c r="U600" s="89"/>
    </row>
    <row r="601">
      <c r="A601" s="89"/>
      <c r="B601" s="89"/>
      <c r="C601" s="91"/>
      <c r="D601" s="92"/>
      <c r="E601" s="89"/>
      <c r="F601" s="89"/>
      <c r="G601" s="89"/>
      <c r="H601" s="89"/>
      <c r="I601" s="89"/>
      <c r="J601" s="89"/>
      <c r="K601" s="89"/>
      <c r="L601" s="89"/>
      <c r="M601" s="89"/>
      <c r="N601" s="89"/>
      <c r="O601" s="89"/>
      <c r="P601" s="89"/>
      <c r="Q601" s="89"/>
      <c r="R601" s="89"/>
      <c r="S601" s="89"/>
      <c r="T601" s="89"/>
      <c r="U601" s="89"/>
    </row>
    <row r="602">
      <c r="A602" s="89"/>
      <c r="B602" s="89"/>
      <c r="C602" s="91"/>
      <c r="D602" s="92"/>
      <c r="E602" s="89"/>
      <c r="F602" s="89"/>
      <c r="G602" s="89"/>
      <c r="H602" s="89"/>
      <c r="I602" s="89"/>
      <c r="J602" s="89"/>
      <c r="K602" s="89"/>
      <c r="L602" s="89"/>
      <c r="M602" s="89"/>
      <c r="N602" s="89"/>
      <c r="O602" s="89"/>
      <c r="P602" s="89"/>
      <c r="Q602" s="89"/>
      <c r="R602" s="89"/>
      <c r="S602" s="89"/>
      <c r="T602" s="89"/>
      <c r="U602" s="89"/>
    </row>
    <row r="603">
      <c r="A603" s="89"/>
      <c r="B603" s="89"/>
      <c r="C603" s="91"/>
      <c r="D603" s="92"/>
      <c r="E603" s="89"/>
      <c r="F603" s="89"/>
      <c r="G603" s="89"/>
      <c r="H603" s="89"/>
      <c r="I603" s="89"/>
      <c r="J603" s="89"/>
      <c r="K603" s="89"/>
      <c r="L603" s="89"/>
      <c r="M603" s="89"/>
      <c r="N603" s="89"/>
      <c r="O603" s="89"/>
      <c r="P603" s="89"/>
      <c r="Q603" s="89"/>
      <c r="R603" s="89"/>
      <c r="S603" s="89"/>
      <c r="T603" s="89"/>
      <c r="U603" s="89"/>
    </row>
    <row r="604">
      <c r="A604" s="89"/>
      <c r="B604" s="89"/>
      <c r="C604" s="91"/>
      <c r="D604" s="92"/>
      <c r="E604" s="89"/>
      <c r="F604" s="89"/>
      <c r="G604" s="89"/>
      <c r="H604" s="89"/>
      <c r="I604" s="89"/>
      <c r="J604" s="89"/>
      <c r="K604" s="89"/>
      <c r="L604" s="89"/>
      <c r="M604" s="89"/>
      <c r="N604" s="89"/>
      <c r="O604" s="89"/>
      <c r="P604" s="89"/>
      <c r="Q604" s="89"/>
      <c r="R604" s="89"/>
      <c r="S604" s="89"/>
      <c r="T604" s="89"/>
      <c r="U604" s="89"/>
    </row>
    <row r="605">
      <c r="A605" s="89"/>
      <c r="B605" s="89"/>
      <c r="C605" s="91"/>
      <c r="D605" s="92"/>
      <c r="E605" s="89"/>
      <c r="F605" s="89"/>
      <c r="G605" s="89"/>
      <c r="H605" s="89"/>
      <c r="I605" s="89"/>
      <c r="J605" s="89"/>
      <c r="K605" s="89"/>
      <c r="L605" s="89"/>
      <c r="M605" s="89"/>
      <c r="N605" s="89"/>
      <c r="O605" s="89"/>
      <c r="P605" s="89"/>
      <c r="Q605" s="89"/>
      <c r="R605" s="89"/>
      <c r="S605" s="89"/>
      <c r="T605" s="89"/>
      <c r="U605" s="89"/>
    </row>
    <row r="606">
      <c r="A606" s="89"/>
      <c r="B606" s="89"/>
      <c r="C606" s="91"/>
      <c r="D606" s="92"/>
      <c r="E606" s="89"/>
      <c r="F606" s="89"/>
      <c r="G606" s="89"/>
      <c r="H606" s="89"/>
      <c r="I606" s="89"/>
      <c r="J606" s="89"/>
      <c r="K606" s="89"/>
      <c r="L606" s="89"/>
      <c r="M606" s="89"/>
      <c r="N606" s="89"/>
      <c r="O606" s="89"/>
      <c r="P606" s="89"/>
      <c r="Q606" s="89"/>
      <c r="R606" s="89"/>
      <c r="S606" s="89"/>
      <c r="T606" s="89"/>
      <c r="U606" s="89"/>
    </row>
    <row r="607">
      <c r="A607" s="89"/>
      <c r="B607" s="89"/>
      <c r="C607" s="91"/>
      <c r="D607" s="92"/>
      <c r="E607" s="89"/>
      <c r="F607" s="89"/>
      <c r="G607" s="89"/>
      <c r="H607" s="89"/>
      <c r="I607" s="89"/>
      <c r="J607" s="89"/>
      <c r="K607" s="89"/>
      <c r="L607" s="89"/>
      <c r="M607" s="89"/>
      <c r="N607" s="89"/>
      <c r="O607" s="89"/>
      <c r="P607" s="89"/>
      <c r="Q607" s="89"/>
      <c r="R607" s="89"/>
      <c r="S607" s="89"/>
      <c r="T607" s="89"/>
      <c r="U607" s="89"/>
    </row>
    <row r="608">
      <c r="A608" s="89"/>
      <c r="B608" s="89"/>
      <c r="C608" s="91"/>
      <c r="D608" s="92"/>
      <c r="E608" s="89"/>
      <c r="F608" s="89"/>
      <c r="G608" s="89"/>
      <c r="H608" s="89"/>
      <c r="I608" s="89"/>
      <c r="J608" s="89"/>
      <c r="K608" s="89"/>
      <c r="L608" s="89"/>
      <c r="M608" s="89"/>
      <c r="N608" s="89"/>
      <c r="O608" s="89"/>
      <c r="P608" s="89"/>
      <c r="Q608" s="89"/>
      <c r="R608" s="89"/>
      <c r="S608" s="89"/>
      <c r="T608" s="89"/>
      <c r="U608" s="89"/>
    </row>
    <row r="609">
      <c r="A609" s="89"/>
      <c r="B609" s="89"/>
      <c r="C609" s="91"/>
      <c r="D609" s="92"/>
      <c r="E609" s="89"/>
      <c r="F609" s="89"/>
      <c r="G609" s="89"/>
      <c r="H609" s="89"/>
      <c r="I609" s="89"/>
      <c r="J609" s="89"/>
      <c r="K609" s="89"/>
      <c r="L609" s="89"/>
      <c r="M609" s="89"/>
      <c r="N609" s="89"/>
      <c r="O609" s="89"/>
      <c r="P609" s="89"/>
      <c r="Q609" s="89"/>
      <c r="R609" s="89"/>
      <c r="S609" s="89"/>
      <c r="T609" s="89"/>
      <c r="U609" s="89"/>
    </row>
    <row r="610">
      <c r="A610" s="89"/>
      <c r="B610" s="89"/>
      <c r="C610" s="91"/>
      <c r="D610" s="92"/>
      <c r="E610" s="89"/>
      <c r="F610" s="89"/>
      <c r="G610" s="89"/>
      <c r="H610" s="89"/>
      <c r="I610" s="89"/>
      <c r="J610" s="89"/>
      <c r="K610" s="89"/>
      <c r="L610" s="89"/>
      <c r="M610" s="89"/>
      <c r="N610" s="89"/>
      <c r="O610" s="89"/>
      <c r="P610" s="89"/>
      <c r="Q610" s="89"/>
      <c r="R610" s="89"/>
      <c r="S610" s="89"/>
      <c r="T610" s="89"/>
      <c r="U610" s="89"/>
    </row>
    <row r="611">
      <c r="A611" s="89"/>
      <c r="B611" s="89"/>
      <c r="C611" s="91"/>
      <c r="D611" s="92"/>
      <c r="E611" s="89"/>
      <c r="F611" s="89"/>
      <c r="G611" s="89"/>
      <c r="H611" s="89"/>
      <c r="I611" s="89"/>
      <c r="J611" s="89"/>
      <c r="K611" s="89"/>
      <c r="L611" s="89"/>
      <c r="M611" s="89"/>
      <c r="N611" s="89"/>
      <c r="O611" s="89"/>
      <c r="P611" s="89"/>
      <c r="Q611" s="89"/>
      <c r="R611" s="89"/>
      <c r="S611" s="89"/>
      <c r="T611" s="89"/>
      <c r="U611" s="89"/>
    </row>
    <row r="612">
      <c r="A612" s="89"/>
      <c r="B612" s="89"/>
      <c r="C612" s="91"/>
      <c r="D612" s="92"/>
      <c r="E612" s="89"/>
      <c r="F612" s="89"/>
      <c r="G612" s="89"/>
      <c r="H612" s="89"/>
      <c r="I612" s="89"/>
      <c r="J612" s="89"/>
      <c r="K612" s="89"/>
      <c r="L612" s="89"/>
      <c r="M612" s="89"/>
      <c r="N612" s="89"/>
      <c r="O612" s="89"/>
      <c r="P612" s="89"/>
      <c r="Q612" s="89"/>
      <c r="R612" s="89"/>
      <c r="S612" s="89"/>
      <c r="T612" s="89"/>
      <c r="U612" s="89"/>
    </row>
    <row r="613">
      <c r="A613" s="89"/>
      <c r="B613" s="89"/>
      <c r="C613" s="91"/>
      <c r="D613" s="92"/>
      <c r="E613" s="89"/>
      <c r="F613" s="89"/>
      <c r="G613" s="89"/>
      <c r="H613" s="89"/>
      <c r="I613" s="89"/>
      <c r="J613" s="89"/>
      <c r="K613" s="89"/>
      <c r="L613" s="89"/>
      <c r="M613" s="89"/>
      <c r="N613" s="89"/>
      <c r="O613" s="89"/>
      <c r="P613" s="89"/>
      <c r="Q613" s="89"/>
      <c r="R613" s="89"/>
      <c r="S613" s="89"/>
      <c r="T613" s="89"/>
      <c r="U613" s="89"/>
    </row>
    <row r="614">
      <c r="A614" s="89"/>
      <c r="B614" s="89"/>
      <c r="C614" s="91"/>
      <c r="D614" s="92"/>
      <c r="E614" s="89"/>
      <c r="F614" s="89"/>
      <c r="G614" s="89"/>
      <c r="H614" s="89"/>
      <c r="I614" s="89"/>
      <c r="J614" s="89"/>
      <c r="K614" s="89"/>
      <c r="L614" s="89"/>
      <c r="M614" s="89"/>
      <c r="N614" s="89"/>
      <c r="O614" s="89"/>
      <c r="P614" s="89"/>
      <c r="Q614" s="89"/>
      <c r="R614" s="89"/>
      <c r="S614" s="89"/>
      <c r="T614" s="89"/>
      <c r="U614" s="89"/>
    </row>
    <row r="615">
      <c r="A615" s="89"/>
      <c r="B615" s="89"/>
      <c r="C615" s="91"/>
      <c r="D615" s="92"/>
      <c r="E615" s="89"/>
      <c r="F615" s="89"/>
      <c r="G615" s="89"/>
      <c r="H615" s="89"/>
      <c r="I615" s="89"/>
      <c r="J615" s="89"/>
      <c r="K615" s="89"/>
      <c r="L615" s="89"/>
      <c r="M615" s="89"/>
      <c r="N615" s="89"/>
      <c r="O615" s="89"/>
      <c r="P615" s="89"/>
      <c r="Q615" s="89"/>
      <c r="R615" s="89"/>
      <c r="S615" s="89"/>
      <c r="T615" s="89"/>
      <c r="U615" s="89"/>
    </row>
    <row r="616">
      <c r="A616" s="89"/>
      <c r="B616" s="89"/>
      <c r="C616" s="91"/>
      <c r="D616" s="92"/>
      <c r="E616" s="89"/>
      <c r="F616" s="89"/>
      <c r="G616" s="89"/>
      <c r="H616" s="89"/>
      <c r="I616" s="89"/>
      <c r="J616" s="89"/>
      <c r="K616" s="89"/>
      <c r="L616" s="89"/>
      <c r="M616" s="89"/>
      <c r="N616" s="89"/>
      <c r="O616" s="89"/>
      <c r="P616" s="89"/>
      <c r="Q616" s="89"/>
      <c r="R616" s="89"/>
      <c r="S616" s="89"/>
      <c r="T616" s="89"/>
      <c r="U616" s="89"/>
    </row>
    <row r="617">
      <c r="A617" s="89"/>
      <c r="B617" s="89"/>
      <c r="C617" s="91"/>
      <c r="D617" s="92"/>
      <c r="E617" s="89"/>
      <c r="F617" s="89"/>
      <c r="G617" s="89"/>
      <c r="H617" s="89"/>
      <c r="I617" s="89"/>
      <c r="J617" s="89"/>
      <c r="K617" s="89"/>
      <c r="L617" s="89"/>
      <c r="M617" s="89"/>
      <c r="N617" s="89"/>
      <c r="O617" s="89"/>
      <c r="P617" s="89"/>
      <c r="Q617" s="89"/>
      <c r="R617" s="89"/>
      <c r="S617" s="89"/>
      <c r="T617" s="89"/>
      <c r="U617" s="89"/>
    </row>
    <row r="618">
      <c r="A618" s="89"/>
      <c r="B618" s="89"/>
      <c r="C618" s="91"/>
      <c r="D618" s="92"/>
      <c r="E618" s="89"/>
      <c r="F618" s="89"/>
      <c r="G618" s="89"/>
      <c r="H618" s="89"/>
      <c r="I618" s="89"/>
      <c r="J618" s="89"/>
      <c r="K618" s="89"/>
      <c r="L618" s="89"/>
      <c r="M618" s="89"/>
      <c r="N618" s="89"/>
      <c r="O618" s="89"/>
      <c r="P618" s="89"/>
      <c r="Q618" s="89"/>
      <c r="R618" s="89"/>
      <c r="S618" s="89"/>
      <c r="T618" s="89"/>
      <c r="U618" s="89"/>
    </row>
    <row r="619">
      <c r="A619" s="89"/>
      <c r="B619" s="89"/>
      <c r="C619" s="91"/>
      <c r="D619" s="92"/>
      <c r="E619" s="89"/>
      <c r="F619" s="89"/>
      <c r="G619" s="89"/>
      <c r="H619" s="89"/>
      <c r="I619" s="89"/>
      <c r="J619" s="89"/>
      <c r="K619" s="89"/>
      <c r="L619" s="89"/>
      <c r="M619" s="89"/>
      <c r="N619" s="89"/>
      <c r="O619" s="89"/>
      <c r="P619" s="89"/>
      <c r="Q619" s="89"/>
      <c r="R619" s="89"/>
      <c r="S619" s="89"/>
      <c r="T619" s="89"/>
      <c r="U619" s="89"/>
    </row>
    <row r="620">
      <c r="A620" s="89"/>
      <c r="B620" s="89"/>
      <c r="C620" s="91"/>
      <c r="D620" s="92"/>
      <c r="E620" s="89"/>
      <c r="F620" s="89"/>
      <c r="G620" s="89"/>
      <c r="H620" s="89"/>
      <c r="I620" s="89"/>
      <c r="J620" s="89"/>
      <c r="K620" s="89"/>
      <c r="L620" s="89"/>
      <c r="M620" s="89"/>
      <c r="N620" s="89"/>
      <c r="O620" s="89"/>
      <c r="P620" s="89"/>
      <c r="Q620" s="89"/>
      <c r="R620" s="89"/>
      <c r="S620" s="89"/>
      <c r="T620" s="89"/>
      <c r="U620" s="89"/>
    </row>
    <row r="621">
      <c r="A621" s="89"/>
      <c r="B621" s="89"/>
      <c r="C621" s="91"/>
      <c r="D621" s="92"/>
      <c r="E621" s="89"/>
      <c r="F621" s="89"/>
      <c r="G621" s="89"/>
      <c r="H621" s="89"/>
      <c r="I621" s="89"/>
      <c r="J621" s="89"/>
      <c r="K621" s="89"/>
      <c r="L621" s="89"/>
      <c r="M621" s="89"/>
      <c r="N621" s="89"/>
      <c r="O621" s="89"/>
      <c r="P621" s="89"/>
      <c r="Q621" s="89"/>
      <c r="R621" s="89"/>
      <c r="S621" s="89"/>
      <c r="T621" s="89"/>
      <c r="U621" s="89"/>
    </row>
    <row r="622">
      <c r="A622" s="89"/>
      <c r="B622" s="89"/>
      <c r="C622" s="91"/>
      <c r="D622" s="92"/>
      <c r="E622" s="89"/>
      <c r="F622" s="89"/>
      <c r="G622" s="89"/>
      <c r="H622" s="89"/>
      <c r="I622" s="89"/>
      <c r="J622" s="89"/>
      <c r="K622" s="89"/>
      <c r="L622" s="89"/>
      <c r="M622" s="89"/>
      <c r="N622" s="89"/>
      <c r="O622" s="89"/>
      <c r="P622" s="89"/>
      <c r="Q622" s="89"/>
      <c r="R622" s="89"/>
      <c r="S622" s="89"/>
      <c r="T622" s="89"/>
      <c r="U622" s="89"/>
    </row>
    <row r="623">
      <c r="A623" s="89"/>
      <c r="B623" s="89"/>
      <c r="C623" s="91"/>
      <c r="D623" s="92"/>
      <c r="E623" s="89"/>
      <c r="F623" s="89"/>
      <c r="G623" s="89"/>
      <c r="H623" s="89"/>
      <c r="I623" s="89"/>
      <c r="J623" s="89"/>
      <c r="K623" s="89"/>
      <c r="L623" s="89"/>
      <c r="M623" s="89"/>
      <c r="N623" s="89"/>
      <c r="O623" s="89"/>
      <c r="P623" s="89"/>
      <c r="Q623" s="89"/>
      <c r="R623" s="89"/>
      <c r="S623" s="89"/>
      <c r="T623" s="89"/>
      <c r="U623" s="89"/>
    </row>
    <row r="624">
      <c r="A624" s="89"/>
      <c r="B624" s="89"/>
      <c r="C624" s="91"/>
      <c r="D624" s="92"/>
      <c r="E624" s="89"/>
      <c r="F624" s="89"/>
      <c r="G624" s="89"/>
      <c r="H624" s="89"/>
      <c r="I624" s="89"/>
      <c r="J624" s="89"/>
      <c r="K624" s="89"/>
      <c r="L624" s="89"/>
      <c r="M624" s="89"/>
      <c r="N624" s="89"/>
      <c r="O624" s="89"/>
      <c r="P624" s="89"/>
      <c r="Q624" s="89"/>
      <c r="R624" s="89"/>
      <c r="S624" s="89"/>
      <c r="T624" s="89"/>
      <c r="U624" s="89"/>
    </row>
    <row r="625">
      <c r="A625" s="89"/>
      <c r="B625" s="89"/>
      <c r="C625" s="91"/>
      <c r="D625" s="92"/>
      <c r="E625" s="89"/>
      <c r="F625" s="89"/>
      <c r="G625" s="89"/>
      <c r="H625" s="89"/>
      <c r="I625" s="89"/>
      <c r="J625" s="89"/>
      <c r="K625" s="89"/>
      <c r="L625" s="89"/>
      <c r="M625" s="89"/>
      <c r="N625" s="89"/>
      <c r="O625" s="89"/>
      <c r="P625" s="89"/>
      <c r="Q625" s="89"/>
      <c r="R625" s="89"/>
      <c r="S625" s="89"/>
      <c r="T625" s="89"/>
      <c r="U625" s="89"/>
    </row>
    <row r="626">
      <c r="A626" s="89"/>
      <c r="B626" s="89"/>
      <c r="C626" s="91"/>
      <c r="D626" s="92"/>
      <c r="E626" s="89"/>
      <c r="F626" s="89"/>
      <c r="G626" s="89"/>
      <c r="H626" s="89"/>
      <c r="I626" s="89"/>
      <c r="J626" s="89"/>
      <c r="K626" s="89"/>
      <c r="L626" s="89"/>
      <c r="M626" s="89"/>
      <c r="N626" s="89"/>
      <c r="O626" s="89"/>
      <c r="P626" s="89"/>
      <c r="Q626" s="89"/>
      <c r="R626" s="89"/>
      <c r="S626" s="89"/>
      <c r="T626" s="89"/>
      <c r="U626" s="89"/>
    </row>
    <row r="627">
      <c r="A627" s="89"/>
      <c r="B627" s="89"/>
      <c r="C627" s="91"/>
      <c r="D627" s="92"/>
      <c r="E627" s="89"/>
      <c r="F627" s="89"/>
      <c r="G627" s="89"/>
      <c r="H627" s="89"/>
      <c r="I627" s="89"/>
      <c r="J627" s="89"/>
      <c r="K627" s="89"/>
      <c r="L627" s="89"/>
      <c r="M627" s="89"/>
      <c r="N627" s="89"/>
      <c r="O627" s="89"/>
      <c r="P627" s="89"/>
      <c r="Q627" s="89"/>
      <c r="R627" s="89"/>
      <c r="S627" s="89"/>
      <c r="T627" s="89"/>
      <c r="U627" s="89"/>
    </row>
    <row r="628">
      <c r="A628" s="89"/>
      <c r="B628" s="89"/>
      <c r="C628" s="91"/>
      <c r="D628" s="92"/>
      <c r="E628" s="89"/>
      <c r="F628" s="89"/>
      <c r="G628" s="89"/>
      <c r="H628" s="89"/>
      <c r="I628" s="89"/>
      <c r="J628" s="89"/>
      <c r="K628" s="89"/>
      <c r="L628" s="89"/>
      <c r="M628" s="89"/>
      <c r="N628" s="89"/>
      <c r="O628" s="89"/>
      <c r="P628" s="89"/>
      <c r="Q628" s="89"/>
      <c r="R628" s="89"/>
      <c r="S628" s="89"/>
      <c r="T628" s="89"/>
      <c r="U628" s="89"/>
    </row>
    <row r="629">
      <c r="A629" s="89"/>
      <c r="B629" s="89"/>
      <c r="C629" s="91"/>
      <c r="D629" s="92"/>
      <c r="E629" s="89"/>
      <c r="F629" s="89"/>
      <c r="G629" s="89"/>
      <c r="H629" s="89"/>
      <c r="I629" s="89"/>
      <c r="J629" s="89"/>
      <c r="K629" s="89"/>
      <c r="L629" s="89"/>
      <c r="M629" s="89"/>
      <c r="N629" s="89"/>
      <c r="O629" s="89"/>
      <c r="P629" s="89"/>
      <c r="Q629" s="89"/>
      <c r="R629" s="89"/>
      <c r="S629" s="89"/>
      <c r="T629" s="89"/>
      <c r="U629" s="89"/>
    </row>
    <row r="630">
      <c r="A630" s="89"/>
      <c r="B630" s="89"/>
      <c r="C630" s="91"/>
      <c r="D630" s="92"/>
      <c r="E630" s="89"/>
      <c r="F630" s="89"/>
      <c r="G630" s="89"/>
      <c r="H630" s="89"/>
      <c r="I630" s="89"/>
      <c r="J630" s="89"/>
      <c r="K630" s="89"/>
      <c r="L630" s="89"/>
      <c r="M630" s="89"/>
      <c r="N630" s="89"/>
      <c r="O630" s="89"/>
      <c r="P630" s="89"/>
      <c r="Q630" s="89"/>
      <c r="R630" s="89"/>
      <c r="S630" s="89"/>
      <c r="T630" s="89"/>
      <c r="U630" s="89"/>
    </row>
    <row r="631">
      <c r="A631" s="89"/>
      <c r="B631" s="89"/>
      <c r="C631" s="91"/>
      <c r="D631" s="92"/>
      <c r="E631" s="89"/>
      <c r="F631" s="89"/>
      <c r="G631" s="89"/>
      <c r="H631" s="89"/>
      <c r="I631" s="89"/>
      <c r="J631" s="89"/>
      <c r="K631" s="89"/>
      <c r="L631" s="89"/>
      <c r="M631" s="89"/>
      <c r="N631" s="89"/>
      <c r="O631" s="89"/>
      <c r="P631" s="89"/>
      <c r="Q631" s="89"/>
      <c r="R631" s="89"/>
      <c r="S631" s="89"/>
      <c r="T631" s="89"/>
      <c r="U631" s="89"/>
    </row>
    <row r="632">
      <c r="A632" s="89"/>
      <c r="B632" s="89"/>
      <c r="C632" s="91"/>
      <c r="D632" s="92"/>
      <c r="E632" s="89"/>
      <c r="F632" s="89"/>
      <c r="G632" s="89"/>
      <c r="H632" s="89"/>
      <c r="I632" s="89"/>
      <c r="J632" s="89"/>
      <c r="K632" s="89"/>
      <c r="L632" s="89"/>
      <c r="M632" s="89"/>
      <c r="N632" s="89"/>
      <c r="O632" s="89"/>
      <c r="P632" s="89"/>
      <c r="Q632" s="89"/>
      <c r="R632" s="89"/>
      <c r="S632" s="89"/>
      <c r="T632" s="89"/>
      <c r="U632" s="89"/>
    </row>
    <row r="633">
      <c r="A633" s="89"/>
      <c r="B633" s="89"/>
      <c r="C633" s="91"/>
      <c r="D633" s="92"/>
      <c r="E633" s="89"/>
      <c r="F633" s="89"/>
      <c r="G633" s="89"/>
      <c r="H633" s="89"/>
      <c r="I633" s="89"/>
      <c r="J633" s="89"/>
      <c r="K633" s="89"/>
      <c r="L633" s="89"/>
      <c r="M633" s="89"/>
      <c r="N633" s="89"/>
      <c r="O633" s="89"/>
      <c r="P633" s="89"/>
      <c r="Q633" s="89"/>
      <c r="R633" s="89"/>
      <c r="S633" s="89"/>
      <c r="T633" s="89"/>
      <c r="U633" s="89"/>
    </row>
    <row r="634">
      <c r="A634" s="89"/>
      <c r="B634" s="89"/>
      <c r="C634" s="91"/>
      <c r="D634" s="92"/>
      <c r="E634" s="89"/>
      <c r="F634" s="89"/>
      <c r="G634" s="89"/>
      <c r="H634" s="89"/>
      <c r="I634" s="89"/>
      <c r="J634" s="89"/>
      <c r="K634" s="89"/>
      <c r="L634" s="89"/>
      <c r="M634" s="89"/>
      <c r="N634" s="89"/>
      <c r="O634" s="89"/>
      <c r="P634" s="89"/>
      <c r="Q634" s="89"/>
      <c r="R634" s="89"/>
      <c r="S634" s="89"/>
      <c r="T634" s="89"/>
      <c r="U634" s="89"/>
    </row>
    <row r="635">
      <c r="A635" s="89"/>
      <c r="B635" s="89"/>
      <c r="C635" s="91"/>
      <c r="D635" s="92"/>
      <c r="E635" s="89"/>
      <c r="F635" s="89"/>
      <c r="G635" s="89"/>
      <c r="H635" s="89"/>
      <c r="I635" s="89"/>
      <c r="J635" s="89"/>
      <c r="K635" s="89"/>
      <c r="L635" s="89"/>
      <c r="M635" s="89"/>
      <c r="N635" s="89"/>
      <c r="O635" s="89"/>
      <c r="P635" s="89"/>
      <c r="Q635" s="89"/>
      <c r="R635" s="89"/>
      <c r="S635" s="89"/>
      <c r="T635" s="89"/>
      <c r="U635" s="89"/>
    </row>
    <row r="636">
      <c r="A636" s="89"/>
      <c r="B636" s="89"/>
      <c r="C636" s="91"/>
      <c r="D636" s="92"/>
      <c r="E636" s="89"/>
      <c r="F636" s="89"/>
      <c r="G636" s="89"/>
      <c r="H636" s="89"/>
      <c r="I636" s="89"/>
      <c r="J636" s="89"/>
      <c r="K636" s="89"/>
      <c r="L636" s="89"/>
      <c r="M636" s="89"/>
      <c r="N636" s="89"/>
      <c r="O636" s="89"/>
      <c r="P636" s="89"/>
      <c r="Q636" s="89"/>
      <c r="R636" s="89"/>
      <c r="S636" s="89"/>
      <c r="T636" s="89"/>
      <c r="U636" s="89"/>
    </row>
    <row r="637">
      <c r="A637" s="89"/>
      <c r="B637" s="89"/>
      <c r="C637" s="91"/>
      <c r="D637" s="92"/>
      <c r="E637" s="89"/>
      <c r="F637" s="89"/>
      <c r="G637" s="89"/>
      <c r="H637" s="89"/>
      <c r="I637" s="89"/>
      <c r="J637" s="89"/>
      <c r="K637" s="89"/>
      <c r="L637" s="89"/>
      <c r="M637" s="89"/>
      <c r="N637" s="89"/>
      <c r="O637" s="89"/>
      <c r="P637" s="89"/>
      <c r="Q637" s="89"/>
      <c r="R637" s="89"/>
      <c r="S637" s="89"/>
      <c r="T637" s="89"/>
      <c r="U637" s="89"/>
    </row>
    <row r="638">
      <c r="A638" s="89"/>
      <c r="B638" s="89"/>
      <c r="C638" s="91"/>
      <c r="D638" s="92"/>
      <c r="E638" s="89"/>
      <c r="F638" s="89"/>
      <c r="G638" s="89"/>
      <c r="H638" s="89"/>
      <c r="I638" s="89"/>
      <c r="J638" s="89"/>
      <c r="K638" s="89"/>
      <c r="L638" s="89"/>
      <c r="M638" s="89"/>
      <c r="N638" s="89"/>
      <c r="O638" s="89"/>
      <c r="P638" s="89"/>
      <c r="Q638" s="89"/>
      <c r="R638" s="89"/>
      <c r="S638" s="89"/>
      <c r="T638" s="89"/>
      <c r="U638" s="89"/>
    </row>
    <row r="639">
      <c r="A639" s="89"/>
      <c r="B639" s="89"/>
      <c r="C639" s="91"/>
      <c r="D639" s="92"/>
      <c r="E639" s="89"/>
      <c r="F639" s="89"/>
      <c r="G639" s="89"/>
      <c r="H639" s="89"/>
      <c r="I639" s="89"/>
      <c r="J639" s="89"/>
      <c r="K639" s="89"/>
      <c r="L639" s="89"/>
      <c r="M639" s="89"/>
      <c r="N639" s="89"/>
      <c r="O639" s="89"/>
      <c r="P639" s="89"/>
      <c r="Q639" s="89"/>
      <c r="R639" s="89"/>
      <c r="S639" s="89"/>
      <c r="T639" s="89"/>
      <c r="U639" s="89"/>
    </row>
    <row r="640">
      <c r="A640" s="89"/>
      <c r="B640" s="89"/>
      <c r="C640" s="91"/>
      <c r="D640" s="92"/>
      <c r="E640" s="89"/>
      <c r="F640" s="89"/>
      <c r="G640" s="89"/>
      <c r="H640" s="89"/>
      <c r="I640" s="89"/>
      <c r="J640" s="89"/>
      <c r="K640" s="89"/>
      <c r="L640" s="89"/>
      <c r="M640" s="89"/>
      <c r="N640" s="89"/>
      <c r="O640" s="89"/>
      <c r="P640" s="89"/>
      <c r="Q640" s="89"/>
      <c r="R640" s="89"/>
      <c r="S640" s="89"/>
      <c r="T640" s="89"/>
      <c r="U640" s="89"/>
    </row>
    <row r="641">
      <c r="A641" s="89"/>
      <c r="B641" s="89"/>
      <c r="C641" s="91"/>
      <c r="D641" s="92"/>
      <c r="E641" s="89"/>
      <c r="F641" s="89"/>
      <c r="G641" s="89"/>
      <c r="H641" s="89"/>
      <c r="I641" s="89"/>
      <c r="J641" s="89"/>
      <c r="K641" s="89"/>
      <c r="L641" s="89"/>
      <c r="M641" s="89"/>
      <c r="N641" s="89"/>
      <c r="O641" s="89"/>
      <c r="P641" s="89"/>
      <c r="Q641" s="89"/>
      <c r="R641" s="89"/>
      <c r="S641" s="89"/>
      <c r="T641" s="89"/>
      <c r="U641" s="89"/>
    </row>
    <row r="642">
      <c r="A642" s="89"/>
      <c r="B642" s="89"/>
      <c r="C642" s="91"/>
      <c r="D642" s="92"/>
      <c r="E642" s="89"/>
      <c r="F642" s="89"/>
      <c r="G642" s="89"/>
      <c r="H642" s="89"/>
      <c r="I642" s="89"/>
      <c r="J642" s="89"/>
      <c r="K642" s="89"/>
      <c r="L642" s="89"/>
      <c r="M642" s="89"/>
      <c r="N642" s="89"/>
      <c r="O642" s="89"/>
      <c r="P642" s="89"/>
      <c r="Q642" s="89"/>
      <c r="R642" s="89"/>
      <c r="S642" s="89"/>
      <c r="T642" s="89"/>
      <c r="U642" s="89"/>
    </row>
    <row r="643">
      <c r="A643" s="89"/>
      <c r="B643" s="89"/>
      <c r="C643" s="91"/>
      <c r="D643" s="92"/>
      <c r="E643" s="89"/>
      <c r="F643" s="89"/>
      <c r="G643" s="89"/>
      <c r="H643" s="89"/>
      <c r="I643" s="89"/>
      <c r="J643" s="89"/>
      <c r="K643" s="89"/>
      <c r="L643" s="89"/>
      <c r="M643" s="89"/>
      <c r="N643" s="89"/>
      <c r="O643" s="89"/>
      <c r="P643" s="89"/>
      <c r="Q643" s="89"/>
      <c r="R643" s="89"/>
      <c r="S643" s="89"/>
      <c r="T643" s="89"/>
      <c r="U643" s="89"/>
    </row>
    <row r="644">
      <c r="A644" s="89"/>
      <c r="B644" s="89"/>
      <c r="C644" s="91"/>
      <c r="D644" s="92"/>
      <c r="E644" s="89"/>
      <c r="F644" s="89"/>
      <c r="G644" s="89"/>
      <c r="H644" s="89"/>
      <c r="I644" s="89"/>
      <c r="J644" s="89"/>
      <c r="K644" s="89"/>
      <c r="L644" s="89"/>
      <c r="M644" s="89"/>
      <c r="N644" s="89"/>
      <c r="O644" s="89"/>
      <c r="P644" s="89"/>
      <c r="Q644" s="89"/>
      <c r="R644" s="89"/>
      <c r="S644" s="89"/>
      <c r="T644" s="89"/>
      <c r="U644" s="89"/>
    </row>
    <row r="645">
      <c r="A645" s="89"/>
      <c r="B645" s="89"/>
      <c r="C645" s="91"/>
      <c r="D645" s="92"/>
      <c r="E645" s="89"/>
      <c r="F645" s="89"/>
      <c r="G645" s="89"/>
      <c r="H645" s="89"/>
      <c r="I645" s="89"/>
      <c r="J645" s="89"/>
      <c r="K645" s="89"/>
      <c r="L645" s="89"/>
      <c r="M645" s="89"/>
      <c r="N645" s="89"/>
      <c r="O645" s="89"/>
      <c r="P645" s="89"/>
      <c r="Q645" s="89"/>
      <c r="R645" s="89"/>
      <c r="S645" s="89"/>
      <c r="T645" s="89"/>
      <c r="U645" s="89"/>
    </row>
    <row r="646">
      <c r="A646" s="89"/>
      <c r="B646" s="89"/>
      <c r="C646" s="91"/>
      <c r="D646" s="92"/>
      <c r="E646" s="89"/>
      <c r="F646" s="89"/>
      <c r="G646" s="89"/>
      <c r="H646" s="89"/>
      <c r="I646" s="89"/>
      <c r="J646" s="89"/>
      <c r="K646" s="89"/>
      <c r="L646" s="89"/>
      <c r="M646" s="89"/>
      <c r="N646" s="89"/>
      <c r="O646" s="89"/>
      <c r="P646" s="89"/>
      <c r="Q646" s="89"/>
      <c r="R646" s="89"/>
      <c r="S646" s="89"/>
      <c r="T646" s="89"/>
      <c r="U646" s="89"/>
    </row>
    <row r="647">
      <c r="A647" s="89"/>
      <c r="B647" s="89"/>
      <c r="C647" s="91"/>
      <c r="D647" s="92"/>
      <c r="E647" s="89"/>
      <c r="F647" s="89"/>
      <c r="G647" s="89"/>
      <c r="H647" s="89"/>
      <c r="I647" s="89"/>
      <c r="J647" s="89"/>
      <c r="K647" s="89"/>
      <c r="L647" s="89"/>
      <c r="M647" s="89"/>
      <c r="N647" s="89"/>
      <c r="O647" s="89"/>
      <c r="P647" s="89"/>
      <c r="Q647" s="89"/>
      <c r="R647" s="89"/>
      <c r="S647" s="89"/>
      <c r="T647" s="89"/>
      <c r="U647" s="89"/>
    </row>
    <row r="648">
      <c r="A648" s="89"/>
      <c r="B648" s="89"/>
      <c r="C648" s="91"/>
      <c r="D648" s="92"/>
      <c r="E648" s="89"/>
      <c r="F648" s="89"/>
      <c r="G648" s="89"/>
      <c r="H648" s="89"/>
      <c r="I648" s="89"/>
      <c r="J648" s="89"/>
      <c r="K648" s="89"/>
      <c r="L648" s="89"/>
      <c r="M648" s="89"/>
      <c r="N648" s="89"/>
      <c r="O648" s="89"/>
      <c r="P648" s="89"/>
      <c r="Q648" s="89"/>
      <c r="R648" s="89"/>
      <c r="S648" s="89"/>
      <c r="T648" s="89"/>
      <c r="U648" s="89"/>
    </row>
    <row r="649">
      <c r="A649" s="89"/>
      <c r="B649" s="89"/>
      <c r="C649" s="91"/>
      <c r="D649" s="92"/>
      <c r="E649" s="89"/>
      <c r="F649" s="89"/>
      <c r="G649" s="89"/>
      <c r="H649" s="89"/>
      <c r="I649" s="89"/>
      <c r="J649" s="89"/>
      <c r="K649" s="89"/>
      <c r="L649" s="89"/>
      <c r="M649" s="89"/>
      <c r="N649" s="89"/>
      <c r="O649" s="89"/>
      <c r="P649" s="89"/>
      <c r="Q649" s="89"/>
      <c r="R649" s="89"/>
      <c r="S649" s="89"/>
      <c r="T649" s="89"/>
      <c r="U649" s="89"/>
    </row>
    <row r="650">
      <c r="A650" s="89"/>
      <c r="B650" s="89"/>
      <c r="C650" s="91"/>
      <c r="D650" s="92"/>
      <c r="E650" s="89"/>
      <c r="F650" s="89"/>
      <c r="G650" s="89"/>
      <c r="H650" s="89"/>
      <c r="I650" s="89"/>
      <c r="J650" s="89"/>
      <c r="K650" s="89"/>
      <c r="L650" s="89"/>
      <c r="M650" s="89"/>
      <c r="N650" s="89"/>
      <c r="O650" s="89"/>
      <c r="P650" s="89"/>
      <c r="Q650" s="89"/>
      <c r="R650" s="89"/>
      <c r="S650" s="89"/>
      <c r="T650" s="89"/>
      <c r="U650" s="89"/>
    </row>
    <row r="651">
      <c r="A651" s="89"/>
      <c r="B651" s="89"/>
      <c r="C651" s="91"/>
      <c r="D651" s="92"/>
      <c r="E651" s="89"/>
      <c r="F651" s="89"/>
      <c r="G651" s="89"/>
      <c r="H651" s="89"/>
      <c r="I651" s="89"/>
      <c r="J651" s="89"/>
      <c r="K651" s="89"/>
      <c r="L651" s="89"/>
      <c r="M651" s="89"/>
      <c r="N651" s="89"/>
      <c r="O651" s="89"/>
      <c r="P651" s="89"/>
      <c r="Q651" s="89"/>
      <c r="R651" s="89"/>
      <c r="S651" s="89"/>
      <c r="T651" s="89"/>
      <c r="U651" s="89"/>
    </row>
    <row r="652">
      <c r="A652" s="89"/>
      <c r="B652" s="89"/>
      <c r="C652" s="91"/>
      <c r="D652" s="92"/>
      <c r="E652" s="89"/>
      <c r="F652" s="89"/>
      <c r="G652" s="89"/>
      <c r="H652" s="89"/>
      <c r="I652" s="89"/>
      <c r="J652" s="89"/>
      <c r="K652" s="89"/>
      <c r="L652" s="89"/>
      <c r="M652" s="89"/>
      <c r="N652" s="89"/>
      <c r="O652" s="89"/>
      <c r="P652" s="89"/>
      <c r="Q652" s="89"/>
      <c r="R652" s="89"/>
      <c r="S652" s="89"/>
      <c r="T652" s="89"/>
      <c r="U652" s="89"/>
    </row>
    <row r="653">
      <c r="A653" s="89"/>
      <c r="B653" s="89"/>
      <c r="C653" s="91"/>
      <c r="D653" s="92"/>
      <c r="E653" s="89"/>
      <c r="F653" s="89"/>
      <c r="G653" s="89"/>
      <c r="H653" s="89"/>
      <c r="I653" s="89"/>
      <c r="J653" s="89"/>
      <c r="K653" s="89"/>
      <c r="L653" s="89"/>
      <c r="M653" s="89"/>
      <c r="N653" s="89"/>
      <c r="O653" s="89"/>
      <c r="P653" s="89"/>
      <c r="Q653" s="89"/>
      <c r="R653" s="89"/>
      <c r="S653" s="89"/>
      <c r="T653" s="89"/>
      <c r="U653" s="89"/>
    </row>
    <row r="654">
      <c r="A654" s="89"/>
      <c r="B654" s="89"/>
      <c r="C654" s="91"/>
      <c r="D654" s="92"/>
      <c r="E654" s="89"/>
      <c r="F654" s="89"/>
      <c r="G654" s="89"/>
      <c r="H654" s="89"/>
      <c r="I654" s="89"/>
      <c r="J654" s="89"/>
      <c r="K654" s="89"/>
      <c r="L654" s="89"/>
      <c r="M654" s="89"/>
      <c r="N654" s="89"/>
      <c r="O654" s="89"/>
      <c r="P654" s="89"/>
      <c r="Q654" s="89"/>
      <c r="R654" s="89"/>
      <c r="S654" s="89"/>
      <c r="T654" s="89"/>
      <c r="U654" s="89"/>
    </row>
    <row r="655">
      <c r="A655" s="89"/>
      <c r="B655" s="89"/>
      <c r="C655" s="91"/>
      <c r="D655" s="92"/>
      <c r="E655" s="89"/>
      <c r="F655" s="89"/>
      <c r="G655" s="89"/>
      <c r="H655" s="89"/>
      <c r="I655" s="89"/>
      <c r="J655" s="89"/>
      <c r="K655" s="89"/>
      <c r="L655" s="89"/>
      <c r="M655" s="89"/>
      <c r="N655" s="89"/>
      <c r="O655" s="89"/>
      <c r="P655" s="89"/>
      <c r="Q655" s="89"/>
      <c r="R655" s="89"/>
      <c r="S655" s="89"/>
      <c r="T655" s="89"/>
      <c r="U655" s="89"/>
    </row>
    <row r="656">
      <c r="A656" s="89"/>
      <c r="B656" s="89"/>
      <c r="C656" s="91"/>
      <c r="D656" s="92"/>
      <c r="E656" s="89"/>
      <c r="F656" s="89"/>
      <c r="G656" s="89"/>
      <c r="H656" s="89"/>
      <c r="I656" s="89"/>
      <c r="J656" s="89"/>
      <c r="K656" s="89"/>
      <c r="L656" s="89"/>
      <c r="M656" s="89"/>
      <c r="N656" s="89"/>
      <c r="O656" s="89"/>
      <c r="P656" s="89"/>
      <c r="Q656" s="89"/>
      <c r="R656" s="89"/>
      <c r="S656" s="89"/>
      <c r="T656" s="89"/>
      <c r="U656" s="89"/>
    </row>
    <row r="657">
      <c r="A657" s="89"/>
      <c r="B657" s="89"/>
      <c r="C657" s="91"/>
      <c r="D657" s="92"/>
      <c r="E657" s="89"/>
      <c r="F657" s="89"/>
      <c r="G657" s="89"/>
      <c r="H657" s="89"/>
      <c r="I657" s="89"/>
      <c r="J657" s="89"/>
      <c r="K657" s="89"/>
      <c r="L657" s="89"/>
      <c r="M657" s="89"/>
      <c r="N657" s="89"/>
      <c r="O657" s="89"/>
      <c r="P657" s="89"/>
      <c r="Q657" s="89"/>
      <c r="R657" s="89"/>
      <c r="S657" s="89"/>
      <c r="T657" s="89"/>
      <c r="U657" s="89"/>
    </row>
    <row r="658">
      <c r="A658" s="89"/>
      <c r="B658" s="89"/>
      <c r="C658" s="91"/>
      <c r="D658" s="92"/>
      <c r="E658" s="89"/>
      <c r="F658" s="89"/>
      <c r="G658" s="89"/>
      <c r="H658" s="89"/>
      <c r="I658" s="89"/>
      <c r="J658" s="89"/>
      <c r="K658" s="89"/>
      <c r="L658" s="89"/>
      <c r="M658" s="89"/>
      <c r="N658" s="89"/>
      <c r="O658" s="89"/>
      <c r="P658" s="89"/>
      <c r="Q658" s="89"/>
      <c r="R658" s="89"/>
      <c r="S658" s="89"/>
      <c r="T658" s="89"/>
      <c r="U658" s="89"/>
    </row>
    <row r="659">
      <c r="A659" s="89"/>
      <c r="B659" s="89"/>
      <c r="C659" s="91"/>
      <c r="D659" s="92"/>
      <c r="E659" s="89"/>
      <c r="F659" s="89"/>
      <c r="G659" s="89"/>
      <c r="H659" s="89"/>
      <c r="I659" s="89"/>
      <c r="J659" s="89"/>
      <c r="K659" s="89"/>
      <c r="L659" s="89"/>
      <c r="M659" s="89"/>
      <c r="N659" s="89"/>
      <c r="O659" s="89"/>
      <c r="P659" s="89"/>
      <c r="Q659" s="89"/>
      <c r="R659" s="89"/>
      <c r="S659" s="89"/>
      <c r="T659" s="89"/>
      <c r="U659" s="89"/>
    </row>
    <row r="660">
      <c r="A660" s="89"/>
      <c r="B660" s="89"/>
      <c r="C660" s="91"/>
      <c r="D660" s="92"/>
      <c r="E660" s="89"/>
      <c r="F660" s="89"/>
      <c r="G660" s="89"/>
      <c r="H660" s="89"/>
      <c r="I660" s="89"/>
      <c r="J660" s="89"/>
      <c r="K660" s="89"/>
      <c r="L660" s="89"/>
      <c r="M660" s="89"/>
      <c r="N660" s="89"/>
      <c r="O660" s="89"/>
      <c r="P660" s="89"/>
      <c r="Q660" s="89"/>
      <c r="R660" s="89"/>
      <c r="S660" s="89"/>
      <c r="T660" s="89"/>
      <c r="U660" s="89"/>
    </row>
    <row r="661">
      <c r="A661" s="89"/>
      <c r="B661" s="89"/>
      <c r="C661" s="91"/>
      <c r="D661" s="92"/>
      <c r="E661" s="89"/>
      <c r="F661" s="89"/>
      <c r="G661" s="89"/>
      <c r="H661" s="89"/>
      <c r="I661" s="89"/>
      <c r="J661" s="89"/>
      <c r="K661" s="89"/>
      <c r="L661" s="89"/>
      <c r="M661" s="89"/>
      <c r="N661" s="89"/>
      <c r="O661" s="89"/>
      <c r="P661" s="89"/>
      <c r="Q661" s="89"/>
      <c r="R661" s="89"/>
      <c r="S661" s="89"/>
      <c r="T661" s="89"/>
      <c r="U661" s="89"/>
    </row>
    <row r="662">
      <c r="A662" s="89"/>
      <c r="B662" s="89"/>
      <c r="C662" s="91"/>
      <c r="D662" s="92"/>
      <c r="E662" s="89"/>
      <c r="F662" s="89"/>
      <c r="G662" s="89"/>
      <c r="H662" s="89"/>
      <c r="I662" s="89"/>
      <c r="J662" s="89"/>
      <c r="K662" s="89"/>
      <c r="L662" s="89"/>
      <c r="M662" s="89"/>
      <c r="N662" s="89"/>
      <c r="O662" s="89"/>
      <c r="P662" s="89"/>
      <c r="Q662" s="89"/>
      <c r="R662" s="89"/>
      <c r="S662" s="89"/>
      <c r="T662" s="89"/>
      <c r="U662" s="89"/>
    </row>
    <row r="663">
      <c r="A663" s="89"/>
      <c r="B663" s="89"/>
      <c r="C663" s="91"/>
      <c r="D663" s="92"/>
      <c r="E663" s="89"/>
      <c r="F663" s="89"/>
      <c r="G663" s="89"/>
      <c r="H663" s="89"/>
      <c r="I663" s="89"/>
      <c r="J663" s="89"/>
      <c r="K663" s="89"/>
      <c r="L663" s="89"/>
      <c r="M663" s="89"/>
      <c r="N663" s="89"/>
      <c r="O663" s="89"/>
      <c r="P663" s="89"/>
      <c r="Q663" s="89"/>
      <c r="R663" s="89"/>
      <c r="S663" s="89"/>
      <c r="T663" s="89"/>
      <c r="U663" s="89"/>
    </row>
    <row r="664">
      <c r="A664" s="89"/>
      <c r="B664" s="89"/>
      <c r="C664" s="91"/>
      <c r="D664" s="92"/>
      <c r="E664" s="89"/>
      <c r="F664" s="89"/>
      <c r="G664" s="89"/>
      <c r="H664" s="89"/>
      <c r="I664" s="89"/>
      <c r="J664" s="89"/>
      <c r="K664" s="89"/>
      <c r="L664" s="89"/>
      <c r="M664" s="89"/>
      <c r="N664" s="89"/>
      <c r="O664" s="89"/>
      <c r="P664" s="89"/>
      <c r="Q664" s="89"/>
      <c r="R664" s="89"/>
      <c r="S664" s="89"/>
      <c r="T664" s="89"/>
      <c r="U664" s="89"/>
    </row>
    <row r="665">
      <c r="A665" s="89"/>
      <c r="B665" s="89"/>
      <c r="C665" s="91"/>
      <c r="D665" s="92"/>
      <c r="E665" s="89"/>
      <c r="F665" s="89"/>
      <c r="G665" s="89"/>
      <c r="H665" s="89"/>
      <c r="I665" s="89"/>
      <c r="J665" s="89"/>
      <c r="K665" s="89"/>
      <c r="L665" s="89"/>
      <c r="M665" s="89"/>
      <c r="N665" s="89"/>
      <c r="O665" s="89"/>
      <c r="P665" s="89"/>
      <c r="Q665" s="89"/>
      <c r="R665" s="89"/>
      <c r="S665" s="89"/>
      <c r="T665" s="89"/>
      <c r="U665" s="89"/>
    </row>
    <row r="666">
      <c r="A666" s="89"/>
      <c r="B666" s="89"/>
      <c r="C666" s="91"/>
      <c r="D666" s="92"/>
      <c r="E666" s="89"/>
      <c r="F666" s="89"/>
      <c r="G666" s="89"/>
      <c r="H666" s="89"/>
      <c r="I666" s="89"/>
      <c r="J666" s="89"/>
      <c r="K666" s="89"/>
      <c r="L666" s="89"/>
      <c r="M666" s="89"/>
      <c r="N666" s="89"/>
      <c r="O666" s="89"/>
      <c r="P666" s="89"/>
      <c r="Q666" s="89"/>
      <c r="R666" s="89"/>
      <c r="S666" s="89"/>
      <c r="T666" s="89"/>
      <c r="U666" s="89"/>
    </row>
    <row r="667">
      <c r="A667" s="89"/>
      <c r="B667" s="89"/>
      <c r="C667" s="91"/>
      <c r="D667" s="92"/>
      <c r="E667" s="89"/>
      <c r="F667" s="89"/>
      <c r="G667" s="89"/>
      <c r="H667" s="89"/>
      <c r="I667" s="89"/>
      <c r="J667" s="89"/>
      <c r="K667" s="89"/>
      <c r="L667" s="89"/>
      <c r="M667" s="89"/>
      <c r="N667" s="89"/>
      <c r="O667" s="89"/>
      <c r="P667" s="89"/>
      <c r="Q667" s="89"/>
      <c r="R667" s="89"/>
      <c r="S667" s="89"/>
      <c r="T667" s="89"/>
      <c r="U667" s="89"/>
    </row>
    <row r="668">
      <c r="A668" s="89"/>
      <c r="B668" s="89"/>
      <c r="C668" s="91"/>
      <c r="D668" s="92"/>
      <c r="E668" s="89"/>
      <c r="F668" s="89"/>
      <c r="G668" s="89"/>
      <c r="H668" s="89"/>
      <c r="I668" s="89"/>
      <c r="J668" s="89"/>
      <c r="K668" s="89"/>
      <c r="L668" s="89"/>
      <c r="M668" s="89"/>
      <c r="N668" s="89"/>
      <c r="O668" s="89"/>
      <c r="P668" s="89"/>
      <c r="Q668" s="89"/>
      <c r="R668" s="89"/>
      <c r="S668" s="89"/>
      <c r="T668" s="89"/>
      <c r="U668" s="89"/>
    </row>
    <row r="669">
      <c r="A669" s="89"/>
      <c r="B669" s="89"/>
      <c r="C669" s="91"/>
      <c r="D669" s="92"/>
      <c r="E669" s="89"/>
      <c r="F669" s="89"/>
      <c r="G669" s="89"/>
      <c r="H669" s="89"/>
      <c r="I669" s="89"/>
      <c r="J669" s="89"/>
      <c r="K669" s="89"/>
      <c r="L669" s="89"/>
      <c r="M669" s="89"/>
      <c r="N669" s="89"/>
      <c r="O669" s="89"/>
      <c r="P669" s="89"/>
      <c r="Q669" s="89"/>
      <c r="R669" s="89"/>
      <c r="S669" s="89"/>
      <c r="T669" s="89"/>
      <c r="U669" s="89"/>
    </row>
    <row r="670">
      <c r="A670" s="89"/>
      <c r="B670" s="89"/>
      <c r="C670" s="91"/>
      <c r="D670" s="92"/>
      <c r="E670" s="89"/>
      <c r="F670" s="89"/>
      <c r="G670" s="89"/>
      <c r="H670" s="89"/>
      <c r="I670" s="89"/>
      <c r="J670" s="89"/>
      <c r="K670" s="89"/>
      <c r="L670" s="89"/>
      <c r="M670" s="89"/>
      <c r="N670" s="89"/>
      <c r="O670" s="89"/>
      <c r="P670" s="89"/>
      <c r="Q670" s="89"/>
      <c r="R670" s="89"/>
      <c r="S670" s="89"/>
      <c r="T670" s="89"/>
      <c r="U670" s="89"/>
    </row>
    <row r="671">
      <c r="A671" s="89"/>
      <c r="B671" s="89"/>
      <c r="C671" s="91"/>
      <c r="D671" s="92"/>
      <c r="E671" s="89"/>
      <c r="F671" s="89"/>
      <c r="G671" s="89"/>
      <c r="H671" s="89"/>
      <c r="I671" s="89"/>
      <c r="J671" s="89"/>
      <c r="K671" s="89"/>
      <c r="L671" s="89"/>
      <c r="M671" s="89"/>
      <c r="N671" s="89"/>
      <c r="O671" s="89"/>
      <c r="P671" s="89"/>
      <c r="Q671" s="89"/>
      <c r="R671" s="89"/>
      <c r="S671" s="89"/>
      <c r="T671" s="89"/>
      <c r="U671" s="89"/>
    </row>
    <row r="672">
      <c r="A672" s="89"/>
      <c r="B672" s="89"/>
      <c r="C672" s="91"/>
      <c r="D672" s="92"/>
      <c r="E672" s="89"/>
      <c r="F672" s="89"/>
      <c r="G672" s="89"/>
      <c r="H672" s="89"/>
      <c r="I672" s="89"/>
      <c r="J672" s="89"/>
      <c r="K672" s="89"/>
      <c r="L672" s="89"/>
      <c r="M672" s="89"/>
      <c r="N672" s="89"/>
      <c r="O672" s="89"/>
      <c r="P672" s="89"/>
      <c r="Q672" s="89"/>
      <c r="R672" s="89"/>
      <c r="S672" s="89"/>
      <c r="T672" s="89"/>
      <c r="U672" s="89"/>
    </row>
    <row r="673">
      <c r="A673" s="89"/>
      <c r="B673" s="89"/>
      <c r="C673" s="91"/>
      <c r="D673" s="92"/>
      <c r="E673" s="89"/>
      <c r="F673" s="89"/>
      <c r="G673" s="89"/>
      <c r="H673" s="89"/>
      <c r="I673" s="89"/>
      <c r="J673" s="89"/>
      <c r="K673" s="89"/>
      <c r="L673" s="89"/>
      <c r="M673" s="89"/>
      <c r="N673" s="89"/>
      <c r="O673" s="89"/>
      <c r="P673" s="89"/>
      <c r="Q673" s="89"/>
      <c r="R673" s="89"/>
      <c r="S673" s="89"/>
      <c r="T673" s="89"/>
      <c r="U673" s="89"/>
    </row>
    <row r="674">
      <c r="A674" s="89"/>
      <c r="B674" s="89"/>
      <c r="C674" s="91"/>
      <c r="D674" s="92"/>
      <c r="E674" s="89"/>
      <c r="F674" s="89"/>
      <c r="G674" s="89"/>
      <c r="H674" s="89"/>
      <c r="I674" s="89"/>
      <c r="J674" s="89"/>
      <c r="K674" s="89"/>
      <c r="L674" s="89"/>
      <c r="M674" s="89"/>
      <c r="N674" s="89"/>
      <c r="O674" s="89"/>
      <c r="P674" s="89"/>
      <c r="Q674" s="89"/>
      <c r="R674" s="89"/>
      <c r="S674" s="89"/>
      <c r="T674" s="89"/>
      <c r="U674" s="89"/>
    </row>
    <row r="675">
      <c r="A675" s="89"/>
      <c r="B675" s="89"/>
      <c r="C675" s="91"/>
      <c r="D675" s="92"/>
      <c r="E675" s="89"/>
      <c r="F675" s="89"/>
      <c r="G675" s="89"/>
      <c r="H675" s="89"/>
      <c r="I675" s="89"/>
      <c r="J675" s="89"/>
      <c r="K675" s="89"/>
      <c r="L675" s="89"/>
      <c r="M675" s="89"/>
      <c r="N675" s="89"/>
      <c r="O675" s="89"/>
      <c r="P675" s="89"/>
      <c r="Q675" s="89"/>
      <c r="R675" s="89"/>
      <c r="S675" s="89"/>
      <c r="T675" s="89"/>
      <c r="U675" s="89"/>
    </row>
    <row r="676">
      <c r="A676" s="89"/>
      <c r="B676" s="89"/>
      <c r="C676" s="91"/>
      <c r="D676" s="92"/>
      <c r="E676" s="89"/>
      <c r="F676" s="89"/>
      <c r="G676" s="89"/>
      <c r="H676" s="89"/>
      <c r="I676" s="89"/>
      <c r="J676" s="89"/>
      <c r="K676" s="89"/>
      <c r="L676" s="89"/>
      <c r="M676" s="89"/>
      <c r="N676" s="89"/>
      <c r="O676" s="89"/>
      <c r="P676" s="89"/>
      <c r="Q676" s="89"/>
      <c r="R676" s="89"/>
      <c r="S676" s="89"/>
      <c r="T676" s="89"/>
      <c r="U676" s="89"/>
    </row>
    <row r="677">
      <c r="A677" s="89"/>
      <c r="B677" s="89"/>
      <c r="C677" s="91"/>
      <c r="D677" s="92"/>
      <c r="E677" s="89"/>
      <c r="F677" s="89"/>
      <c r="G677" s="89"/>
      <c r="H677" s="89"/>
      <c r="I677" s="89"/>
      <c r="J677" s="89"/>
      <c r="K677" s="89"/>
      <c r="L677" s="89"/>
      <c r="M677" s="89"/>
      <c r="N677" s="89"/>
      <c r="O677" s="89"/>
      <c r="P677" s="89"/>
      <c r="Q677" s="89"/>
      <c r="R677" s="89"/>
      <c r="S677" s="89"/>
      <c r="T677" s="89"/>
      <c r="U677" s="89"/>
    </row>
    <row r="678">
      <c r="A678" s="89"/>
      <c r="B678" s="89"/>
      <c r="C678" s="91"/>
      <c r="D678" s="92"/>
      <c r="E678" s="89"/>
      <c r="F678" s="89"/>
      <c r="G678" s="89"/>
      <c r="H678" s="89"/>
      <c r="I678" s="89"/>
      <c r="J678" s="89"/>
      <c r="K678" s="89"/>
      <c r="L678" s="89"/>
      <c r="M678" s="89"/>
      <c r="N678" s="89"/>
      <c r="O678" s="89"/>
      <c r="P678" s="89"/>
      <c r="Q678" s="89"/>
      <c r="R678" s="89"/>
      <c r="S678" s="89"/>
      <c r="T678" s="89"/>
      <c r="U678" s="89"/>
    </row>
    <row r="679">
      <c r="A679" s="89"/>
      <c r="B679" s="89"/>
      <c r="C679" s="91"/>
      <c r="D679" s="92"/>
      <c r="E679" s="89"/>
      <c r="F679" s="89"/>
      <c r="G679" s="89"/>
      <c r="H679" s="89"/>
      <c r="I679" s="89"/>
      <c r="J679" s="89"/>
      <c r="K679" s="89"/>
      <c r="L679" s="89"/>
      <c r="M679" s="89"/>
      <c r="N679" s="89"/>
      <c r="O679" s="89"/>
      <c r="P679" s="89"/>
      <c r="Q679" s="89"/>
      <c r="R679" s="89"/>
      <c r="S679" s="89"/>
      <c r="T679" s="89"/>
      <c r="U679" s="89"/>
    </row>
    <row r="680">
      <c r="A680" s="89"/>
      <c r="B680" s="89"/>
      <c r="C680" s="91"/>
      <c r="D680" s="92"/>
      <c r="E680" s="89"/>
      <c r="F680" s="89"/>
      <c r="G680" s="89"/>
      <c r="H680" s="89"/>
      <c r="I680" s="89"/>
      <c r="J680" s="89"/>
      <c r="K680" s="89"/>
      <c r="L680" s="89"/>
      <c r="M680" s="89"/>
      <c r="N680" s="89"/>
      <c r="O680" s="89"/>
      <c r="P680" s="89"/>
      <c r="Q680" s="89"/>
      <c r="R680" s="89"/>
      <c r="S680" s="89"/>
      <c r="T680" s="89"/>
      <c r="U680" s="89"/>
    </row>
    <row r="681">
      <c r="A681" s="89"/>
      <c r="B681" s="89"/>
      <c r="C681" s="91"/>
      <c r="D681" s="92"/>
      <c r="E681" s="89"/>
      <c r="F681" s="89"/>
      <c r="G681" s="89"/>
      <c r="H681" s="89"/>
      <c r="I681" s="89"/>
      <c r="J681" s="89"/>
      <c r="K681" s="89"/>
      <c r="L681" s="89"/>
      <c r="M681" s="89"/>
      <c r="N681" s="89"/>
      <c r="O681" s="89"/>
      <c r="P681" s="89"/>
      <c r="Q681" s="89"/>
      <c r="R681" s="89"/>
      <c r="S681" s="89"/>
      <c r="T681" s="89"/>
      <c r="U681" s="89"/>
    </row>
    <row r="682">
      <c r="A682" s="89"/>
      <c r="B682" s="89"/>
      <c r="C682" s="91"/>
      <c r="D682" s="92"/>
      <c r="E682" s="89"/>
      <c r="F682" s="89"/>
      <c r="G682" s="89"/>
      <c r="H682" s="89"/>
      <c r="I682" s="89"/>
      <c r="J682" s="89"/>
      <c r="K682" s="89"/>
      <c r="L682" s="89"/>
      <c r="M682" s="89"/>
      <c r="N682" s="89"/>
      <c r="O682" s="89"/>
      <c r="P682" s="89"/>
      <c r="Q682" s="89"/>
      <c r="R682" s="89"/>
      <c r="S682" s="89"/>
      <c r="T682" s="89"/>
      <c r="U682" s="89"/>
    </row>
    <row r="683">
      <c r="A683" s="89"/>
      <c r="B683" s="89"/>
      <c r="C683" s="91"/>
      <c r="D683" s="92"/>
      <c r="E683" s="89"/>
      <c r="F683" s="89"/>
      <c r="G683" s="89"/>
      <c r="H683" s="89"/>
      <c r="I683" s="89"/>
      <c r="J683" s="89"/>
      <c r="K683" s="89"/>
      <c r="L683" s="89"/>
      <c r="M683" s="89"/>
      <c r="N683" s="89"/>
      <c r="O683" s="89"/>
      <c r="P683" s="89"/>
      <c r="Q683" s="89"/>
      <c r="R683" s="89"/>
      <c r="S683" s="89"/>
      <c r="T683" s="89"/>
      <c r="U683" s="89"/>
    </row>
    <row r="684">
      <c r="A684" s="89"/>
      <c r="B684" s="89"/>
      <c r="C684" s="91"/>
      <c r="D684" s="92"/>
      <c r="E684" s="89"/>
      <c r="F684" s="89"/>
      <c r="G684" s="89"/>
      <c r="H684" s="89"/>
      <c r="I684" s="89"/>
      <c r="J684" s="89"/>
      <c r="K684" s="89"/>
      <c r="L684" s="89"/>
      <c r="M684" s="89"/>
      <c r="N684" s="89"/>
      <c r="O684" s="89"/>
      <c r="P684" s="89"/>
      <c r="Q684" s="89"/>
      <c r="R684" s="89"/>
      <c r="S684" s="89"/>
      <c r="T684" s="89"/>
      <c r="U684" s="89"/>
    </row>
    <row r="685">
      <c r="A685" s="89"/>
      <c r="B685" s="89"/>
      <c r="C685" s="91"/>
      <c r="D685" s="92"/>
      <c r="E685" s="89"/>
      <c r="F685" s="89"/>
      <c r="G685" s="89"/>
      <c r="H685" s="89"/>
      <c r="I685" s="89"/>
      <c r="J685" s="89"/>
      <c r="K685" s="89"/>
      <c r="L685" s="89"/>
      <c r="M685" s="89"/>
      <c r="N685" s="89"/>
      <c r="O685" s="89"/>
      <c r="P685" s="89"/>
      <c r="Q685" s="89"/>
      <c r="R685" s="89"/>
      <c r="S685" s="89"/>
      <c r="T685" s="89"/>
      <c r="U685" s="89"/>
    </row>
    <row r="686">
      <c r="A686" s="89"/>
      <c r="B686" s="89"/>
      <c r="C686" s="91"/>
      <c r="D686" s="92"/>
      <c r="E686" s="89"/>
      <c r="F686" s="89"/>
      <c r="G686" s="89"/>
      <c r="H686" s="89"/>
      <c r="I686" s="89"/>
      <c r="J686" s="89"/>
      <c r="K686" s="89"/>
      <c r="L686" s="89"/>
      <c r="M686" s="89"/>
      <c r="N686" s="89"/>
      <c r="O686" s="89"/>
      <c r="P686" s="89"/>
      <c r="Q686" s="89"/>
      <c r="R686" s="89"/>
      <c r="S686" s="89"/>
      <c r="T686" s="89"/>
      <c r="U686" s="89"/>
    </row>
    <row r="687">
      <c r="A687" s="89"/>
      <c r="B687" s="89"/>
      <c r="C687" s="91"/>
      <c r="D687" s="92"/>
      <c r="E687" s="89"/>
      <c r="F687" s="89"/>
      <c r="G687" s="89"/>
      <c r="H687" s="89"/>
      <c r="I687" s="89"/>
      <c r="J687" s="89"/>
      <c r="K687" s="89"/>
      <c r="L687" s="89"/>
      <c r="M687" s="89"/>
      <c r="N687" s="89"/>
      <c r="O687" s="89"/>
      <c r="P687" s="89"/>
      <c r="Q687" s="89"/>
      <c r="R687" s="89"/>
      <c r="S687" s="89"/>
      <c r="T687" s="89"/>
      <c r="U687" s="89"/>
    </row>
    <row r="688">
      <c r="A688" s="89"/>
      <c r="B688" s="89"/>
      <c r="C688" s="91"/>
      <c r="D688" s="92"/>
      <c r="E688" s="89"/>
      <c r="F688" s="89"/>
      <c r="G688" s="89"/>
      <c r="H688" s="89"/>
      <c r="I688" s="89"/>
      <c r="J688" s="89"/>
      <c r="K688" s="89"/>
      <c r="L688" s="89"/>
      <c r="M688" s="89"/>
      <c r="N688" s="89"/>
      <c r="O688" s="89"/>
      <c r="P688" s="89"/>
      <c r="Q688" s="89"/>
      <c r="R688" s="89"/>
      <c r="S688" s="89"/>
      <c r="T688" s="89"/>
      <c r="U688" s="89"/>
    </row>
    <row r="689">
      <c r="A689" s="89"/>
      <c r="B689" s="89"/>
      <c r="C689" s="91"/>
      <c r="D689" s="92"/>
      <c r="E689" s="89"/>
      <c r="F689" s="89"/>
      <c r="G689" s="89"/>
      <c r="H689" s="89"/>
      <c r="I689" s="89"/>
      <c r="J689" s="89"/>
      <c r="K689" s="89"/>
      <c r="L689" s="89"/>
      <c r="M689" s="89"/>
      <c r="N689" s="89"/>
      <c r="O689" s="89"/>
      <c r="P689" s="89"/>
      <c r="Q689" s="89"/>
      <c r="R689" s="89"/>
      <c r="S689" s="89"/>
      <c r="T689" s="89"/>
      <c r="U689" s="89"/>
    </row>
    <row r="690">
      <c r="A690" s="89"/>
      <c r="B690" s="89"/>
      <c r="C690" s="91"/>
      <c r="D690" s="92"/>
      <c r="E690" s="89"/>
      <c r="F690" s="89"/>
      <c r="G690" s="89"/>
      <c r="H690" s="89"/>
      <c r="I690" s="89"/>
      <c r="J690" s="89"/>
      <c r="K690" s="89"/>
      <c r="L690" s="89"/>
      <c r="M690" s="89"/>
      <c r="N690" s="89"/>
      <c r="O690" s="89"/>
      <c r="P690" s="89"/>
      <c r="Q690" s="89"/>
      <c r="R690" s="89"/>
      <c r="S690" s="89"/>
      <c r="T690" s="89"/>
      <c r="U690" s="89"/>
    </row>
    <row r="691">
      <c r="A691" s="89"/>
      <c r="B691" s="89"/>
      <c r="C691" s="91"/>
      <c r="D691" s="92"/>
      <c r="E691" s="89"/>
      <c r="F691" s="89"/>
      <c r="G691" s="89"/>
      <c r="H691" s="89"/>
      <c r="I691" s="89"/>
      <c r="J691" s="89"/>
      <c r="K691" s="89"/>
      <c r="L691" s="89"/>
      <c r="M691" s="89"/>
      <c r="N691" s="89"/>
      <c r="O691" s="89"/>
      <c r="P691" s="89"/>
      <c r="Q691" s="89"/>
      <c r="R691" s="89"/>
      <c r="S691" s="89"/>
      <c r="T691" s="89"/>
      <c r="U691" s="89"/>
    </row>
    <row r="692">
      <c r="A692" s="89"/>
      <c r="B692" s="89"/>
      <c r="C692" s="91"/>
      <c r="D692" s="92"/>
      <c r="E692" s="89"/>
      <c r="F692" s="89"/>
      <c r="G692" s="89"/>
      <c r="H692" s="89"/>
      <c r="I692" s="89"/>
      <c r="J692" s="89"/>
      <c r="K692" s="89"/>
      <c r="L692" s="89"/>
      <c r="M692" s="89"/>
      <c r="N692" s="89"/>
      <c r="O692" s="89"/>
      <c r="P692" s="89"/>
      <c r="Q692" s="89"/>
      <c r="R692" s="89"/>
      <c r="S692" s="89"/>
      <c r="T692" s="89"/>
      <c r="U692" s="89"/>
    </row>
    <row r="693">
      <c r="A693" s="89"/>
      <c r="B693" s="89"/>
      <c r="C693" s="91"/>
      <c r="D693" s="92"/>
      <c r="E693" s="89"/>
      <c r="F693" s="89"/>
      <c r="G693" s="89"/>
      <c r="H693" s="89"/>
      <c r="I693" s="89"/>
      <c r="J693" s="89"/>
      <c r="K693" s="89"/>
      <c r="L693" s="89"/>
      <c r="M693" s="89"/>
      <c r="N693" s="89"/>
      <c r="O693" s="89"/>
      <c r="P693" s="89"/>
      <c r="Q693" s="89"/>
      <c r="R693" s="89"/>
      <c r="S693" s="89"/>
      <c r="T693" s="89"/>
      <c r="U693" s="89"/>
    </row>
    <row r="694">
      <c r="A694" s="89"/>
      <c r="B694" s="89"/>
      <c r="C694" s="91"/>
      <c r="D694" s="92"/>
      <c r="E694" s="89"/>
      <c r="F694" s="89"/>
      <c r="G694" s="89"/>
      <c r="H694" s="89"/>
      <c r="I694" s="89"/>
      <c r="J694" s="89"/>
      <c r="K694" s="89"/>
      <c r="L694" s="89"/>
      <c r="M694" s="89"/>
      <c r="N694" s="89"/>
      <c r="O694" s="89"/>
      <c r="P694" s="89"/>
      <c r="Q694" s="89"/>
      <c r="R694" s="89"/>
      <c r="S694" s="89"/>
      <c r="T694" s="89"/>
      <c r="U694" s="89"/>
    </row>
    <row r="695">
      <c r="A695" s="89"/>
      <c r="B695" s="89"/>
      <c r="C695" s="91"/>
      <c r="D695" s="92"/>
      <c r="E695" s="89"/>
      <c r="F695" s="89"/>
      <c r="G695" s="89"/>
      <c r="H695" s="89"/>
      <c r="I695" s="89"/>
      <c r="J695" s="89"/>
      <c r="K695" s="89"/>
      <c r="L695" s="89"/>
      <c r="M695" s="89"/>
      <c r="N695" s="89"/>
      <c r="O695" s="89"/>
      <c r="P695" s="89"/>
      <c r="Q695" s="89"/>
      <c r="R695" s="89"/>
      <c r="S695" s="89"/>
      <c r="T695" s="89"/>
      <c r="U695" s="89"/>
    </row>
    <row r="696">
      <c r="A696" s="89"/>
      <c r="B696" s="89"/>
      <c r="C696" s="91"/>
      <c r="D696" s="92"/>
      <c r="E696" s="89"/>
      <c r="F696" s="89"/>
      <c r="G696" s="89"/>
      <c r="H696" s="89"/>
      <c r="I696" s="89"/>
      <c r="J696" s="89"/>
      <c r="K696" s="89"/>
      <c r="L696" s="89"/>
      <c r="M696" s="89"/>
      <c r="N696" s="89"/>
      <c r="O696" s="89"/>
      <c r="P696" s="89"/>
      <c r="Q696" s="89"/>
      <c r="R696" s="89"/>
      <c r="S696" s="89"/>
      <c r="T696" s="89"/>
      <c r="U696" s="89"/>
    </row>
    <row r="697">
      <c r="A697" s="89"/>
      <c r="B697" s="89"/>
      <c r="C697" s="91"/>
      <c r="D697" s="92"/>
      <c r="E697" s="89"/>
      <c r="F697" s="89"/>
      <c r="G697" s="89"/>
      <c r="H697" s="89"/>
      <c r="I697" s="89"/>
      <c r="J697" s="89"/>
      <c r="K697" s="89"/>
      <c r="L697" s="89"/>
      <c r="M697" s="89"/>
      <c r="N697" s="89"/>
      <c r="O697" s="89"/>
      <c r="P697" s="89"/>
      <c r="Q697" s="89"/>
      <c r="R697" s="89"/>
      <c r="S697" s="89"/>
      <c r="T697" s="89"/>
      <c r="U697" s="89"/>
    </row>
    <row r="698">
      <c r="A698" s="89"/>
      <c r="B698" s="89"/>
      <c r="C698" s="91"/>
      <c r="D698" s="92"/>
      <c r="E698" s="89"/>
      <c r="F698" s="89"/>
      <c r="G698" s="89"/>
      <c r="H698" s="89"/>
      <c r="I698" s="89"/>
      <c r="J698" s="89"/>
      <c r="K698" s="89"/>
      <c r="L698" s="89"/>
      <c r="M698" s="89"/>
      <c r="N698" s="89"/>
      <c r="O698" s="89"/>
      <c r="P698" s="89"/>
      <c r="Q698" s="89"/>
      <c r="R698" s="89"/>
      <c r="S698" s="89"/>
      <c r="T698" s="89"/>
      <c r="U698" s="89"/>
    </row>
    <row r="699">
      <c r="A699" s="89"/>
      <c r="B699" s="89"/>
      <c r="C699" s="91"/>
      <c r="D699" s="92"/>
      <c r="E699" s="89"/>
      <c r="F699" s="89"/>
      <c r="G699" s="89"/>
      <c r="H699" s="89"/>
      <c r="I699" s="89"/>
      <c r="J699" s="89"/>
      <c r="K699" s="89"/>
      <c r="L699" s="89"/>
      <c r="M699" s="89"/>
      <c r="N699" s="89"/>
      <c r="O699" s="89"/>
      <c r="P699" s="89"/>
      <c r="Q699" s="89"/>
      <c r="R699" s="89"/>
      <c r="S699" s="89"/>
      <c r="T699" s="89"/>
      <c r="U699" s="89"/>
    </row>
    <row r="700">
      <c r="A700" s="89"/>
      <c r="B700" s="89"/>
      <c r="C700" s="91"/>
      <c r="D700" s="92"/>
      <c r="E700" s="89"/>
      <c r="F700" s="89"/>
      <c r="G700" s="89"/>
      <c r="H700" s="89"/>
      <c r="I700" s="89"/>
      <c r="J700" s="89"/>
      <c r="K700" s="89"/>
      <c r="L700" s="89"/>
      <c r="M700" s="89"/>
      <c r="N700" s="89"/>
      <c r="O700" s="89"/>
      <c r="P700" s="89"/>
      <c r="Q700" s="89"/>
      <c r="R700" s="89"/>
      <c r="S700" s="89"/>
      <c r="T700" s="89"/>
      <c r="U700" s="89"/>
    </row>
    <row r="701">
      <c r="A701" s="89"/>
      <c r="B701" s="89"/>
      <c r="C701" s="91"/>
      <c r="D701" s="92"/>
      <c r="E701" s="89"/>
      <c r="F701" s="89"/>
      <c r="G701" s="89"/>
      <c r="H701" s="89"/>
      <c r="I701" s="89"/>
      <c r="J701" s="89"/>
      <c r="K701" s="89"/>
      <c r="L701" s="89"/>
      <c r="M701" s="89"/>
      <c r="N701" s="89"/>
      <c r="O701" s="89"/>
      <c r="P701" s="89"/>
      <c r="Q701" s="89"/>
      <c r="R701" s="89"/>
      <c r="S701" s="89"/>
      <c r="T701" s="89"/>
      <c r="U701" s="89"/>
    </row>
    <row r="702">
      <c r="A702" s="89"/>
      <c r="B702" s="89"/>
      <c r="C702" s="91"/>
      <c r="D702" s="92"/>
      <c r="E702" s="89"/>
      <c r="F702" s="89"/>
      <c r="G702" s="89"/>
      <c r="H702" s="89"/>
      <c r="I702" s="89"/>
      <c r="J702" s="89"/>
      <c r="K702" s="89"/>
      <c r="L702" s="89"/>
      <c r="M702" s="89"/>
      <c r="N702" s="89"/>
      <c r="O702" s="89"/>
      <c r="P702" s="89"/>
      <c r="Q702" s="89"/>
      <c r="R702" s="89"/>
      <c r="S702" s="89"/>
      <c r="T702" s="89"/>
      <c r="U702" s="89"/>
    </row>
    <row r="703">
      <c r="A703" s="89"/>
      <c r="B703" s="89"/>
      <c r="C703" s="91"/>
      <c r="D703" s="92"/>
      <c r="E703" s="89"/>
      <c r="F703" s="89"/>
      <c r="G703" s="89"/>
      <c r="H703" s="89"/>
      <c r="I703" s="89"/>
      <c r="J703" s="89"/>
      <c r="K703" s="89"/>
      <c r="L703" s="89"/>
      <c r="M703" s="89"/>
      <c r="N703" s="89"/>
      <c r="O703" s="89"/>
      <c r="P703" s="89"/>
      <c r="Q703" s="89"/>
      <c r="R703" s="89"/>
      <c r="S703" s="89"/>
      <c r="T703" s="89"/>
      <c r="U703" s="89"/>
    </row>
    <row r="704">
      <c r="A704" s="89"/>
      <c r="B704" s="89"/>
      <c r="C704" s="91"/>
      <c r="D704" s="92"/>
      <c r="E704" s="89"/>
      <c r="F704" s="89"/>
      <c r="G704" s="89"/>
      <c r="H704" s="89"/>
      <c r="I704" s="89"/>
      <c r="J704" s="89"/>
      <c r="K704" s="89"/>
      <c r="L704" s="89"/>
      <c r="M704" s="89"/>
      <c r="N704" s="89"/>
      <c r="O704" s="89"/>
      <c r="P704" s="89"/>
      <c r="Q704" s="89"/>
      <c r="R704" s="89"/>
      <c r="S704" s="89"/>
      <c r="T704" s="89"/>
      <c r="U704" s="89"/>
    </row>
    <row r="705">
      <c r="A705" s="89"/>
      <c r="B705" s="89"/>
      <c r="C705" s="91"/>
      <c r="D705" s="92"/>
      <c r="E705" s="89"/>
      <c r="F705" s="89"/>
      <c r="G705" s="89"/>
      <c r="H705" s="89"/>
      <c r="I705" s="89"/>
      <c r="J705" s="89"/>
      <c r="K705" s="89"/>
      <c r="L705" s="89"/>
      <c r="M705" s="89"/>
      <c r="N705" s="89"/>
      <c r="O705" s="89"/>
      <c r="P705" s="89"/>
      <c r="Q705" s="89"/>
      <c r="R705" s="89"/>
      <c r="S705" s="89"/>
      <c r="T705" s="89"/>
      <c r="U705" s="89"/>
    </row>
    <row r="706">
      <c r="A706" s="89"/>
      <c r="B706" s="89"/>
      <c r="C706" s="91"/>
      <c r="D706" s="92"/>
      <c r="E706" s="89"/>
      <c r="F706" s="89"/>
      <c r="G706" s="89"/>
      <c r="H706" s="89"/>
      <c r="I706" s="89"/>
      <c r="J706" s="89"/>
      <c r="K706" s="89"/>
      <c r="L706" s="89"/>
      <c r="M706" s="89"/>
      <c r="N706" s="89"/>
      <c r="O706" s="89"/>
      <c r="P706" s="89"/>
      <c r="Q706" s="89"/>
      <c r="R706" s="89"/>
      <c r="S706" s="89"/>
      <c r="T706" s="89"/>
      <c r="U706" s="89"/>
    </row>
    <row r="707">
      <c r="A707" s="89"/>
      <c r="B707" s="89"/>
      <c r="C707" s="91"/>
      <c r="D707" s="92"/>
      <c r="E707" s="89"/>
      <c r="F707" s="89"/>
      <c r="G707" s="89"/>
      <c r="H707" s="89"/>
      <c r="I707" s="89"/>
      <c r="J707" s="89"/>
      <c r="K707" s="89"/>
      <c r="L707" s="89"/>
      <c r="M707" s="89"/>
      <c r="N707" s="89"/>
      <c r="O707" s="89"/>
      <c r="P707" s="89"/>
      <c r="Q707" s="89"/>
      <c r="R707" s="89"/>
      <c r="S707" s="89"/>
      <c r="T707" s="89"/>
      <c r="U707" s="89"/>
    </row>
    <row r="708">
      <c r="A708" s="89"/>
      <c r="B708" s="89"/>
      <c r="C708" s="91"/>
      <c r="D708" s="92"/>
      <c r="E708" s="89"/>
      <c r="F708" s="89"/>
      <c r="G708" s="89"/>
      <c r="H708" s="89"/>
      <c r="I708" s="89"/>
      <c r="J708" s="89"/>
      <c r="K708" s="89"/>
      <c r="L708" s="89"/>
      <c r="M708" s="89"/>
      <c r="N708" s="89"/>
      <c r="O708" s="89"/>
      <c r="P708" s="89"/>
      <c r="Q708" s="89"/>
      <c r="R708" s="89"/>
      <c r="S708" s="89"/>
      <c r="T708" s="89"/>
      <c r="U708" s="89"/>
    </row>
    <row r="709">
      <c r="A709" s="89"/>
      <c r="B709" s="89"/>
      <c r="C709" s="91"/>
      <c r="D709" s="92"/>
      <c r="E709" s="89"/>
      <c r="F709" s="89"/>
      <c r="G709" s="89"/>
      <c r="H709" s="89"/>
      <c r="I709" s="89"/>
      <c r="J709" s="89"/>
      <c r="K709" s="89"/>
      <c r="L709" s="89"/>
      <c r="M709" s="89"/>
      <c r="N709" s="89"/>
      <c r="O709" s="89"/>
      <c r="P709" s="89"/>
      <c r="Q709" s="89"/>
      <c r="R709" s="89"/>
      <c r="S709" s="89"/>
      <c r="T709" s="89"/>
      <c r="U709" s="89"/>
    </row>
    <row r="710">
      <c r="A710" s="89"/>
      <c r="B710" s="89"/>
      <c r="C710" s="91"/>
      <c r="D710" s="92"/>
      <c r="E710" s="89"/>
      <c r="F710" s="89"/>
      <c r="G710" s="89"/>
      <c r="H710" s="89"/>
      <c r="I710" s="89"/>
      <c r="J710" s="89"/>
      <c r="K710" s="89"/>
      <c r="L710" s="89"/>
      <c r="M710" s="89"/>
      <c r="N710" s="89"/>
      <c r="O710" s="89"/>
      <c r="P710" s="89"/>
      <c r="Q710" s="89"/>
      <c r="R710" s="89"/>
      <c r="S710" s="89"/>
      <c r="T710" s="89"/>
      <c r="U710" s="89"/>
    </row>
    <row r="711">
      <c r="A711" s="89"/>
      <c r="B711" s="89"/>
      <c r="C711" s="91"/>
      <c r="D711" s="92"/>
      <c r="E711" s="89"/>
      <c r="F711" s="89"/>
      <c r="G711" s="89"/>
      <c r="H711" s="89"/>
      <c r="I711" s="89"/>
      <c r="J711" s="89"/>
      <c r="K711" s="89"/>
      <c r="L711" s="89"/>
      <c r="M711" s="89"/>
      <c r="N711" s="89"/>
      <c r="O711" s="89"/>
      <c r="P711" s="89"/>
      <c r="Q711" s="89"/>
      <c r="R711" s="89"/>
      <c r="S711" s="89"/>
      <c r="T711" s="89"/>
      <c r="U711" s="89"/>
    </row>
    <row r="712">
      <c r="A712" s="89"/>
      <c r="B712" s="89"/>
      <c r="C712" s="91"/>
      <c r="D712" s="92"/>
      <c r="E712" s="89"/>
      <c r="F712" s="89"/>
      <c r="G712" s="89"/>
      <c r="H712" s="89"/>
      <c r="I712" s="89"/>
      <c r="J712" s="89"/>
      <c r="K712" s="89"/>
      <c r="L712" s="89"/>
      <c r="M712" s="89"/>
      <c r="N712" s="89"/>
      <c r="O712" s="89"/>
      <c r="P712" s="89"/>
      <c r="Q712" s="89"/>
      <c r="R712" s="89"/>
      <c r="S712" s="89"/>
      <c r="T712" s="89"/>
      <c r="U712" s="89"/>
    </row>
    <row r="713">
      <c r="A713" s="89"/>
      <c r="B713" s="89"/>
      <c r="C713" s="91"/>
      <c r="D713" s="92"/>
      <c r="E713" s="89"/>
      <c r="F713" s="89"/>
      <c r="G713" s="89"/>
      <c r="H713" s="89"/>
      <c r="I713" s="89"/>
      <c r="J713" s="89"/>
      <c r="K713" s="89"/>
      <c r="L713" s="89"/>
      <c r="M713" s="89"/>
      <c r="N713" s="89"/>
      <c r="O713" s="89"/>
      <c r="P713" s="89"/>
      <c r="Q713" s="89"/>
      <c r="R713" s="89"/>
      <c r="S713" s="89"/>
      <c r="T713" s="89"/>
      <c r="U713" s="89"/>
    </row>
    <row r="714">
      <c r="A714" s="89"/>
      <c r="B714" s="89"/>
      <c r="C714" s="91"/>
      <c r="D714" s="92"/>
      <c r="E714" s="89"/>
      <c r="F714" s="89"/>
      <c r="G714" s="89"/>
      <c r="H714" s="89"/>
      <c r="I714" s="89"/>
      <c r="J714" s="89"/>
      <c r="K714" s="89"/>
      <c r="L714" s="89"/>
      <c r="M714" s="89"/>
      <c r="N714" s="89"/>
      <c r="O714" s="89"/>
      <c r="P714" s="89"/>
      <c r="Q714" s="89"/>
      <c r="R714" s="89"/>
      <c r="S714" s="89"/>
      <c r="T714" s="89"/>
      <c r="U714" s="89"/>
    </row>
    <row r="715">
      <c r="A715" s="89"/>
      <c r="B715" s="89"/>
      <c r="C715" s="91"/>
      <c r="D715" s="92"/>
      <c r="E715" s="89"/>
      <c r="F715" s="89"/>
      <c r="G715" s="89"/>
      <c r="H715" s="89"/>
      <c r="I715" s="89"/>
      <c r="J715" s="89"/>
      <c r="K715" s="89"/>
      <c r="L715" s="89"/>
      <c r="M715" s="89"/>
      <c r="N715" s="89"/>
      <c r="O715" s="89"/>
      <c r="P715" s="89"/>
      <c r="Q715" s="89"/>
      <c r="R715" s="89"/>
      <c r="S715" s="89"/>
      <c r="T715" s="89"/>
      <c r="U715" s="89"/>
    </row>
    <row r="716">
      <c r="A716" s="89"/>
      <c r="B716" s="89"/>
      <c r="C716" s="91"/>
      <c r="D716" s="92"/>
      <c r="E716" s="89"/>
      <c r="F716" s="89"/>
      <c r="G716" s="89"/>
      <c r="H716" s="89"/>
      <c r="I716" s="89"/>
      <c r="J716" s="89"/>
      <c r="K716" s="89"/>
      <c r="L716" s="89"/>
      <c r="M716" s="89"/>
      <c r="N716" s="89"/>
      <c r="O716" s="89"/>
      <c r="P716" s="89"/>
      <c r="Q716" s="89"/>
      <c r="R716" s="89"/>
      <c r="S716" s="89"/>
      <c r="T716" s="89"/>
      <c r="U716" s="89"/>
    </row>
    <row r="717">
      <c r="A717" s="89"/>
      <c r="B717" s="89"/>
      <c r="C717" s="91"/>
      <c r="D717" s="92"/>
      <c r="E717" s="89"/>
      <c r="F717" s="89"/>
      <c r="G717" s="89"/>
      <c r="H717" s="89"/>
      <c r="I717" s="89"/>
      <c r="J717" s="89"/>
      <c r="K717" s="89"/>
      <c r="L717" s="89"/>
      <c r="M717" s="89"/>
      <c r="N717" s="89"/>
      <c r="O717" s="89"/>
      <c r="P717" s="89"/>
      <c r="Q717" s="89"/>
      <c r="R717" s="89"/>
      <c r="S717" s="89"/>
      <c r="T717" s="89"/>
      <c r="U717" s="89"/>
    </row>
    <row r="718">
      <c r="A718" s="89"/>
      <c r="B718" s="89"/>
      <c r="C718" s="91"/>
      <c r="D718" s="92"/>
      <c r="E718" s="89"/>
      <c r="F718" s="89"/>
      <c r="G718" s="89"/>
      <c r="H718" s="89"/>
      <c r="I718" s="89"/>
      <c r="J718" s="89"/>
      <c r="K718" s="89"/>
      <c r="L718" s="89"/>
      <c r="M718" s="89"/>
      <c r="N718" s="89"/>
      <c r="O718" s="89"/>
      <c r="P718" s="89"/>
      <c r="Q718" s="89"/>
      <c r="R718" s="89"/>
      <c r="S718" s="89"/>
      <c r="T718" s="89"/>
      <c r="U718" s="89"/>
    </row>
    <row r="719">
      <c r="A719" s="89"/>
      <c r="B719" s="89"/>
      <c r="C719" s="91"/>
      <c r="D719" s="92"/>
      <c r="E719" s="89"/>
      <c r="F719" s="89"/>
      <c r="G719" s="89"/>
      <c r="H719" s="89"/>
      <c r="I719" s="89"/>
      <c r="J719" s="89"/>
      <c r="K719" s="89"/>
      <c r="L719" s="89"/>
      <c r="M719" s="89"/>
      <c r="N719" s="89"/>
      <c r="O719" s="89"/>
      <c r="P719" s="89"/>
      <c r="Q719" s="89"/>
      <c r="R719" s="89"/>
      <c r="S719" s="89"/>
      <c r="T719" s="89"/>
      <c r="U719" s="89"/>
    </row>
    <row r="720">
      <c r="A720" s="89"/>
      <c r="B720" s="89"/>
      <c r="C720" s="91"/>
      <c r="D720" s="92"/>
      <c r="E720" s="89"/>
      <c r="F720" s="89"/>
      <c r="G720" s="89"/>
      <c r="H720" s="89"/>
      <c r="I720" s="89"/>
      <c r="J720" s="89"/>
      <c r="K720" s="89"/>
      <c r="L720" s="89"/>
      <c r="M720" s="89"/>
      <c r="N720" s="89"/>
      <c r="O720" s="89"/>
      <c r="P720" s="89"/>
      <c r="Q720" s="89"/>
      <c r="R720" s="89"/>
      <c r="S720" s="89"/>
      <c r="T720" s="89"/>
      <c r="U720" s="89"/>
    </row>
    <row r="721">
      <c r="A721" s="89"/>
      <c r="B721" s="89"/>
      <c r="C721" s="91"/>
      <c r="D721" s="92"/>
      <c r="E721" s="89"/>
      <c r="F721" s="89"/>
      <c r="G721" s="89"/>
      <c r="H721" s="89"/>
      <c r="I721" s="89"/>
      <c r="J721" s="89"/>
      <c r="K721" s="89"/>
      <c r="L721" s="89"/>
      <c r="M721" s="89"/>
      <c r="N721" s="89"/>
      <c r="O721" s="89"/>
      <c r="P721" s="89"/>
      <c r="Q721" s="89"/>
      <c r="R721" s="89"/>
      <c r="S721" s="89"/>
      <c r="T721" s="89"/>
      <c r="U721" s="89"/>
    </row>
    <row r="722">
      <c r="A722" s="89"/>
      <c r="B722" s="89"/>
      <c r="C722" s="91"/>
      <c r="D722" s="92"/>
      <c r="E722" s="89"/>
      <c r="F722" s="89"/>
      <c r="G722" s="89"/>
      <c r="H722" s="89"/>
      <c r="I722" s="89"/>
      <c r="J722" s="89"/>
      <c r="K722" s="89"/>
      <c r="L722" s="89"/>
      <c r="M722" s="89"/>
      <c r="N722" s="89"/>
      <c r="O722" s="89"/>
      <c r="P722" s="89"/>
      <c r="Q722" s="89"/>
      <c r="R722" s="89"/>
      <c r="S722" s="89"/>
      <c r="T722" s="89"/>
      <c r="U722" s="89"/>
    </row>
    <row r="723">
      <c r="A723" s="89"/>
      <c r="B723" s="89"/>
      <c r="C723" s="91"/>
      <c r="D723" s="92"/>
      <c r="E723" s="89"/>
      <c r="F723" s="89"/>
      <c r="G723" s="89"/>
      <c r="H723" s="89"/>
      <c r="I723" s="89"/>
      <c r="J723" s="89"/>
      <c r="K723" s="89"/>
      <c r="L723" s="89"/>
      <c r="M723" s="89"/>
      <c r="N723" s="89"/>
      <c r="O723" s="89"/>
      <c r="P723" s="89"/>
      <c r="Q723" s="89"/>
      <c r="R723" s="89"/>
      <c r="S723" s="89"/>
      <c r="T723" s="89"/>
      <c r="U723" s="89"/>
    </row>
    <row r="724">
      <c r="A724" s="89"/>
      <c r="B724" s="89"/>
      <c r="C724" s="91"/>
      <c r="D724" s="92"/>
      <c r="E724" s="89"/>
      <c r="F724" s="89"/>
      <c r="G724" s="89"/>
      <c r="H724" s="89"/>
      <c r="I724" s="89"/>
      <c r="J724" s="89"/>
      <c r="K724" s="89"/>
      <c r="L724" s="89"/>
      <c r="M724" s="89"/>
      <c r="N724" s="89"/>
      <c r="O724" s="89"/>
      <c r="P724" s="89"/>
      <c r="Q724" s="89"/>
      <c r="R724" s="89"/>
      <c r="S724" s="89"/>
      <c r="T724" s="89"/>
      <c r="U724" s="89"/>
    </row>
    <row r="725">
      <c r="A725" s="89"/>
      <c r="B725" s="89"/>
      <c r="C725" s="91"/>
      <c r="D725" s="92"/>
      <c r="E725" s="89"/>
      <c r="F725" s="89"/>
      <c r="G725" s="89"/>
      <c r="H725" s="89"/>
      <c r="I725" s="89"/>
      <c r="J725" s="89"/>
      <c r="K725" s="89"/>
      <c r="L725" s="89"/>
      <c r="M725" s="89"/>
      <c r="N725" s="89"/>
      <c r="O725" s="89"/>
      <c r="P725" s="89"/>
      <c r="Q725" s="89"/>
      <c r="R725" s="89"/>
      <c r="S725" s="89"/>
      <c r="T725" s="89"/>
      <c r="U725" s="89"/>
    </row>
    <row r="726">
      <c r="A726" s="89"/>
      <c r="B726" s="89"/>
      <c r="C726" s="91"/>
      <c r="D726" s="92"/>
      <c r="E726" s="89"/>
      <c r="F726" s="89"/>
      <c r="G726" s="89"/>
      <c r="H726" s="89"/>
      <c r="I726" s="89"/>
      <c r="J726" s="89"/>
      <c r="K726" s="89"/>
      <c r="L726" s="89"/>
      <c r="M726" s="89"/>
      <c r="N726" s="89"/>
      <c r="O726" s="89"/>
      <c r="P726" s="89"/>
      <c r="Q726" s="89"/>
      <c r="R726" s="89"/>
      <c r="S726" s="89"/>
      <c r="T726" s="89"/>
      <c r="U726" s="89"/>
    </row>
    <row r="727">
      <c r="A727" s="89"/>
      <c r="B727" s="89"/>
      <c r="C727" s="91"/>
      <c r="D727" s="92"/>
      <c r="E727" s="89"/>
      <c r="F727" s="89"/>
      <c r="G727" s="89"/>
      <c r="H727" s="89"/>
      <c r="I727" s="89"/>
      <c r="J727" s="89"/>
      <c r="K727" s="89"/>
      <c r="L727" s="89"/>
      <c r="M727" s="89"/>
      <c r="N727" s="89"/>
      <c r="O727" s="89"/>
      <c r="P727" s="89"/>
      <c r="Q727" s="89"/>
      <c r="R727" s="89"/>
      <c r="S727" s="89"/>
      <c r="T727" s="89"/>
      <c r="U727" s="89"/>
    </row>
    <row r="728">
      <c r="A728" s="89"/>
      <c r="B728" s="89"/>
      <c r="C728" s="91"/>
      <c r="D728" s="92"/>
      <c r="E728" s="89"/>
      <c r="F728" s="89"/>
      <c r="G728" s="89"/>
      <c r="H728" s="89"/>
      <c r="I728" s="89"/>
      <c r="J728" s="89"/>
      <c r="K728" s="89"/>
      <c r="L728" s="89"/>
      <c r="M728" s="89"/>
      <c r="N728" s="89"/>
      <c r="O728" s="89"/>
      <c r="P728" s="89"/>
      <c r="Q728" s="89"/>
      <c r="R728" s="89"/>
      <c r="S728" s="89"/>
      <c r="T728" s="89"/>
      <c r="U728" s="89"/>
    </row>
    <row r="729">
      <c r="A729" s="89"/>
      <c r="B729" s="89"/>
      <c r="C729" s="91"/>
      <c r="D729" s="92"/>
      <c r="E729" s="89"/>
      <c r="F729" s="89"/>
      <c r="G729" s="89"/>
      <c r="H729" s="89"/>
      <c r="I729" s="89"/>
      <c r="J729" s="89"/>
      <c r="K729" s="89"/>
      <c r="L729" s="89"/>
      <c r="M729" s="89"/>
      <c r="N729" s="89"/>
      <c r="O729" s="89"/>
      <c r="P729" s="89"/>
      <c r="Q729" s="89"/>
      <c r="R729" s="89"/>
      <c r="S729" s="89"/>
      <c r="T729" s="89"/>
      <c r="U729" s="89"/>
    </row>
    <row r="730">
      <c r="A730" s="89"/>
      <c r="B730" s="89"/>
      <c r="C730" s="91"/>
      <c r="D730" s="92"/>
      <c r="E730" s="89"/>
      <c r="F730" s="89"/>
      <c r="G730" s="89"/>
      <c r="H730" s="89"/>
      <c r="I730" s="89"/>
      <c r="J730" s="89"/>
      <c r="K730" s="89"/>
      <c r="L730" s="89"/>
      <c r="M730" s="89"/>
      <c r="N730" s="89"/>
      <c r="O730" s="89"/>
      <c r="P730" s="89"/>
      <c r="Q730" s="89"/>
      <c r="R730" s="89"/>
      <c r="S730" s="89"/>
      <c r="T730" s="89"/>
      <c r="U730" s="89"/>
    </row>
    <row r="731">
      <c r="A731" s="89"/>
      <c r="B731" s="89"/>
      <c r="C731" s="91"/>
      <c r="D731" s="92"/>
      <c r="E731" s="89"/>
      <c r="F731" s="89"/>
      <c r="G731" s="89"/>
      <c r="H731" s="89"/>
      <c r="I731" s="89"/>
      <c r="J731" s="89"/>
      <c r="K731" s="89"/>
      <c r="L731" s="89"/>
      <c r="M731" s="89"/>
      <c r="N731" s="89"/>
      <c r="O731" s="89"/>
      <c r="P731" s="89"/>
      <c r="Q731" s="89"/>
      <c r="R731" s="89"/>
      <c r="S731" s="89"/>
      <c r="T731" s="89"/>
      <c r="U731" s="89"/>
    </row>
    <row r="732">
      <c r="A732" s="89"/>
      <c r="B732" s="89"/>
      <c r="C732" s="91"/>
      <c r="D732" s="92"/>
      <c r="E732" s="89"/>
      <c r="F732" s="89"/>
      <c r="G732" s="89"/>
      <c r="H732" s="89"/>
      <c r="I732" s="89"/>
      <c r="J732" s="89"/>
      <c r="K732" s="89"/>
      <c r="L732" s="89"/>
      <c r="M732" s="89"/>
      <c r="N732" s="89"/>
      <c r="O732" s="89"/>
      <c r="P732" s="89"/>
      <c r="Q732" s="89"/>
      <c r="R732" s="89"/>
      <c r="S732" s="89"/>
      <c r="T732" s="89"/>
      <c r="U732" s="89"/>
    </row>
    <row r="733">
      <c r="A733" s="89"/>
      <c r="B733" s="89"/>
      <c r="C733" s="91"/>
      <c r="D733" s="92"/>
      <c r="E733" s="89"/>
      <c r="F733" s="89"/>
      <c r="G733" s="89"/>
      <c r="H733" s="89"/>
      <c r="I733" s="89"/>
      <c r="J733" s="89"/>
      <c r="K733" s="89"/>
      <c r="L733" s="89"/>
      <c r="M733" s="89"/>
      <c r="N733" s="89"/>
      <c r="O733" s="89"/>
      <c r="P733" s="89"/>
      <c r="Q733" s="89"/>
      <c r="R733" s="89"/>
      <c r="S733" s="89"/>
      <c r="T733" s="89"/>
      <c r="U733" s="89"/>
    </row>
    <row r="734">
      <c r="A734" s="89"/>
      <c r="B734" s="89"/>
      <c r="C734" s="91"/>
      <c r="D734" s="92"/>
      <c r="E734" s="89"/>
      <c r="F734" s="89"/>
      <c r="G734" s="89"/>
      <c r="H734" s="89"/>
      <c r="I734" s="89"/>
      <c r="J734" s="89"/>
      <c r="K734" s="89"/>
      <c r="L734" s="89"/>
      <c r="M734" s="89"/>
      <c r="N734" s="89"/>
      <c r="O734" s="89"/>
      <c r="P734" s="89"/>
      <c r="Q734" s="89"/>
      <c r="R734" s="89"/>
      <c r="S734" s="89"/>
      <c r="T734" s="89"/>
      <c r="U734" s="89"/>
    </row>
    <row r="735">
      <c r="A735" s="89"/>
      <c r="B735" s="89"/>
      <c r="C735" s="91"/>
      <c r="D735" s="92"/>
      <c r="E735" s="89"/>
      <c r="F735" s="89"/>
      <c r="G735" s="89"/>
      <c r="H735" s="89"/>
      <c r="I735" s="89"/>
      <c r="J735" s="89"/>
      <c r="K735" s="89"/>
      <c r="L735" s="89"/>
      <c r="M735" s="89"/>
      <c r="N735" s="89"/>
      <c r="O735" s="89"/>
      <c r="P735" s="89"/>
      <c r="Q735" s="89"/>
      <c r="R735" s="89"/>
      <c r="S735" s="89"/>
      <c r="T735" s="89"/>
      <c r="U735" s="89"/>
    </row>
    <row r="736">
      <c r="A736" s="89"/>
      <c r="B736" s="89"/>
      <c r="C736" s="91"/>
      <c r="D736" s="92"/>
      <c r="E736" s="89"/>
      <c r="F736" s="89"/>
      <c r="G736" s="89"/>
      <c r="H736" s="89"/>
      <c r="I736" s="89"/>
      <c r="J736" s="89"/>
      <c r="K736" s="89"/>
      <c r="L736" s="89"/>
      <c r="M736" s="89"/>
      <c r="N736" s="89"/>
      <c r="O736" s="89"/>
      <c r="P736" s="89"/>
      <c r="Q736" s="89"/>
      <c r="R736" s="89"/>
      <c r="S736" s="89"/>
      <c r="T736" s="89"/>
      <c r="U736" s="89"/>
    </row>
    <row r="737">
      <c r="A737" s="89"/>
      <c r="B737" s="89"/>
      <c r="C737" s="91"/>
      <c r="D737" s="92"/>
      <c r="E737" s="89"/>
      <c r="F737" s="89"/>
      <c r="G737" s="89"/>
      <c r="H737" s="89"/>
      <c r="I737" s="89"/>
      <c r="J737" s="89"/>
      <c r="K737" s="89"/>
      <c r="L737" s="89"/>
      <c r="M737" s="89"/>
      <c r="N737" s="89"/>
      <c r="O737" s="89"/>
      <c r="P737" s="89"/>
      <c r="Q737" s="89"/>
      <c r="R737" s="89"/>
      <c r="S737" s="89"/>
      <c r="T737" s="89"/>
      <c r="U737" s="89"/>
    </row>
    <row r="738">
      <c r="A738" s="89"/>
      <c r="B738" s="89"/>
      <c r="C738" s="91"/>
      <c r="D738" s="92"/>
      <c r="E738" s="89"/>
      <c r="F738" s="89"/>
      <c r="G738" s="89"/>
      <c r="H738" s="89"/>
      <c r="I738" s="89"/>
      <c r="J738" s="89"/>
      <c r="K738" s="89"/>
      <c r="L738" s="89"/>
      <c r="M738" s="89"/>
      <c r="N738" s="89"/>
      <c r="O738" s="89"/>
      <c r="P738" s="89"/>
      <c r="Q738" s="89"/>
      <c r="R738" s="89"/>
      <c r="S738" s="89"/>
      <c r="T738" s="89"/>
      <c r="U738" s="89"/>
    </row>
    <row r="739">
      <c r="A739" s="89"/>
      <c r="B739" s="89"/>
      <c r="C739" s="91"/>
      <c r="D739" s="92"/>
      <c r="E739" s="89"/>
      <c r="F739" s="89"/>
      <c r="G739" s="89"/>
      <c r="H739" s="89"/>
      <c r="I739" s="89"/>
      <c r="J739" s="89"/>
      <c r="K739" s="89"/>
      <c r="L739" s="89"/>
      <c r="M739" s="89"/>
      <c r="N739" s="89"/>
      <c r="O739" s="89"/>
      <c r="P739" s="89"/>
      <c r="Q739" s="89"/>
      <c r="R739" s="89"/>
      <c r="S739" s="89"/>
      <c r="T739" s="89"/>
      <c r="U739" s="89"/>
    </row>
    <row r="740">
      <c r="A740" s="89"/>
      <c r="B740" s="89"/>
      <c r="C740" s="91"/>
      <c r="D740" s="92"/>
      <c r="E740" s="89"/>
      <c r="F740" s="89"/>
      <c r="G740" s="89"/>
      <c r="H740" s="89"/>
      <c r="I740" s="89"/>
      <c r="J740" s="89"/>
      <c r="K740" s="89"/>
      <c r="L740" s="89"/>
      <c r="M740" s="89"/>
      <c r="N740" s="89"/>
      <c r="O740" s="89"/>
      <c r="P740" s="89"/>
      <c r="Q740" s="89"/>
      <c r="R740" s="89"/>
      <c r="S740" s="89"/>
      <c r="T740" s="89"/>
      <c r="U740" s="89"/>
    </row>
    <row r="741">
      <c r="A741" s="89"/>
      <c r="B741" s="89"/>
      <c r="C741" s="91"/>
      <c r="D741" s="92"/>
      <c r="E741" s="89"/>
      <c r="F741" s="89"/>
      <c r="G741" s="89"/>
      <c r="H741" s="89"/>
      <c r="I741" s="89"/>
      <c r="J741" s="89"/>
      <c r="K741" s="89"/>
      <c r="L741" s="89"/>
      <c r="M741" s="89"/>
      <c r="N741" s="89"/>
      <c r="O741" s="89"/>
      <c r="P741" s="89"/>
      <c r="Q741" s="89"/>
      <c r="R741" s="89"/>
      <c r="S741" s="89"/>
      <c r="T741" s="89"/>
      <c r="U741" s="89"/>
    </row>
    <row r="742">
      <c r="A742" s="89"/>
      <c r="B742" s="89"/>
      <c r="C742" s="91"/>
      <c r="D742" s="92"/>
      <c r="E742" s="89"/>
      <c r="F742" s="89"/>
      <c r="G742" s="89"/>
      <c r="H742" s="89"/>
      <c r="I742" s="89"/>
      <c r="J742" s="89"/>
      <c r="K742" s="89"/>
      <c r="L742" s="89"/>
      <c r="M742" s="89"/>
      <c r="N742" s="89"/>
      <c r="O742" s="89"/>
      <c r="P742" s="89"/>
      <c r="Q742" s="89"/>
      <c r="R742" s="89"/>
      <c r="S742" s="89"/>
      <c r="T742" s="89"/>
      <c r="U742" s="89"/>
    </row>
    <row r="743">
      <c r="A743" s="89"/>
      <c r="B743" s="89"/>
      <c r="C743" s="91"/>
      <c r="D743" s="92"/>
      <c r="E743" s="89"/>
      <c r="F743" s="89"/>
      <c r="G743" s="89"/>
      <c r="H743" s="89"/>
      <c r="I743" s="89"/>
      <c r="J743" s="89"/>
      <c r="K743" s="89"/>
      <c r="L743" s="89"/>
      <c r="M743" s="89"/>
      <c r="N743" s="89"/>
      <c r="O743" s="89"/>
      <c r="P743" s="89"/>
      <c r="Q743" s="89"/>
      <c r="R743" s="89"/>
      <c r="S743" s="89"/>
      <c r="T743" s="89"/>
      <c r="U743" s="89"/>
    </row>
    <row r="744">
      <c r="A744" s="89"/>
      <c r="B744" s="89"/>
      <c r="C744" s="91"/>
      <c r="D744" s="92"/>
      <c r="E744" s="89"/>
      <c r="F744" s="89"/>
      <c r="G744" s="89"/>
      <c r="H744" s="89"/>
      <c r="I744" s="89"/>
      <c r="J744" s="89"/>
      <c r="K744" s="89"/>
      <c r="L744" s="89"/>
      <c r="M744" s="89"/>
      <c r="N744" s="89"/>
      <c r="O744" s="89"/>
      <c r="P744" s="89"/>
      <c r="Q744" s="89"/>
      <c r="R744" s="89"/>
      <c r="S744" s="89"/>
      <c r="T744" s="89"/>
      <c r="U744" s="89"/>
    </row>
    <row r="745">
      <c r="A745" s="89"/>
      <c r="B745" s="89"/>
      <c r="C745" s="91"/>
      <c r="D745" s="92"/>
      <c r="E745" s="89"/>
      <c r="F745" s="89"/>
      <c r="G745" s="89"/>
      <c r="H745" s="89"/>
      <c r="I745" s="89"/>
      <c r="J745" s="89"/>
      <c r="K745" s="89"/>
      <c r="L745" s="89"/>
      <c r="M745" s="89"/>
      <c r="N745" s="89"/>
      <c r="O745" s="89"/>
      <c r="P745" s="89"/>
      <c r="Q745" s="89"/>
      <c r="R745" s="89"/>
      <c r="S745" s="89"/>
      <c r="T745" s="89"/>
      <c r="U745" s="89"/>
    </row>
    <row r="746">
      <c r="A746" s="89"/>
      <c r="B746" s="89"/>
      <c r="C746" s="91"/>
      <c r="D746" s="92"/>
      <c r="E746" s="89"/>
      <c r="F746" s="89"/>
      <c r="G746" s="89"/>
      <c r="H746" s="89"/>
      <c r="I746" s="89"/>
      <c r="J746" s="89"/>
      <c r="K746" s="89"/>
      <c r="L746" s="89"/>
      <c r="M746" s="89"/>
      <c r="N746" s="89"/>
      <c r="O746" s="89"/>
      <c r="P746" s="89"/>
      <c r="Q746" s="89"/>
      <c r="R746" s="89"/>
      <c r="S746" s="89"/>
      <c r="T746" s="89"/>
      <c r="U746" s="89"/>
    </row>
    <row r="747">
      <c r="A747" s="89"/>
      <c r="B747" s="89"/>
      <c r="C747" s="91"/>
      <c r="D747" s="92"/>
      <c r="E747" s="89"/>
      <c r="F747" s="89"/>
      <c r="G747" s="89"/>
      <c r="H747" s="89"/>
      <c r="I747" s="89"/>
      <c r="J747" s="89"/>
      <c r="K747" s="89"/>
      <c r="L747" s="89"/>
      <c r="M747" s="89"/>
      <c r="N747" s="89"/>
      <c r="O747" s="89"/>
      <c r="P747" s="89"/>
      <c r="Q747" s="89"/>
      <c r="R747" s="89"/>
      <c r="S747" s="89"/>
      <c r="T747" s="89"/>
      <c r="U747" s="89"/>
    </row>
    <row r="748">
      <c r="A748" s="89"/>
      <c r="B748" s="89"/>
      <c r="C748" s="91"/>
      <c r="D748" s="92"/>
      <c r="E748" s="89"/>
      <c r="F748" s="89"/>
      <c r="G748" s="89"/>
      <c r="H748" s="89"/>
      <c r="I748" s="89"/>
      <c r="J748" s="89"/>
      <c r="K748" s="89"/>
      <c r="L748" s="89"/>
      <c r="M748" s="89"/>
      <c r="N748" s="89"/>
      <c r="O748" s="89"/>
      <c r="P748" s="89"/>
      <c r="Q748" s="89"/>
      <c r="R748" s="89"/>
      <c r="S748" s="89"/>
      <c r="T748" s="89"/>
      <c r="U748" s="89"/>
    </row>
    <row r="749">
      <c r="A749" s="89"/>
      <c r="B749" s="89"/>
      <c r="C749" s="91"/>
      <c r="D749" s="92"/>
      <c r="E749" s="89"/>
      <c r="F749" s="89"/>
      <c r="G749" s="89"/>
      <c r="H749" s="89"/>
      <c r="I749" s="89"/>
      <c r="J749" s="89"/>
      <c r="K749" s="89"/>
      <c r="L749" s="89"/>
      <c r="M749" s="89"/>
      <c r="N749" s="89"/>
      <c r="O749" s="89"/>
      <c r="P749" s="89"/>
      <c r="Q749" s="89"/>
      <c r="R749" s="89"/>
      <c r="S749" s="89"/>
      <c r="T749" s="89"/>
      <c r="U749" s="89"/>
    </row>
    <row r="750">
      <c r="A750" s="89"/>
      <c r="B750" s="89"/>
      <c r="C750" s="91"/>
      <c r="D750" s="92"/>
      <c r="E750" s="89"/>
      <c r="F750" s="89"/>
      <c r="G750" s="89"/>
      <c r="H750" s="89"/>
      <c r="I750" s="89"/>
      <c r="J750" s="89"/>
      <c r="K750" s="89"/>
      <c r="L750" s="89"/>
      <c r="M750" s="89"/>
      <c r="N750" s="89"/>
      <c r="O750" s="89"/>
      <c r="P750" s="89"/>
      <c r="Q750" s="89"/>
      <c r="R750" s="89"/>
      <c r="S750" s="89"/>
      <c r="T750" s="89"/>
      <c r="U750" s="89"/>
    </row>
    <row r="751">
      <c r="A751" s="89"/>
      <c r="B751" s="89"/>
      <c r="C751" s="91"/>
      <c r="D751" s="92"/>
      <c r="E751" s="89"/>
      <c r="F751" s="89"/>
      <c r="G751" s="89"/>
      <c r="H751" s="89"/>
      <c r="I751" s="89"/>
      <c r="J751" s="89"/>
      <c r="K751" s="89"/>
      <c r="L751" s="89"/>
      <c r="M751" s="89"/>
      <c r="N751" s="89"/>
      <c r="O751" s="89"/>
      <c r="P751" s="89"/>
      <c r="Q751" s="89"/>
      <c r="R751" s="89"/>
      <c r="S751" s="89"/>
      <c r="T751" s="89"/>
      <c r="U751" s="89"/>
    </row>
    <row r="752">
      <c r="A752" s="89"/>
      <c r="B752" s="89"/>
      <c r="C752" s="91"/>
      <c r="D752" s="92"/>
      <c r="E752" s="89"/>
      <c r="F752" s="89"/>
      <c r="G752" s="89"/>
      <c r="H752" s="89"/>
      <c r="I752" s="89"/>
      <c r="J752" s="89"/>
      <c r="K752" s="89"/>
      <c r="L752" s="89"/>
      <c r="M752" s="89"/>
      <c r="N752" s="89"/>
      <c r="O752" s="89"/>
      <c r="P752" s="89"/>
      <c r="Q752" s="89"/>
      <c r="R752" s="89"/>
      <c r="S752" s="89"/>
      <c r="T752" s="89"/>
      <c r="U752" s="89"/>
    </row>
    <row r="753">
      <c r="A753" s="89"/>
      <c r="B753" s="89"/>
      <c r="C753" s="91"/>
      <c r="D753" s="92"/>
      <c r="E753" s="89"/>
      <c r="F753" s="89"/>
      <c r="G753" s="89"/>
      <c r="H753" s="89"/>
      <c r="I753" s="89"/>
      <c r="J753" s="89"/>
      <c r="K753" s="89"/>
      <c r="L753" s="89"/>
      <c r="M753" s="89"/>
      <c r="N753" s="89"/>
      <c r="O753" s="89"/>
      <c r="P753" s="89"/>
      <c r="Q753" s="89"/>
      <c r="R753" s="89"/>
      <c r="S753" s="89"/>
      <c r="T753" s="89"/>
      <c r="U753" s="89"/>
    </row>
    <row r="754">
      <c r="A754" s="89"/>
      <c r="B754" s="89"/>
      <c r="C754" s="91"/>
      <c r="D754" s="92"/>
      <c r="E754" s="89"/>
      <c r="F754" s="89"/>
      <c r="G754" s="89"/>
      <c r="H754" s="89"/>
      <c r="I754" s="89"/>
      <c r="J754" s="89"/>
      <c r="K754" s="89"/>
      <c r="L754" s="89"/>
      <c r="M754" s="89"/>
      <c r="N754" s="89"/>
      <c r="O754" s="89"/>
      <c r="P754" s="89"/>
      <c r="Q754" s="89"/>
      <c r="R754" s="89"/>
      <c r="S754" s="89"/>
      <c r="T754" s="89"/>
      <c r="U754" s="89"/>
    </row>
    <row r="755">
      <c r="A755" s="89"/>
      <c r="B755" s="89"/>
      <c r="C755" s="91"/>
      <c r="D755" s="92"/>
      <c r="E755" s="89"/>
      <c r="F755" s="89"/>
      <c r="G755" s="89"/>
      <c r="H755" s="89"/>
      <c r="I755" s="89"/>
      <c r="J755" s="89"/>
      <c r="K755" s="89"/>
      <c r="L755" s="89"/>
      <c r="M755" s="89"/>
      <c r="N755" s="89"/>
      <c r="O755" s="89"/>
      <c r="P755" s="89"/>
      <c r="Q755" s="89"/>
      <c r="R755" s="89"/>
      <c r="S755" s="89"/>
      <c r="T755" s="89"/>
      <c r="U755" s="89"/>
    </row>
    <row r="756">
      <c r="A756" s="89"/>
      <c r="B756" s="89"/>
      <c r="C756" s="91"/>
      <c r="D756" s="92"/>
      <c r="E756" s="89"/>
      <c r="F756" s="89"/>
      <c r="G756" s="89"/>
      <c r="H756" s="89"/>
      <c r="I756" s="89"/>
      <c r="J756" s="89"/>
      <c r="K756" s="89"/>
      <c r="L756" s="89"/>
      <c r="M756" s="89"/>
      <c r="N756" s="89"/>
      <c r="O756" s="89"/>
      <c r="P756" s="89"/>
      <c r="Q756" s="89"/>
      <c r="R756" s="89"/>
      <c r="S756" s="89"/>
      <c r="T756" s="89"/>
      <c r="U756" s="89"/>
    </row>
    <row r="757">
      <c r="A757" s="89"/>
      <c r="B757" s="89"/>
      <c r="C757" s="91"/>
      <c r="D757" s="92"/>
      <c r="E757" s="89"/>
      <c r="F757" s="89"/>
      <c r="G757" s="89"/>
      <c r="H757" s="89"/>
      <c r="I757" s="89"/>
      <c r="J757" s="89"/>
      <c r="K757" s="89"/>
      <c r="L757" s="89"/>
      <c r="M757" s="89"/>
      <c r="N757" s="89"/>
      <c r="O757" s="89"/>
      <c r="P757" s="89"/>
      <c r="Q757" s="89"/>
      <c r="R757" s="89"/>
      <c r="S757" s="89"/>
      <c r="T757" s="89"/>
      <c r="U757" s="89"/>
    </row>
    <row r="758">
      <c r="A758" s="89"/>
      <c r="B758" s="89"/>
      <c r="C758" s="91"/>
      <c r="D758" s="92"/>
      <c r="E758" s="89"/>
      <c r="F758" s="89"/>
      <c r="G758" s="89"/>
      <c r="H758" s="89"/>
      <c r="I758" s="89"/>
      <c r="J758" s="89"/>
      <c r="K758" s="89"/>
      <c r="L758" s="89"/>
      <c r="M758" s="89"/>
      <c r="N758" s="89"/>
      <c r="O758" s="89"/>
      <c r="P758" s="89"/>
      <c r="Q758" s="89"/>
      <c r="R758" s="89"/>
      <c r="S758" s="89"/>
      <c r="T758" s="89"/>
      <c r="U758" s="89"/>
    </row>
    <row r="759">
      <c r="A759" s="89"/>
      <c r="B759" s="89"/>
      <c r="C759" s="91"/>
      <c r="D759" s="92"/>
      <c r="E759" s="89"/>
      <c r="F759" s="89"/>
      <c r="G759" s="89"/>
      <c r="H759" s="89"/>
      <c r="I759" s="89"/>
      <c r="J759" s="89"/>
      <c r="K759" s="89"/>
      <c r="L759" s="89"/>
      <c r="M759" s="89"/>
      <c r="N759" s="89"/>
      <c r="O759" s="89"/>
      <c r="P759" s="89"/>
      <c r="Q759" s="89"/>
      <c r="R759" s="89"/>
      <c r="S759" s="89"/>
      <c r="T759" s="89"/>
      <c r="U759" s="89"/>
    </row>
    <row r="760">
      <c r="A760" s="89"/>
      <c r="B760" s="89"/>
      <c r="C760" s="91"/>
      <c r="D760" s="92"/>
      <c r="E760" s="89"/>
      <c r="F760" s="89"/>
      <c r="G760" s="89"/>
      <c r="H760" s="89"/>
      <c r="I760" s="89"/>
      <c r="J760" s="89"/>
      <c r="K760" s="89"/>
      <c r="L760" s="89"/>
      <c r="M760" s="89"/>
      <c r="N760" s="89"/>
      <c r="O760" s="89"/>
      <c r="P760" s="89"/>
      <c r="Q760" s="89"/>
      <c r="R760" s="89"/>
      <c r="S760" s="89"/>
      <c r="T760" s="89"/>
      <c r="U760" s="89"/>
    </row>
    <row r="761">
      <c r="A761" s="89"/>
      <c r="B761" s="89"/>
      <c r="C761" s="91"/>
      <c r="D761" s="92"/>
      <c r="E761" s="89"/>
      <c r="F761" s="89"/>
      <c r="G761" s="89"/>
      <c r="H761" s="89"/>
      <c r="I761" s="89"/>
      <c r="J761" s="89"/>
      <c r="K761" s="89"/>
      <c r="L761" s="89"/>
      <c r="M761" s="89"/>
      <c r="N761" s="89"/>
      <c r="O761" s="89"/>
      <c r="P761" s="89"/>
      <c r="Q761" s="89"/>
      <c r="R761" s="89"/>
      <c r="S761" s="89"/>
      <c r="T761" s="89"/>
      <c r="U761" s="89"/>
    </row>
    <row r="762">
      <c r="A762" s="89"/>
      <c r="B762" s="89"/>
      <c r="C762" s="91"/>
      <c r="D762" s="92"/>
      <c r="E762" s="89"/>
      <c r="F762" s="89"/>
      <c r="G762" s="89"/>
      <c r="H762" s="89"/>
      <c r="I762" s="89"/>
      <c r="J762" s="89"/>
      <c r="K762" s="89"/>
      <c r="L762" s="89"/>
      <c r="M762" s="89"/>
      <c r="N762" s="89"/>
      <c r="O762" s="89"/>
      <c r="P762" s="89"/>
      <c r="Q762" s="89"/>
      <c r="R762" s="89"/>
      <c r="S762" s="89"/>
      <c r="T762" s="89"/>
      <c r="U762" s="89"/>
    </row>
    <row r="763">
      <c r="A763" s="89"/>
      <c r="B763" s="89"/>
      <c r="C763" s="91"/>
      <c r="D763" s="92"/>
      <c r="E763" s="89"/>
      <c r="F763" s="89"/>
      <c r="G763" s="89"/>
      <c r="H763" s="89"/>
      <c r="I763" s="89"/>
      <c r="J763" s="89"/>
      <c r="K763" s="89"/>
      <c r="L763" s="89"/>
      <c r="M763" s="89"/>
      <c r="N763" s="89"/>
      <c r="O763" s="89"/>
      <c r="P763" s="89"/>
      <c r="Q763" s="89"/>
      <c r="R763" s="89"/>
      <c r="S763" s="89"/>
      <c r="T763" s="89"/>
      <c r="U763" s="89"/>
    </row>
    <row r="764">
      <c r="A764" s="89"/>
      <c r="B764" s="89"/>
      <c r="C764" s="91"/>
      <c r="D764" s="92"/>
      <c r="E764" s="89"/>
      <c r="F764" s="89"/>
      <c r="G764" s="89"/>
      <c r="H764" s="89"/>
      <c r="I764" s="89"/>
      <c r="J764" s="89"/>
      <c r="K764" s="89"/>
      <c r="L764" s="89"/>
      <c r="M764" s="89"/>
      <c r="N764" s="89"/>
      <c r="O764" s="89"/>
      <c r="P764" s="89"/>
      <c r="Q764" s="89"/>
      <c r="R764" s="89"/>
      <c r="S764" s="89"/>
      <c r="T764" s="89"/>
      <c r="U764" s="89"/>
    </row>
    <row r="765">
      <c r="A765" s="89"/>
      <c r="B765" s="89"/>
      <c r="C765" s="91"/>
      <c r="D765" s="92"/>
      <c r="E765" s="89"/>
      <c r="F765" s="89"/>
      <c r="G765" s="89"/>
      <c r="H765" s="89"/>
      <c r="I765" s="89"/>
      <c r="J765" s="89"/>
      <c r="K765" s="89"/>
      <c r="L765" s="89"/>
      <c r="M765" s="89"/>
      <c r="N765" s="89"/>
      <c r="O765" s="89"/>
      <c r="P765" s="89"/>
      <c r="Q765" s="89"/>
      <c r="R765" s="89"/>
      <c r="S765" s="89"/>
      <c r="T765" s="89"/>
      <c r="U765" s="89"/>
    </row>
    <row r="766">
      <c r="A766" s="89"/>
      <c r="B766" s="89"/>
      <c r="C766" s="91"/>
      <c r="D766" s="92"/>
      <c r="E766" s="89"/>
      <c r="F766" s="89"/>
      <c r="G766" s="89"/>
      <c r="H766" s="89"/>
      <c r="I766" s="89"/>
      <c r="J766" s="89"/>
      <c r="K766" s="89"/>
      <c r="L766" s="89"/>
      <c r="M766" s="89"/>
      <c r="N766" s="89"/>
      <c r="O766" s="89"/>
      <c r="P766" s="89"/>
      <c r="Q766" s="89"/>
      <c r="R766" s="89"/>
      <c r="S766" s="89"/>
      <c r="T766" s="89"/>
      <c r="U766" s="89"/>
    </row>
    <row r="767">
      <c r="A767" s="89"/>
      <c r="B767" s="89"/>
      <c r="C767" s="91"/>
      <c r="D767" s="92"/>
      <c r="E767" s="89"/>
      <c r="F767" s="89"/>
      <c r="G767" s="89"/>
      <c r="H767" s="89"/>
      <c r="I767" s="89"/>
      <c r="J767" s="89"/>
      <c r="K767" s="89"/>
      <c r="L767" s="89"/>
      <c r="M767" s="89"/>
      <c r="N767" s="89"/>
      <c r="O767" s="89"/>
      <c r="P767" s="89"/>
      <c r="Q767" s="89"/>
      <c r="R767" s="89"/>
      <c r="S767" s="89"/>
      <c r="T767" s="89"/>
      <c r="U767" s="89"/>
    </row>
    <row r="768">
      <c r="A768" s="89"/>
      <c r="B768" s="89"/>
      <c r="C768" s="91"/>
      <c r="D768" s="92"/>
      <c r="E768" s="89"/>
      <c r="F768" s="89"/>
      <c r="G768" s="89"/>
      <c r="H768" s="89"/>
      <c r="I768" s="89"/>
      <c r="J768" s="89"/>
      <c r="K768" s="89"/>
      <c r="L768" s="89"/>
      <c r="M768" s="89"/>
      <c r="N768" s="89"/>
      <c r="O768" s="89"/>
      <c r="P768" s="89"/>
      <c r="Q768" s="89"/>
      <c r="R768" s="89"/>
      <c r="S768" s="89"/>
      <c r="T768" s="89"/>
      <c r="U768" s="89"/>
    </row>
    <row r="769">
      <c r="A769" s="89"/>
      <c r="B769" s="89"/>
      <c r="C769" s="91"/>
      <c r="D769" s="92"/>
      <c r="E769" s="89"/>
      <c r="F769" s="89"/>
      <c r="G769" s="89"/>
      <c r="H769" s="89"/>
      <c r="I769" s="89"/>
      <c r="J769" s="89"/>
      <c r="K769" s="89"/>
      <c r="L769" s="89"/>
      <c r="M769" s="89"/>
      <c r="N769" s="89"/>
      <c r="O769" s="89"/>
      <c r="P769" s="89"/>
      <c r="Q769" s="89"/>
      <c r="R769" s="89"/>
      <c r="S769" s="89"/>
      <c r="T769" s="89"/>
      <c r="U769" s="89"/>
    </row>
    <row r="770">
      <c r="A770" s="89"/>
      <c r="B770" s="89"/>
      <c r="C770" s="91"/>
      <c r="D770" s="92"/>
      <c r="E770" s="89"/>
      <c r="F770" s="89"/>
      <c r="G770" s="89"/>
      <c r="H770" s="89"/>
      <c r="I770" s="89"/>
      <c r="J770" s="89"/>
      <c r="K770" s="89"/>
      <c r="L770" s="89"/>
      <c r="M770" s="89"/>
      <c r="N770" s="89"/>
      <c r="O770" s="89"/>
      <c r="P770" s="89"/>
      <c r="Q770" s="89"/>
      <c r="R770" s="89"/>
      <c r="S770" s="89"/>
      <c r="T770" s="89"/>
      <c r="U770" s="89"/>
    </row>
    <row r="771">
      <c r="A771" s="89"/>
      <c r="B771" s="89"/>
      <c r="C771" s="91"/>
      <c r="D771" s="92"/>
      <c r="E771" s="89"/>
      <c r="F771" s="89"/>
      <c r="G771" s="89"/>
      <c r="H771" s="89"/>
      <c r="I771" s="89"/>
      <c r="J771" s="89"/>
      <c r="K771" s="89"/>
      <c r="L771" s="89"/>
      <c r="M771" s="89"/>
      <c r="N771" s="89"/>
      <c r="O771" s="89"/>
      <c r="P771" s="89"/>
      <c r="Q771" s="89"/>
      <c r="R771" s="89"/>
      <c r="S771" s="89"/>
      <c r="T771" s="89"/>
      <c r="U771" s="89"/>
    </row>
    <row r="772">
      <c r="A772" s="89"/>
      <c r="B772" s="89"/>
      <c r="C772" s="91"/>
      <c r="D772" s="92"/>
      <c r="E772" s="89"/>
      <c r="F772" s="89"/>
      <c r="G772" s="89"/>
      <c r="H772" s="89"/>
      <c r="I772" s="89"/>
      <c r="J772" s="89"/>
      <c r="K772" s="89"/>
      <c r="L772" s="89"/>
      <c r="M772" s="89"/>
      <c r="N772" s="89"/>
      <c r="O772" s="89"/>
      <c r="P772" s="89"/>
      <c r="Q772" s="89"/>
      <c r="R772" s="89"/>
      <c r="S772" s="89"/>
      <c r="T772" s="89"/>
      <c r="U772" s="89"/>
    </row>
    <row r="773">
      <c r="A773" s="89"/>
      <c r="B773" s="89"/>
      <c r="C773" s="91"/>
      <c r="D773" s="92"/>
      <c r="E773" s="89"/>
      <c r="F773" s="89"/>
      <c r="G773" s="89"/>
      <c r="H773" s="89"/>
      <c r="I773" s="89"/>
      <c r="J773" s="89"/>
      <c r="K773" s="89"/>
      <c r="L773" s="89"/>
      <c r="M773" s="89"/>
      <c r="N773" s="89"/>
      <c r="O773" s="89"/>
      <c r="P773" s="89"/>
      <c r="Q773" s="89"/>
      <c r="R773" s="89"/>
      <c r="S773" s="89"/>
      <c r="T773" s="89"/>
      <c r="U773" s="89"/>
    </row>
    <row r="774">
      <c r="A774" s="89"/>
      <c r="B774" s="89"/>
      <c r="C774" s="91"/>
      <c r="D774" s="92"/>
      <c r="E774" s="89"/>
      <c r="F774" s="89"/>
      <c r="G774" s="89"/>
      <c r="H774" s="89"/>
      <c r="I774" s="89"/>
      <c r="J774" s="89"/>
      <c r="K774" s="89"/>
      <c r="L774" s="89"/>
      <c r="M774" s="89"/>
      <c r="N774" s="89"/>
      <c r="O774" s="89"/>
      <c r="P774" s="89"/>
      <c r="Q774" s="89"/>
      <c r="R774" s="89"/>
      <c r="S774" s="89"/>
      <c r="T774" s="89"/>
      <c r="U774" s="89"/>
    </row>
    <row r="775">
      <c r="A775" s="89"/>
      <c r="B775" s="89"/>
      <c r="C775" s="91"/>
      <c r="D775" s="92"/>
      <c r="E775" s="89"/>
      <c r="F775" s="89"/>
      <c r="G775" s="89"/>
      <c r="H775" s="89"/>
      <c r="I775" s="89"/>
      <c r="J775" s="89"/>
      <c r="K775" s="89"/>
      <c r="L775" s="89"/>
      <c r="M775" s="89"/>
      <c r="N775" s="89"/>
      <c r="O775" s="89"/>
      <c r="P775" s="89"/>
      <c r="Q775" s="89"/>
      <c r="R775" s="89"/>
      <c r="S775" s="89"/>
      <c r="T775" s="89"/>
      <c r="U775" s="89"/>
    </row>
    <row r="776">
      <c r="A776" s="89"/>
      <c r="B776" s="89"/>
      <c r="C776" s="91"/>
      <c r="D776" s="92"/>
      <c r="E776" s="89"/>
      <c r="F776" s="89"/>
      <c r="G776" s="89"/>
      <c r="H776" s="89"/>
      <c r="I776" s="89"/>
      <c r="J776" s="89"/>
      <c r="K776" s="89"/>
      <c r="L776" s="89"/>
      <c r="M776" s="89"/>
      <c r="N776" s="89"/>
      <c r="O776" s="89"/>
      <c r="P776" s="89"/>
      <c r="Q776" s="89"/>
      <c r="R776" s="89"/>
      <c r="S776" s="89"/>
      <c r="T776" s="89"/>
      <c r="U776" s="89"/>
    </row>
    <row r="777">
      <c r="A777" s="89"/>
      <c r="B777" s="89"/>
      <c r="C777" s="91"/>
      <c r="D777" s="92"/>
      <c r="E777" s="89"/>
      <c r="F777" s="89"/>
      <c r="G777" s="89"/>
      <c r="H777" s="89"/>
      <c r="I777" s="89"/>
      <c r="J777" s="89"/>
      <c r="K777" s="89"/>
      <c r="L777" s="89"/>
      <c r="M777" s="89"/>
      <c r="N777" s="89"/>
      <c r="O777" s="89"/>
      <c r="P777" s="89"/>
      <c r="Q777" s="89"/>
      <c r="R777" s="89"/>
      <c r="S777" s="89"/>
      <c r="T777" s="89"/>
      <c r="U777" s="89"/>
    </row>
    <row r="778">
      <c r="A778" s="89"/>
      <c r="B778" s="89"/>
      <c r="C778" s="91"/>
      <c r="D778" s="92"/>
      <c r="E778" s="89"/>
      <c r="F778" s="89"/>
      <c r="G778" s="89"/>
      <c r="H778" s="89"/>
      <c r="I778" s="89"/>
      <c r="J778" s="89"/>
      <c r="K778" s="89"/>
      <c r="L778" s="89"/>
      <c r="M778" s="89"/>
      <c r="N778" s="89"/>
      <c r="O778" s="89"/>
      <c r="P778" s="89"/>
      <c r="Q778" s="89"/>
      <c r="R778" s="89"/>
      <c r="S778" s="89"/>
      <c r="T778" s="89"/>
      <c r="U778" s="89"/>
    </row>
    <row r="779">
      <c r="A779" s="89"/>
      <c r="B779" s="89"/>
      <c r="C779" s="91"/>
      <c r="D779" s="92"/>
      <c r="E779" s="89"/>
      <c r="F779" s="89"/>
      <c r="G779" s="89"/>
      <c r="H779" s="89"/>
      <c r="I779" s="89"/>
      <c r="J779" s="89"/>
      <c r="K779" s="89"/>
      <c r="L779" s="89"/>
      <c r="M779" s="89"/>
      <c r="N779" s="89"/>
      <c r="O779" s="89"/>
      <c r="P779" s="89"/>
      <c r="Q779" s="89"/>
      <c r="R779" s="89"/>
      <c r="S779" s="89"/>
      <c r="T779" s="89"/>
      <c r="U779" s="89"/>
    </row>
    <row r="780">
      <c r="A780" s="89"/>
      <c r="B780" s="89"/>
      <c r="C780" s="91"/>
      <c r="D780" s="92"/>
      <c r="E780" s="89"/>
      <c r="F780" s="89"/>
      <c r="G780" s="89"/>
      <c r="H780" s="89"/>
      <c r="I780" s="89"/>
      <c r="J780" s="89"/>
      <c r="K780" s="89"/>
      <c r="L780" s="89"/>
      <c r="M780" s="89"/>
      <c r="N780" s="89"/>
      <c r="O780" s="89"/>
      <c r="P780" s="89"/>
      <c r="Q780" s="89"/>
      <c r="R780" s="89"/>
      <c r="S780" s="89"/>
      <c r="T780" s="89"/>
      <c r="U780" s="89"/>
    </row>
    <row r="781">
      <c r="A781" s="89"/>
      <c r="B781" s="89"/>
      <c r="C781" s="91"/>
      <c r="D781" s="92"/>
      <c r="E781" s="89"/>
      <c r="F781" s="89"/>
      <c r="G781" s="89"/>
      <c r="H781" s="89"/>
      <c r="I781" s="89"/>
      <c r="J781" s="89"/>
      <c r="K781" s="89"/>
      <c r="L781" s="89"/>
      <c r="M781" s="89"/>
      <c r="N781" s="89"/>
      <c r="O781" s="89"/>
      <c r="P781" s="89"/>
      <c r="Q781" s="89"/>
      <c r="R781" s="89"/>
      <c r="S781" s="89"/>
      <c r="T781" s="89"/>
      <c r="U781" s="89"/>
    </row>
    <row r="782">
      <c r="A782" s="89"/>
      <c r="B782" s="89"/>
      <c r="C782" s="91"/>
      <c r="D782" s="92"/>
      <c r="E782" s="89"/>
      <c r="F782" s="89"/>
      <c r="G782" s="89"/>
      <c r="H782" s="89"/>
      <c r="I782" s="89"/>
      <c r="J782" s="89"/>
      <c r="K782" s="89"/>
      <c r="L782" s="89"/>
      <c r="M782" s="89"/>
      <c r="N782" s="89"/>
      <c r="O782" s="89"/>
      <c r="P782" s="89"/>
      <c r="Q782" s="89"/>
      <c r="R782" s="89"/>
      <c r="S782" s="89"/>
      <c r="T782" s="89"/>
      <c r="U782" s="89"/>
    </row>
    <row r="783">
      <c r="A783" s="89"/>
      <c r="B783" s="89"/>
      <c r="C783" s="91"/>
      <c r="D783" s="92"/>
      <c r="E783" s="89"/>
      <c r="F783" s="89"/>
      <c r="G783" s="89"/>
      <c r="H783" s="89"/>
      <c r="I783" s="89"/>
      <c r="J783" s="89"/>
      <c r="K783" s="89"/>
      <c r="L783" s="89"/>
      <c r="M783" s="89"/>
      <c r="N783" s="89"/>
      <c r="O783" s="89"/>
      <c r="P783" s="89"/>
      <c r="Q783" s="89"/>
      <c r="R783" s="89"/>
      <c r="S783" s="89"/>
      <c r="T783" s="89"/>
      <c r="U783" s="89"/>
    </row>
    <row r="784">
      <c r="A784" s="89"/>
      <c r="B784" s="89"/>
      <c r="C784" s="91"/>
      <c r="D784" s="92"/>
      <c r="E784" s="89"/>
      <c r="F784" s="89"/>
      <c r="G784" s="89"/>
      <c r="H784" s="89"/>
      <c r="I784" s="89"/>
      <c r="J784" s="89"/>
      <c r="K784" s="89"/>
      <c r="L784" s="89"/>
      <c r="M784" s="89"/>
      <c r="N784" s="89"/>
      <c r="O784" s="89"/>
      <c r="P784" s="89"/>
      <c r="Q784" s="89"/>
      <c r="R784" s="89"/>
      <c r="S784" s="89"/>
      <c r="T784" s="89"/>
      <c r="U784" s="89"/>
    </row>
    <row r="785">
      <c r="A785" s="89"/>
      <c r="B785" s="89"/>
      <c r="C785" s="91"/>
      <c r="D785" s="92"/>
      <c r="E785" s="89"/>
      <c r="F785" s="89"/>
      <c r="G785" s="89"/>
      <c r="H785" s="89"/>
      <c r="I785" s="89"/>
      <c r="J785" s="89"/>
      <c r="K785" s="89"/>
      <c r="L785" s="89"/>
      <c r="M785" s="89"/>
      <c r="N785" s="89"/>
      <c r="O785" s="89"/>
      <c r="P785" s="89"/>
      <c r="Q785" s="89"/>
      <c r="R785" s="89"/>
      <c r="S785" s="89"/>
      <c r="T785" s="89"/>
      <c r="U785" s="89"/>
    </row>
    <row r="786">
      <c r="A786" s="89"/>
      <c r="B786" s="89"/>
      <c r="C786" s="91"/>
      <c r="D786" s="92"/>
      <c r="E786" s="89"/>
      <c r="F786" s="89"/>
      <c r="G786" s="89"/>
      <c r="H786" s="89"/>
      <c r="I786" s="89"/>
      <c r="J786" s="89"/>
      <c r="K786" s="89"/>
      <c r="L786" s="89"/>
      <c r="M786" s="89"/>
      <c r="N786" s="89"/>
      <c r="O786" s="89"/>
      <c r="P786" s="89"/>
      <c r="Q786" s="89"/>
      <c r="R786" s="89"/>
      <c r="S786" s="89"/>
      <c r="T786" s="89"/>
      <c r="U786" s="89"/>
    </row>
    <row r="787">
      <c r="A787" s="89"/>
      <c r="B787" s="89"/>
      <c r="C787" s="91"/>
      <c r="D787" s="92"/>
      <c r="E787" s="89"/>
      <c r="F787" s="89"/>
      <c r="G787" s="89"/>
      <c r="H787" s="89"/>
      <c r="I787" s="89"/>
      <c r="J787" s="89"/>
      <c r="K787" s="89"/>
      <c r="L787" s="89"/>
      <c r="M787" s="89"/>
      <c r="N787" s="89"/>
      <c r="O787" s="89"/>
      <c r="P787" s="89"/>
      <c r="Q787" s="89"/>
      <c r="R787" s="89"/>
      <c r="S787" s="89"/>
      <c r="T787" s="89"/>
      <c r="U787" s="89"/>
    </row>
    <row r="788">
      <c r="A788" s="89"/>
      <c r="B788" s="89"/>
      <c r="C788" s="91"/>
      <c r="D788" s="92"/>
      <c r="E788" s="89"/>
      <c r="F788" s="89"/>
      <c r="G788" s="89"/>
      <c r="H788" s="89"/>
      <c r="I788" s="89"/>
      <c r="J788" s="89"/>
      <c r="K788" s="89"/>
      <c r="L788" s="89"/>
      <c r="M788" s="89"/>
      <c r="N788" s="89"/>
      <c r="O788" s="89"/>
      <c r="P788" s="89"/>
      <c r="Q788" s="89"/>
      <c r="R788" s="89"/>
      <c r="S788" s="89"/>
      <c r="T788" s="89"/>
      <c r="U788" s="89"/>
    </row>
    <row r="789">
      <c r="A789" s="89"/>
      <c r="B789" s="89"/>
      <c r="C789" s="91"/>
      <c r="D789" s="92"/>
      <c r="E789" s="89"/>
      <c r="F789" s="89"/>
      <c r="G789" s="89"/>
      <c r="H789" s="89"/>
      <c r="I789" s="89"/>
      <c r="J789" s="89"/>
      <c r="K789" s="89"/>
      <c r="L789" s="89"/>
      <c r="M789" s="89"/>
      <c r="N789" s="89"/>
      <c r="O789" s="89"/>
      <c r="P789" s="89"/>
      <c r="Q789" s="89"/>
      <c r="R789" s="89"/>
      <c r="S789" s="89"/>
      <c r="T789" s="89"/>
      <c r="U789" s="89"/>
    </row>
    <row r="790">
      <c r="A790" s="89"/>
      <c r="B790" s="89"/>
      <c r="C790" s="91"/>
      <c r="D790" s="92"/>
      <c r="E790" s="89"/>
      <c r="F790" s="89"/>
      <c r="G790" s="89"/>
      <c r="H790" s="89"/>
      <c r="I790" s="89"/>
      <c r="J790" s="89"/>
      <c r="K790" s="89"/>
      <c r="L790" s="89"/>
      <c r="M790" s="89"/>
      <c r="N790" s="89"/>
      <c r="O790" s="89"/>
      <c r="P790" s="89"/>
      <c r="Q790" s="89"/>
      <c r="R790" s="89"/>
      <c r="S790" s="89"/>
      <c r="T790" s="89"/>
      <c r="U790" s="89"/>
    </row>
    <row r="791">
      <c r="A791" s="89"/>
      <c r="B791" s="89"/>
      <c r="C791" s="91"/>
      <c r="D791" s="92"/>
      <c r="E791" s="89"/>
      <c r="F791" s="89"/>
      <c r="G791" s="89"/>
      <c r="H791" s="89"/>
      <c r="I791" s="89"/>
      <c r="J791" s="89"/>
      <c r="K791" s="89"/>
      <c r="L791" s="89"/>
      <c r="M791" s="89"/>
      <c r="N791" s="89"/>
      <c r="O791" s="89"/>
      <c r="P791" s="89"/>
      <c r="Q791" s="89"/>
      <c r="R791" s="89"/>
      <c r="S791" s="89"/>
      <c r="T791" s="89"/>
      <c r="U791" s="89"/>
    </row>
    <row r="792">
      <c r="A792" s="89"/>
      <c r="B792" s="89"/>
      <c r="C792" s="91"/>
      <c r="D792" s="92"/>
      <c r="E792" s="89"/>
      <c r="F792" s="89"/>
      <c r="G792" s="89"/>
      <c r="H792" s="89"/>
      <c r="I792" s="89"/>
      <c r="J792" s="89"/>
      <c r="K792" s="89"/>
      <c r="L792" s="89"/>
      <c r="M792" s="89"/>
      <c r="N792" s="89"/>
      <c r="O792" s="89"/>
      <c r="P792" s="89"/>
      <c r="Q792" s="89"/>
      <c r="R792" s="89"/>
      <c r="S792" s="89"/>
      <c r="T792" s="89"/>
      <c r="U792" s="89"/>
    </row>
    <row r="793">
      <c r="A793" s="89"/>
      <c r="B793" s="89"/>
      <c r="C793" s="91"/>
      <c r="D793" s="92"/>
      <c r="E793" s="89"/>
      <c r="F793" s="89"/>
      <c r="G793" s="89"/>
      <c r="H793" s="89"/>
      <c r="I793" s="89"/>
      <c r="J793" s="89"/>
      <c r="K793" s="89"/>
      <c r="L793" s="89"/>
      <c r="M793" s="89"/>
      <c r="N793" s="89"/>
      <c r="O793" s="89"/>
      <c r="P793" s="89"/>
      <c r="Q793" s="89"/>
      <c r="R793" s="89"/>
      <c r="S793" s="89"/>
      <c r="T793" s="89"/>
      <c r="U793" s="89"/>
    </row>
    <row r="794">
      <c r="A794" s="89"/>
      <c r="B794" s="89"/>
      <c r="C794" s="91"/>
      <c r="D794" s="92"/>
      <c r="E794" s="89"/>
      <c r="F794" s="89"/>
      <c r="G794" s="89"/>
      <c r="H794" s="89"/>
      <c r="I794" s="89"/>
      <c r="J794" s="89"/>
      <c r="K794" s="89"/>
      <c r="L794" s="89"/>
      <c r="M794" s="89"/>
      <c r="N794" s="89"/>
      <c r="O794" s="89"/>
      <c r="P794" s="89"/>
      <c r="Q794" s="89"/>
      <c r="R794" s="89"/>
      <c r="S794" s="89"/>
      <c r="T794" s="89"/>
      <c r="U794" s="89"/>
    </row>
    <row r="795">
      <c r="A795" s="89"/>
      <c r="B795" s="89"/>
      <c r="C795" s="91"/>
      <c r="D795" s="92"/>
      <c r="E795" s="89"/>
      <c r="F795" s="89"/>
      <c r="G795" s="89"/>
      <c r="H795" s="89"/>
      <c r="I795" s="89"/>
      <c r="J795" s="89"/>
      <c r="K795" s="89"/>
      <c r="L795" s="89"/>
      <c r="M795" s="89"/>
      <c r="N795" s="89"/>
      <c r="O795" s="89"/>
      <c r="P795" s="89"/>
      <c r="Q795" s="89"/>
      <c r="R795" s="89"/>
      <c r="S795" s="89"/>
      <c r="T795" s="89"/>
      <c r="U795" s="89"/>
    </row>
    <row r="796">
      <c r="A796" s="89"/>
      <c r="B796" s="89"/>
      <c r="C796" s="91"/>
      <c r="D796" s="92"/>
      <c r="E796" s="89"/>
      <c r="F796" s="89"/>
      <c r="G796" s="89"/>
      <c r="H796" s="89"/>
      <c r="I796" s="89"/>
      <c r="J796" s="89"/>
      <c r="K796" s="89"/>
      <c r="L796" s="89"/>
      <c r="M796" s="89"/>
      <c r="N796" s="89"/>
      <c r="O796" s="89"/>
      <c r="P796" s="89"/>
      <c r="Q796" s="89"/>
      <c r="R796" s="89"/>
      <c r="S796" s="89"/>
      <c r="T796" s="89"/>
      <c r="U796" s="89"/>
    </row>
    <row r="797">
      <c r="A797" s="89"/>
      <c r="B797" s="89"/>
      <c r="C797" s="91"/>
      <c r="D797" s="92"/>
      <c r="E797" s="89"/>
      <c r="F797" s="89"/>
      <c r="G797" s="89"/>
      <c r="H797" s="89"/>
      <c r="I797" s="89"/>
      <c r="J797" s="89"/>
      <c r="K797" s="89"/>
      <c r="L797" s="89"/>
      <c r="M797" s="89"/>
      <c r="N797" s="89"/>
      <c r="O797" s="89"/>
      <c r="P797" s="89"/>
      <c r="Q797" s="89"/>
      <c r="R797" s="89"/>
      <c r="S797" s="89"/>
      <c r="T797" s="89"/>
      <c r="U797" s="89"/>
    </row>
    <row r="798">
      <c r="A798" s="89"/>
      <c r="B798" s="89"/>
      <c r="C798" s="91"/>
      <c r="D798" s="92"/>
      <c r="E798" s="89"/>
      <c r="F798" s="89"/>
      <c r="G798" s="89"/>
      <c r="H798" s="89"/>
      <c r="I798" s="89"/>
      <c r="J798" s="89"/>
      <c r="K798" s="89"/>
      <c r="L798" s="89"/>
      <c r="M798" s="89"/>
      <c r="N798" s="89"/>
      <c r="O798" s="89"/>
      <c r="P798" s="89"/>
      <c r="Q798" s="89"/>
      <c r="R798" s="89"/>
      <c r="S798" s="89"/>
      <c r="T798" s="89"/>
      <c r="U798" s="89"/>
    </row>
    <row r="799">
      <c r="A799" s="89"/>
      <c r="B799" s="89"/>
      <c r="C799" s="91"/>
      <c r="D799" s="92"/>
      <c r="E799" s="89"/>
      <c r="F799" s="89"/>
      <c r="G799" s="89"/>
      <c r="H799" s="89"/>
      <c r="I799" s="89"/>
      <c r="J799" s="89"/>
      <c r="K799" s="89"/>
      <c r="L799" s="89"/>
      <c r="M799" s="89"/>
      <c r="N799" s="89"/>
      <c r="O799" s="89"/>
      <c r="P799" s="89"/>
      <c r="Q799" s="89"/>
      <c r="R799" s="89"/>
      <c r="S799" s="89"/>
      <c r="T799" s="89"/>
      <c r="U799" s="89"/>
    </row>
    <row r="800">
      <c r="A800" s="89"/>
      <c r="B800" s="89"/>
      <c r="C800" s="91"/>
      <c r="D800" s="92"/>
      <c r="E800" s="89"/>
      <c r="F800" s="89"/>
      <c r="G800" s="89"/>
      <c r="H800" s="89"/>
      <c r="I800" s="89"/>
      <c r="J800" s="89"/>
      <c r="K800" s="89"/>
      <c r="L800" s="89"/>
      <c r="M800" s="89"/>
      <c r="N800" s="89"/>
      <c r="O800" s="89"/>
      <c r="P800" s="89"/>
      <c r="Q800" s="89"/>
      <c r="R800" s="89"/>
      <c r="S800" s="89"/>
      <c r="T800" s="89"/>
      <c r="U800" s="89"/>
    </row>
    <row r="801">
      <c r="A801" s="89"/>
      <c r="B801" s="89"/>
      <c r="C801" s="91"/>
      <c r="D801" s="92"/>
      <c r="E801" s="89"/>
      <c r="F801" s="89"/>
      <c r="G801" s="89"/>
      <c r="H801" s="89"/>
      <c r="I801" s="89"/>
      <c r="J801" s="89"/>
      <c r="K801" s="89"/>
      <c r="L801" s="89"/>
      <c r="M801" s="89"/>
      <c r="N801" s="89"/>
      <c r="O801" s="89"/>
      <c r="P801" s="89"/>
      <c r="Q801" s="89"/>
      <c r="R801" s="89"/>
      <c r="S801" s="89"/>
      <c r="T801" s="89"/>
      <c r="U801" s="89"/>
    </row>
    <row r="802">
      <c r="A802" s="89"/>
      <c r="B802" s="89"/>
      <c r="C802" s="91"/>
      <c r="D802" s="92"/>
      <c r="E802" s="89"/>
      <c r="F802" s="89"/>
      <c r="G802" s="89"/>
      <c r="H802" s="89"/>
      <c r="I802" s="89"/>
      <c r="J802" s="89"/>
      <c r="K802" s="89"/>
      <c r="L802" s="89"/>
      <c r="M802" s="89"/>
      <c r="N802" s="89"/>
      <c r="O802" s="89"/>
      <c r="P802" s="89"/>
      <c r="Q802" s="89"/>
      <c r="R802" s="89"/>
      <c r="S802" s="89"/>
      <c r="T802" s="89"/>
      <c r="U802" s="89"/>
    </row>
    <row r="803">
      <c r="A803" s="89"/>
      <c r="B803" s="89"/>
      <c r="C803" s="91"/>
      <c r="D803" s="92"/>
      <c r="E803" s="89"/>
      <c r="F803" s="89"/>
      <c r="G803" s="89"/>
      <c r="H803" s="89"/>
      <c r="I803" s="89"/>
      <c r="J803" s="89"/>
      <c r="K803" s="89"/>
      <c r="L803" s="89"/>
      <c r="M803" s="89"/>
      <c r="N803" s="89"/>
      <c r="O803" s="89"/>
      <c r="P803" s="89"/>
      <c r="Q803" s="89"/>
      <c r="R803" s="89"/>
      <c r="S803" s="89"/>
      <c r="T803" s="89"/>
      <c r="U803" s="89"/>
    </row>
    <row r="804">
      <c r="A804" s="89"/>
      <c r="B804" s="89"/>
      <c r="C804" s="91"/>
      <c r="D804" s="92"/>
      <c r="E804" s="89"/>
      <c r="F804" s="89"/>
      <c r="G804" s="89"/>
      <c r="H804" s="89"/>
      <c r="I804" s="89"/>
      <c r="J804" s="89"/>
      <c r="K804" s="89"/>
      <c r="L804" s="89"/>
      <c r="M804" s="89"/>
      <c r="N804" s="89"/>
      <c r="O804" s="89"/>
      <c r="P804" s="89"/>
      <c r="Q804" s="89"/>
      <c r="R804" s="89"/>
      <c r="S804" s="89"/>
      <c r="T804" s="89"/>
      <c r="U804" s="89"/>
    </row>
    <row r="805">
      <c r="A805" s="89"/>
      <c r="B805" s="89"/>
      <c r="C805" s="91"/>
      <c r="D805" s="92"/>
      <c r="E805" s="89"/>
      <c r="F805" s="89"/>
      <c r="G805" s="89"/>
      <c r="H805" s="89"/>
      <c r="I805" s="89"/>
      <c r="J805" s="89"/>
      <c r="K805" s="89"/>
      <c r="L805" s="89"/>
      <c r="M805" s="89"/>
      <c r="N805" s="89"/>
      <c r="O805" s="89"/>
      <c r="P805" s="89"/>
      <c r="Q805" s="89"/>
      <c r="R805" s="89"/>
      <c r="S805" s="89"/>
      <c r="T805" s="89"/>
      <c r="U805" s="89"/>
    </row>
    <row r="806">
      <c r="A806" s="89"/>
      <c r="B806" s="89"/>
      <c r="C806" s="91"/>
      <c r="D806" s="92"/>
      <c r="E806" s="89"/>
      <c r="F806" s="89"/>
      <c r="G806" s="89"/>
      <c r="H806" s="89"/>
      <c r="I806" s="89"/>
      <c r="J806" s="89"/>
      <c r="K806" s="89"/>
      <c r="L806" s="89"/>
      <c r="M806" s="89"/>
      <c r="N806" s="89"/>
      <c r="O806" s="89"/>
      <c r="P806" s="89"/>
      <c r="Q806" s="89"/>
      <c r="R806" s="89"/>
      <c r="S806" s="89"/>
      <c r="T806" s="89"/>
      <c r="U806" s="89"/>
    </row>
    <row r="807">
      <c r="A807" s="89"/>
      <c r="B807" s="89"/>
      <c r="C807" s="91"/>
      <c r="D807" s="92"/>
      <c r="E807" s="89"/>
      <c r="F807" s="89"/>
      <c r="G807" s="89"/>
      <c r="H807" s="89"/>
      <c r="I807" s="89"/>
      <c r="J807" s="89"/>
      <c r="K807" s="89"/>
      <c r="L807" s="89"/>
      <c r="M807" s="89"/>
      <c r="N807" s="89"/>
      <c r="O807" s="89"/>
      <c r="P807" s="89"/>
      <c r="Q807" s="89"/>
      <c r="R807" s="89"/>
      <c r="S807" s="89"/>
      <c r="T807" s="89"/>
      <c r="U807" s="89"/>
    </row>
    <row r="808">
      <c r="A808" s="89"/>
      <c r="B808" s="89"/>
      <c r="C808" s="91"/>
      <c r="D808" s="92"/>
      <c r="E808" s="89"/>
      <c r="F808" s="89"/>
      <c r="G808" s="89"/>
      <c r="H808" s="89"/>
      <c r="I808" s="89"/>
      <c r="J808" s="89"/>
      <c r="K808" s="89"/>
      <c r="L808" s="89"/>
      <c r="M808" s="89"/>
      <c r="N808" s="89"/>
      <c r="O808" s="89"/>
      <c r="P808" s="89"/>
      <c r="Q808" s="89"/>
      <c r="R808" s="89"/>
      <c r="S808" s="89"/>
      <c r="T808" s="89"/>
      <c r="U808" s="89"/>
    </row>
    <row r="809">
      <c r="A809" s="89"/>
      <c r="B809" s="89"/>
      <c r="C809" s="91"/>
      <c r="D809" s="92"/>
      <c r="E809" s="89"/>
      <c r="F809" s="89"/>
      <c r="G809" s="89"/>
      <c r="H809" s="89"/>
      <c r="I809" s="89"/>
      <c r="J809" s="89"/>
      <c r="K809" s="89"/>
      <c r="L809" s="89"/>
      <c r="M809" s="89"/>
      <c r="N809" s="89"/>
      <c r="O809" s="89"/>
      <c r="P809" s="89"/>
      <c r="Q809" s="89"/>
      <c r="R809" s="89"/>
      <c r="S809" s="89"/>
      <c r="T809" s="89"/>
      <c r="U809" s="89"/>
    </row>
    <row r="810">
      <c r="A810" s="89"/>
      <c r="B810" s="89"/>
      <c r="C810" s="91"/>
      <c r="D810" s="92"/>
      <c r="E810" s="89"/>
      <c r="F810" s="89"/>
      <c r="G810" s="89"/>
      <c r="H810" s="89"/>
      <c r="I810" s="89"/>
      <c r="J810" s="89"/>
      <c r="K810" s="89"/>
      <c r="L810" s="89"/>
      <c r="M810" s="89"/>
      <c r="N810" s="89"/>
      <c r="O810" s="89"/>
      <c r="P810" s="89"/>
      <c r="Q810" s="89"/>
      <c r="R810" s="89"/>
      <c r="S810" s="89"/>
      <c r="T810" s="89"/>
      <c r="U810" s="89"/>
    </row>
    <row r="811">
      <c r="A811" s="89"/>
      <c r="B811" s="89"/>
      <c r="C811" s="91"/>
      <c r="D811" s="92"/>
      <c r="E811" s="89"/>
      <c r="F811" s="89"/>
      <c r="G811" s="89"/>
      <c r="H811" s="89"/>
      <c r="I811" s="89"/>
      <c r="J811" s="89"/>
      <c r="K811" s="89"/>
      <c r="L811" s="89"/>
      <c r="M811" s="89"/>
      <c r="N811" s="89"/>
      <c r="O811" s="89"/>
      <c r="P811" s="89"/>
      <c r="Q811" s="89"/>
      <c r="R811" s="89"/>
      <c r="S811" s="89"/>
      <c r="T811" s="89"/>
      <c r="U811" s="89"/>
    </row>
    <row r="812">
      <c r="A812" s="89"/>
      <c r="B812" s="89"/>
      <c r="C812" s="91"/>
      <c r="D812" s="92"/>
      <c r="E812" s="89"/>
      <c r="F812" s="89"/>
      <c r="G812" s="89"/>
      <c r="H812" s="89"/>
      <c r="I812" s="89"/>
      <c r="J812" s="89"/>
      <c r="K812" s="89"/>
      <c r="L812" s="89"/>
      <c r="M812" s="89"/>
      <c r="N812" s="89"/>
      <c r="O812" s="89"/>
      <c r="P812" s="89"/>
      <c r="Q812" s="89"/>
      <c r="R812" s="89"/>
      <c r="S812" s="89"/>
      <c r="T812" s="89"/>
      <c r="U812" s="89"/>
    </row>
    <row r="813">
      <c r="A813" s="89"/>
      <c r="B813" s="89"/>
      <c r="C813" s="91"/>
      <c r="D813" s="92"/>
      <c r="E813" s="89"/>
      <c r="F813" s="89"/>
      <c r="G813" s="89"/>
      <c r="H813" s="89"/>
      <c r="I813" s="89"/>
      <c r="J813" s="89"/>
      <c r="K813" s="89"/>
      <c r="L813" s="89"/>
      <c r="M813" s="89"/>
      <c r="N813" s="89"/>
      <c r="O813" s="89"/>
      <c r="P813" s="89"/>
      <c r="Q813" s="89"/>
      <c r="R813" s="89"/>
      <c r="S813" s="89"/>
      <c r="T813" s="89"/>
      <c r="U813" s="89"/>
    </row>
    <row r="814">
      <c r="A814" s="89"/>
      <c r="B814" s="89"/>
      <c r="C814" s="91"/>
      <c r="D814" s="92"/>
      <c r="E814" s="89"/>
      <c r="F814" s="89"/>
      <c r="G814" s="89"/>
      <c r="H814" s="89"/>
      <c r="I814" s="89"/>
      <c r="J814" s="89"/>
      <c r="K814" s="89"/>
      <c r="L814" s="89"/>
      <c r="M814" s="89"/>
      <c r="N814" s="89"/>
      <c r="O814" s="89"/>
      <c r="P814" s="89"/>
      <c r="Q814" s="89"/>
      <c r="R814" s="89"/>
      <c r="S814" s="89"/>
      <c r="T814" s="89"/>
      <c r="U814" s="89"/>
    </row>
    <row r="815">
      <c r="A815" s="89"/>
      <c r="B815" s="89"/>
      <c r="C815" s="91"/>
      <c r="D815" s="92"/>
      <c r="E815" s="89"/>
      <c r="F815" s="89"/>
      <c r="G815" s="89"/>
      <c r="H815" s="89"/>
      <c r="I815" s="89"/>
      <c r="J815" s="89"/>
      <c r="K815" s="89"/>
      <c r="L815" s="89"/>
      <c r="M815" s="89"/>
      <c r="N815" s="89"/>
      <c r="O815" s="89"/>
      <c r="P815" s="89"/>
      <c r="Q815" s="89"/>
      <c r="R815" s="89"/>
      <c r="S815" s="89"/>
      <c r="T815" s="89"/>
      <c r="U815" s="89"/>
    </row>
    <row r="816">
      <c r="A816" s="89"/>
      <c r="B816" s="89"/>
      <c r="C816" s="91"/>
      <c r="D816" s="92"/>
      <c r="E816" s="89"/>
      <c r="F816" s="89"/>
      <c r="G816" s="89"/>
      <c r="H816" s="89"/>
      <c r="I816" s="89"/>
      <c r="J816" s="89"/>
      <c r="K816" s="89"/>
      <c r="L816" s="89"/>
      <c r="M816" s="89"/>
      <c r="N816" s="89"/>
      <c r="O816" s="89"/>
      <c r="P816" s="89"/>
      <c r="Q816" s="89"/>
      <c r="R816" s="89"/>
      <c r="S816" s="89"/>
      <c r="T816" s="89"/>
      <c r="U816" s="89"/>
    </row>
    <row r="817">
      <c r="A817" s="89"/>
      <c r="B817" s="89"/>
      <c r="C817" s="91"/>
      <c r="D817" s="92"/>
      <c r="E817" s="89"/>
      <c r="F817" s="89"/>
      <c r="G817" s="89"/>
      <c r="H817" s="89"/>
      <c r="I817" s="89"/>
      <c r="J817" s="89"/>
      <c r="K817" s="89"/>
      <c r="L817" s="89"/>
      <c r="M817" s="89"/>
      <c r="N817" s="89"/>
      <c r="O817" s="89"/>
      <c r="P817" s="89"/>
      <c r="Q817" s="89"/>
      <c r="R817" s="89"/>
      <c r="S817" s="89"/>
      <c r="T817" s="89"/>
      <c r="U817" s="89"/>
    </row>
    <row r="818">
      <c r="A818" s="89"/>
      <c r="B818" s="89"/>
      <c r="C818" s="91"/>
      <c r="D818" s="92"/>
      <c r="E818" s="89"/>
      <c r="F818" s="89"/>
      <c r="G818" s="89"/>
      <c r="H818" s="89"/>
      <c r="I818" s="89"/>
      <c r="J818" s="89"/>
      <c r="K818" s="89"/>
      <c r="L818" s="89"/>
      <c r="M818" s="89"/>
      <c r="N818" s="89"/>
      <c r="O818" s="89"/>
      <c r="P818" s="89"/>
      <c r="Q818" s="89"/>
      <c r="R818" s="89"/>
      <c r="S818" s="89"/>
      <c r="T818" s="89"/>
      <c r="U818" s="89"/>
    </row>
    <row r="819">
      <c r="A819" s="89"/>
      <c r="B819" s="89"/>
      <c r="C819" s="91"/>
      <c r="D819" s="92"/>
      <c r="E819" s="89"/>
      <c r="F819" s="89"/>
      <c r="G819" s="89"/>
      <c r="H819" s="89"/>
      <c r="I819" s="89"/>
      <c r="J819" s="89"/>
      <c r="K819" s="89"/>
      <c r="L819" s="89"/>
      <c r="M819" s="89"/>
      <c r="N819" s="89"/>
      <c r="O819" s="89"/>
      <c r="P819" s="89"/>
      <c r="Q819" s="89"/>
      <c r="R819" s="89"/>
      <c r="S819" s="89"/>
      <c r="T819" s="89"/>
      <c r="U819" s="89"/>
    </row>
    <row r="820">
      <c r="A820" s="89"/>
      <c r="B820" s="89"/>
      <c r="C820" s="91"/>
      <c r="D820" s="92"/>
      <c r="E820" s="89"/>
      <c r="F820" s="89"/>
      <c r="G820" s="89"/>
      <c r="H820" s="89"/>
      <c r="I820" s="89"/>
      <c r="J820" s="89"/>
      <c r="K820" s="89"/>
      <c r="L820" s="89"/>
      <c r="M820" s="89"/>
      <c r="N820" s="89"/>
      <c r="O820" s="89"/>
      <c r="P820" s="89"/>
      <c r="Q820" s="89"/>
      <c r="R820" s="89"/>
      <c r="S820" s="89"/>
      <c r="T820" s="89"/>
      <c r="U820" s="89"/>
    </row>
    <row r="821">
      <c r="A821" s="89"/>
      <c r="B821" s="89"/>
      <c r="C821" s="91"/>
      <c r="D821" s="92"/>
      <c r="E821" s="89"/>
      <c r="F821" s="89"/>
      <c r="G821" s="89"/>
      <c r="H821" s="89"/>
      <c r="I821" s="89"/>
      <c r="J821" s="89"/>
      <c r="K821" s="89"/>
      <c r="L821" s="89"/>
      <c r="M821" s="89"/>
      <c r="N821" s="89"/>
      <c r="O821" s="89"/>
      <c r="P821" s="89"/>
      <c r="Q821" s="89"/>
      <c r="R821" s="89"/>
      <c r="S821" s="89"/>
      <c r="T821" s="89"/>
      <c r="U821" s="89"/>
    </row>
    <row r="822">
      <c r="A822" s="89"/>
      <c r="B822" s="89"/>
      <c r="C822" s="91"/>
      <c r="D822" s="92"/>
      <c r="E822" s="89"/>
      <c r="F822" s="89"/>
      <c r="G822" s="89"/>
      <c r="H822" s="89"/>
      <c r="I822" s="89"/>
      <c r="J822" s="89"/>
      <c r="K822" s="89"/>
      <c r="L822" s="89"/>
      <c r="M822" s="89"/>
      <c r="N822" s="89"/>
      <c r="O822" s="89"/>
      <c r="P822" s="89"/>
      <c r="Q822" s="89"/>
      <c r="R822" s="89"/>
      <c r="S822" s="89"/>
      <c r="T822" s="89"/>
      <c r="U822" s="89"/>
    </row>
    <row r="823">
      <c r="A823" s="89"/>
      <c r="B823" s="89"/>
      <c r="C823" s="91"/>
      <c r="D823" s="92"/>
      <c r="E823" s="89"/>
      <c r="F823" s="89"/>
      <c r="G823" s="89"/>
      <c r="H823" s="89"/>
      <c r="I823" s="89"/>
      <c r="J823" s="89"/>
      <c r="K823" s="89"/>
      <c r="L823" s="89"/>
      <c r="M823" s="89"/>
      <c r="N823" s="89"/>
      <c r="O823" s="89"/>
      <c r="P823" s="89"/>
      <c r="Q823" s="89"/>
      <c r="R823" s="89"/>
      <c r="S823" s="89"/>
      <c r="T823" s="89"/>
      <c r="U823" s="89"/>
    </row>
    <row r="824">
      <c r="A824" s="89"/>
      <c r="B824" s="89"/>
      <c r="C824" s="91"/>
      <c r="D824" s="92"/>
      <c r="E824" s="89"/>
      <c r="F824" s="89"/>
      <c r="G824" s="89"/>
      <c r="H824" s="89"/>
      <c r="I824" s="89"/>
      <c r="J824" s="89"/>
      <c r="K824" s="89"/>
      <c r="L824" s="89"/>
      <c r="M824" s="89"/>
      <c r="N824" s="89"/>
      <c r="O824" s="89"/>
      <c r="P824" s="89"/>
      <c r="Q824" s="89"/>
      <c r="R824" s="89"/>
      <c r="S824" s="89"/>
      <c r="T824" s="89"/>
      <c r="U824" s="89"/>
    </row>
    <row r="825">
      <c r="A825" s="89"/>
      <c r="B825" s="89"/>
      <c r="C825" s="91"/>
      <c r="D825" s="92"/>
      <c r="E825" s="89"/>
      <c r="F825" s="89"/>
      <c r="G825" s="89"/>
      <c r="H825" s="89"/>
      <c r="I825" s="89"/>
      <c r="J825" s="89"/>
      <c r="K825" s="89"/>
      <c r="L825" s="89"/>
      <c r="M825" s="89"/>
      <c r="N825" s="89"/>
      <c r="O825" s="89"/>
      <c r="P825" s="89"/>
      <c r="Q825" s="89"/>
      <c r="R825" s="89"/>
      <c r="S825" s="89"/>
      <c r="T825" s="89"/>
      <c r="U825" s="89"/>
    </row>
    <row r="826">
      <c r="A826" s="89"/>
      <c r="B826" s="89"/>
      <c r="C826" s="91"/>
      <c r="D826" s="92"/>
      <c r="E826" s="89"/>
      <c r="F826" s="89"/>
      <c r="G826" s="89"/>
      <c r="H826" s="89"/>
      <c r="I826" s="89"/>
      <c r="J826" s="89"/>
      <c r="K826" s="89"/>
      <c r="L826" s="89"/>
      <c r="M826" s="89"/>
      <c r="N826" s="89"/>
      <c r="O826" s="89"/>
      <c r="P826" s="89"/>
      <c r="Q826" s="89"/>
      <c r="R826" s="89"/>
      <c r="S826" s="89"/>
      <c r="T826" s="89"/>
      <c r="U826" s="89"/>
    </row>
    <row r="827">
      <c r="A827" s="89"/>
      <c r="B827" s="89"/>
      <c r="C827" s="91"/>
      <c r="D827" s="92"/>
      <c r="E827" s="89"/>
      <c r="F827" s="89"/>
      <c r="G827" s="89"/>
      <c r="H827" s="89"/>
      <c r="I827" s="89"/>
      <c r="J827" s="89"/>
      <c r="K827" s="89"/>
      <c r="L827" s="89"/>
      <c r="M827" s="89"/>
      <c r="N827" s="89"/>
      <c r="O827" s="89"/>
      <c r="P827" s="89"/>
      <c r="Q827" s="89"/>
      <c r="R827" s="89"/>
      <c r="S827" s="89"/>
      <c r="T827" s="89"/>
      <c r="U827" s="89"/>
    </row>
    <row r="828">
      <c r="A828" s="89"/>
      <c r="B828" s="89"/>
      <c r="C828" s="91"/>
      <c r="D828" s="92"/>
      <c r="E828" s="89"/>
      <c r="F828" s="89"/>
      <c r="G828" s="89"/>
      <c r="H828" s="89"/>
      <c r="I828" s="89"/>
      <c r="J828" s="89"/>
      <c r="K828" s="89"/>
      <c r="L828" s="89"/>
      <c r="M828" s="89"/>
      <c r="N828" s="89"/>
      <c r="O828" s="89"/>
      <c r="P828" s="89"/>
      <c r="Q828" s="89"/>
      <c r="R828" s="89"/>
      <c r="S828" s="89"/>
      <c r="T828" s="89"/>
      <c r="U828" s="89"/>
    </row>
    <row r="829">
      <c r="A829" s="89"/>
      <c r="B829" s="89"/>
      <c r="C829" s="91"/>
      <c r="D829" s="92"/>
      <c r="E829" s="89"/>
      <c r="F829" s="89"/>
      <c r="G829" s="89"/>
      <c r="H829" s="89"/>
      <c r="I829" s="89"/>
      <c r="J829" s="89"/>
      <c r="K829" s="89"/>
      <c r="L829" s="89"/>
      <c r="M829" s="89"/>
      <c r="N829" s="89"/>
      <c r="O829" s="89"/>
      <c r="P829" s="89"/>
      <c r="Q829" s="89"/>
      <c r="R829" s="89"/>
      <c r="S829" s="89"/>
      <c r="T829" s="89"/>
      <c r="U829" s="89"/>
    </row>
    <row r="830">
      <c r="A830" s="89"/>
      <c r="B830" s="89"/>
      <c r="C830" s="91"/>
      <c r="D830" s="92"/>
      <c r="E830" s="89"/>
      <c r="F830" s="89"/>
      <c r="G830" s="89"/>
      <c r="H830" s="89"/>
      <c r="I830" s="89"/>
      <c r="J830" s="89"/>
      <c r="K830" s="89"/>
      <c r="L830" s="89"/>
      <c r="M830" s="89"/>
      <c r="N830" s="89"/>
      <c r="O830" s="89"/>
      <c r="P830" s="89"/>
      <c r="Q830" s="89"/>
      <c r="R830" s="89"/>
      <c r="S830" s="89"/>
      <c r="T830" s="89"/>
      <c r="U830" s="89"/>
    </row>
    <row r="831">
      <c r="A831" s="89"/>
      <c r="B831" s="89"/>
      <c r="C831" s="91"/>
      <c r="D831" s="92"/>
      <c r="E831" s="89"/>
      <c r="F831" s="89"/>
      <c r="G831" s="89"/>
      <c r="H831" s="89"/>
      <c r="I831" s="89"/>
      <c r="J831" s="89"/>
      <c r="K831" s="89"/>
      <c r="L831" s="89"/>
      <c r="M831" s="89"/>
      <c r="N831" s="89"/>
      <c r="O831" s="89"/>
      <c r="P831" s="89"/>
      <c r="Q831" s="89"/>
      <c r="R831" s="89"/>
      <c r="S831" s="89"/>
      <c r="T831" s="89"/>
      <c r="U831" s="89"/>
    </row>
    <row r="832">
      <c r="A832" s="89"/>
      <c r="B832" s="89"/>
      <c r="C832" s="91"/>
      <c r="D832" s="92"/>
      <c r="E832" s="89"/>
      <c r="F832" s="89"/>
      <c r="G832" s="89"/>
      <c r="H832" s="89"/>
      <c r="I832" s="89"/>
      <c r="J832" s="89"/>
      <c r="K832" s="89"/>
      <c r="L832" s="89"/>
      <c r="M832" s="89"/>
      <c r="N832" s="89"/>
      <c r="O832" s="89"/>
      <c r="P832" s="89"/>
      <c r="Q832" s="89"/>
      <c r="R832" s="89"/>
      <c r="S832" s="89"/>
      <c r="T832" s="89"/>
      <c r="U832" s="89"/>
    </row>
    <row r="833">
      <c r="A833" s="89"/>
      <c r="B833" s="89"/>
      <c r="C833" s="91"/>
      <c r="D833" s="92"/>
      <c r="E833" s="89"/>
      <c r="F833" s="89"/>
      <c r="G833" s="89"/>
      <c r="H833" s="89"/>
      <c r="I833" s="89"/>
      <c r="J833" s="89"/>
      <c r="K833" s="89"/>
      <c r="L833" s="89"/>
      <c r="M833" s="89"/>
      <c r="N833" s="89"/>
      <c r="O833" s="89"/>
      <c r="P833" s="89"/>
      <c r="Q833" s="89"/>
      <c r="R833" s="89"/>
      <c r="S833" s="89"/>
      <c r="T833" s="89"/>
      <c r="U833" s="89"/>
    </row>
    <row r="834">
      <c r="A834" s="89"/>
      <c r="B834" s="89"/>
      <c r="C834" s="91"/>
      <c r="D834" s="92"/>
      <c r="E834" s="89"/>
      <c r="F834" s="89"/>
      <c r="G834" s="89"/>
      <c r="H834" s="89"/>
      <c r="I834" s="89"/>
      <c r="J834" s="89"/>
      <c r="K834" s="89"/>
      <c r="L834" s="89"/>
      <c r="M834" s="89"/>
      <c r="N834" s="89"/>
      <c r="O834" s="89"/>
      <c r="P834" s="89"/>
      <c r="Q834" s="89"/>
      <c r="R834" s="89"/>
      <c r="S834" s="89"/>
      <c r="T834" s="89"/>
      <c r="U834" s="89"/>
    </row>
    <row r="835">
      <c r="A835" s="89"/>
      <c r="B835" s="89"/>
      <c r="C835" s="91"/>
      <c r="D835" s="92"/>
      <c r="E835" s="89"/>
      <c r="F835" s="89"/>
      <c r="G835" s="89"/>
      <c r="H835" s="89"/>
      <c r="I835" s="89"/>
      <c r="J835" s="89"/>
      <c r="K835" s="89"/>
      <c r="L835" s="89"/>
      <c r="M835" s="89"/>
      <c r="N835" s="89"/>
      <c r="O835" s="89"/>
      <c r="P835" s="89"/>
      <c r="Q835" s="89"/>
      <c r="R835" s="89"/>
      <c r="S835" s="89"/>
      <c r="T835" s="89"/>
      <c r="U835" s="89"/>
    </row>
    <row r="836">
      <c r="A836" s="89"/>
      <c r="B836" s="89"/>
      <c r="C836" s="91"/>
      <c r="D836" s="92"/>
      <c r="E836" s="89"/>
      <c r="F836" s="89"/>
      <c r="G836" s="89"/>
      <c r="H836" s="89"/>
      <c r="I836" s="89"/>
      <c r="J836" s="89"/>
      <c r="K836" s="89"/>
      <c r="L836" s="89"/>
      <c r="M836" s="89"/>
      <c r="N836" s="89"/>
      <c r="O836" s="89"/>
      <c r="P836" s="89"/>
      <c r="Q836" s="89"/>
      <c r="R836" s="89"/>
      <c r="S836" s="89"/>
      <c r="T836" s="89"/>
      <c r="U836" s="89"/>
    </row>
    <row r="837">
      <c r="A837" s="89"/>
      <c r="B837" s="89"/>
      <c r="C837" s="91"/>
      <c r="D837" s="92"/>
      <c r="E837" s="89"/>
      <c r="F837" s="89"/>
      <c r="G837" s="89"/>
      <c r="H837" s="89"/>
      <c r="I837" s="89"/>
      <c r="J837" s="89"/>
      <c r="K837" s="89"/>
      <c r="L837" s="89"/>
      <c r="M837" s="89"/>
      <c r="N837" s="89"/>
      <c r="O837" s="89"/>
      <c r="P837" s="89"/>
      <c r="Q837" s="89"/>
      <c r="R837" s="89"/>
      <c r="S837" s="89"/>
      <c r="T837" s="89"/>
      <c r="U837" s="89"/>
    </row>
    <row r="838">
      <c r="A838" s="89"/>
      <c r="B838" s="89"/>
      <c r="C838" s="91"/>
      <c r="D838" s="92"/>
      <c r="E838" s="89"/>
      <c r="F838" s="89"/>
      <c r="G838" s="89"/>
      <c r="H838" s="89"/>
      <c r="I838" s="89"/>
      <c r="J838" s="89"/>
      <c r="K838" s="89"/>
      <c r="L838" s="89"/>
      <c r="M838" s="89"/>
      <c r="N838" s="89"/>
      <c r="O838" s="89"/>
      <c r="P838" s="89"/>
      <c r="Q838" s="89"/>
      <c r="R838" s="89"/>
      <c r="S838" s="89"/>
      <c r="T838" s="89"/>
      <c r="U838" s="89"/>
    </row>
    <row r="839">
      <c r="A839" s="89"/>
      <c r="B839" s="89"/>
      <c r="C839" s="91"/>
      <c r="D839" s="92"/>
      <c r="E839" s="89"/>
      <c r="F839" s="89"/>
      <c r="G839" s="89"/>
      <c r="H839" s="89"/>
      <c r="I839" s="89"/>
      <c r="J839" s="89"/>
      <c r="K839" s="89"/>
      <c r="L839" s="89"/>
      <c r="M839" s="89"/>
      <c r="N839" s="89"/>
      <c r="O839" s="89"/>
      <c r="P839" s="89"/>
      <c r="Q839" s="89"/>
      <c r="R839" s="89"/>
      <c r="S839" s="89"/>
      <c r="T839" s="89"/>
      <c r="U839" s="89"/>
    </row>
    <row r="840">
      <c r="A840" s="89"/>
      <c r="B840" s="89"/>
      <c r="C840" s="91"/>
      <c r="D840" s="92"/>
      <c r="E840" s="89"/>
      <c r="F840" s="89"/>
      <c r="G840" s="89"/>
      <c r="H840" s="89"/>
      <c r="I840" s="89"/>
      <c r="J840" s="89"/>
      <c r="K840" s="89"/>
      <c r="L840" s="89"/>
      <c r="M840" s="89"/>
      <c r="N840" s="89"/>
      <c r="O840" s="89"/>
      <c r="P840" s="89"/>
      <c r="Q840" s="89"/>
      <c r="R840" s="89"/>
      <c r="S840" s="89"/>
      <c r="T840" s="89"/>
      <c r="U840" s="89"/>
    </row>
    <row r="841">
      <c r="A841" s="89"/>
      <c r="B841" s="89"/>
      <c r="C841" s="91"/>
      <c r="D841" s="92"/>
      <c r="E841" s="89"/>
      <c r="F841" s="89"/>
      <c r="G841" s="89"/>
      <c r="H841" s="89"/>
      <c r="I841" s="89"/>
      <c r="J841" s="89"/>
      <c r="K841" s="89"/>
      <c r="L841" s="89"/>
      <c r="M841" s="89"/>
      <c r="N841" s="89"/>
      <c r="O841" s="89"/>
      <c r="P841" s="89"/>
      <c r="Q841" s="89"/>
      <c r="R841" s="89"/>
      <c r="S841" s="89"/>
      <c r="T841" s="89"/>
      <c r="U841" s="89"/>
    </row>
    <row r="842">
      <c r="A842" s="89"/>
      <c r="B842" s="89"/>
      <c r="C842" s="91"/>
      <c r="D842" s="92"/>
      <c r="E842" s="89"/>
      <c r="F842" s="89"/>
      <c r="G842" s="89"/>
      <c r="H842" s="89"/>
      <c r="I842" s="89"/>
      <c r="J842" s="89"/>
      <c r="K842" s="89"/>
      <c r="L842" s="89"/>
      <c r="M842" s="89"/>
      <c r="N842" s="89"/>
      <c r="O842" s="89"/>
      <c r="P842" s="89"/>
      <c r="Q842" s="89"/>
      <c r="R842" s="89"/>
      <c r="S842" s="89"/>
      <c r="T842" s="89"/>
      <c r="U842" s="89"/>
    </row>
    <row r="843">
      <c r="A843" s="89"/>
      <c r="B843" s="89"/>
      <c r="C843" s="91"/>
      <c r="D843" s="92"/>
      <c r="E843" s="89"/>
      <c r="F843" s="89"/>
      <c r="G843" s="89"/>
      <c r="H843" s="89"/>
      <c r="I843" s="89"/>
      <c r="J843" s="89"/>
      <c r="K843" s="89"/>
      <c r="L843" s="89"/>
      <c r="M843" s="89"/>
      <c r="N843" s="89"/>
      <c r="O843" s="89"/>
      <c r="P843" s="89"/>
      <c r="Q843" s="89"/>
      <c r="R843" s="89"/>
      <c r="S843" s="89"/>
      <c r="T843" s="89"/>
      <c r="U843" s="89"/>
    </row>
    <row r="844">
      <c r="A844" s="89"/>
      <c r="B844" s="89"/>
      <c r="C844" s="91"/>
      <c r="D844" s="92"/>
      <c r="E844" s="89"/>
      <c r="F844" s="89"/>
      <c r="G844" s="89"/>
      <c r="H844" s="89"/>
      <c r="I844" s="89"/>
      <c r="J844" s="89"/>
      <c r="K844" s="89"/>
      <c r="L844" s="89"/>
      <c r="M844" s="89"/>
      <c r="N844" s="89"/>
      <c r="O844" s="89"/>
      <c r="P844" s="89"/>
      <c r="Q844" s="89"/>
      <c r="R844" s="89"/>
      <c r="S844" s="89"/>
      <c r="T844" s="89"/>
      <c r="U844" s="89"/>
    </row>
    <row r="845">
      <c r="A845" s="89"/>
      <c r="B845" s="89"/>
      <c r="C845" s="91"/>
      <c r="D845" s="92"/>
      <c r="E845" s="89"/>
      <c r="F845" s="89"/>
      <c r="G845" s="89"/>
      <c r="H845" s="89"/>
      <c r="I845" s="89"/>
      <c r="J845" s="89"/>
      <c r="K845" s="89"/>
      <c r="L845" s="89"/>
      <c r="M845" s="89"/>
      <c r="N845" s="89"/>
      <c r="O845" s="89"/>
      <c r="P845" s="89"/>
      <c r="Q845" s="89"/>
      <c r="R845" s="89"/>
      <c r="S845" s="89"/>
      <c r="T845" s="89"/>
      <c r="U845" s="89"/>
    </row>
    <row r="846">
      <c r="A846" s="89"/>
      <c r="B846" s="89"/>
      <c r="C846" s="91"/>
      <c r="D846" s="92"/>
      <c r="E846" s="89"/>
      <c r="F846" s="89"/>
      <c r="G846" s="89"/>
      <c r="H846" s="89"/>
      <c r="I846" s="89"/>
      <c r="J846" s="89"/>
      <c r="K846" s="89"/>
      <c r="L846" s="89"/>
      <c r="M846" s="89"/>
      <c r="N846" s="89"/>
      <c r="O846" s="89"/>
      <c r="P846" s="89"/>
      <c r="Q846" s="89"/>
      <c r="R846" s="89"/>
      <c r="S846" s="89"/>
      <c r="T846" s="89"/>
      <c r="U846" s="89"/>
    </row>
    <row r="847">
      <c r="A847" s="89"/>
      <c r="B847" s="89"/>
      <c r="C847" s="91"/>
      <c r="D847" s="92"/>
      <c r="E847" s="89"/>
      <c r="F847" s="89"/>
      <c r="G847" s="89"/>
      <c r="H847" s="89"/>
      <c r="I847" s="89"/>
      <c r="J847" s="89"/>
      <c r="K847" s="89"/>
      <c r="L847" s="89"/>
      <c r="M847" s="89"/>
      <c r="N847" s="89"/>
      <c r="O847" s="89"/>
      <c r="P847" s="89"/>
      <c r="Q847" s="89"/>
      <c r="R847" s="89"/>
      <c r="S847" s="89"/>
      <c r="T847" s="89"/>
      <c r="U847" s="89"/>
    </row>
    <row r="848">
      <c r="A848" s="89"/>
      <c r="B848" s="89"/>
      <c r="C848" s="91"/>
      <c r="D848" s="92"/>
      <c r="E848" s="89"/>
      <c r="F848" s="89"/>
      <c r="G848" s="89"/>
      <c r="H848" s="89"/>
      <c r="I848" s="89"/>
      <c r="J848" s="89"/>
      <c r="K848" s="89"/>
      <c r="L848" s="89"/>
      <c r="M848" s="89"/>
      <c r="N848" s="89"/>
      <c r="O848" s="89"/>
      <c r="P848" s="89"/>
      <c r="Q848" s="89"/>
      <c r="R848" s="89"/>
      <c r="S848" s="89"/>
      <c r="T848" s="89"/>
      <c r="U848" s="89"/>
    </row>
    <row r="849">
      <c r="A849" s="89"/>
      <c r="B849" s="89"/>
      <c r="C849" s="91"/>
      <c r="D849" s="92"/>
      <c r="E849" s="89"/>
      <c r="F849" s="89"/>
      <c r="G849" s="89"/>
      <c r="H849" s="89"/>
      <c r="I849" s="89"/>
      <c r="J849" s="89"/>
      <c r="K849" s="89"/>
      <c r="L849" s="89"/>
      <c r="M849" s="89"/>
      <c r="N849" s="89"/>
      <c r="O849" s="89"/>
      <c r="P849" s="89"/>
      <c r="Q849" s="89"/>
      <c r="R849" s="89"/>
      <c r="S849" s="89"/>
      <c r="T849" s="89"/>
      <c r="U849" s="89"/>
    </row>
    <row r="850">
      <c r="A850" s="89"/>
      <c r="B850" s="89"/>
      <c r="C850" s="91"/>
      <c r="D850" s="92"/>
      <c r="E850" s="89"/>
      <c r="F850" s="89"/>
      <c r="G850" s="89"/>
      <c r="H850" s="89"/>
      <c r="I850" s="89"/>
      <c r="J850" s="89"/>
      <c r="K850" s="89"/>
      <c r="L850" s="89"/>
      <c r="M850" s="89"/>
      <c r="N850" s="89"/>
      <c r="O850" s="89"/>
      <c r="P850" s="89"/>
      <c r="Q850" s="89"/>
      <c r="R850" s="89"/>
      <c r="S850" s="89"/>
      <c r="T850" s="89"/>
      <c r="U850" s="89"/>
    </row>
    <row r="851">
      <c r="A851" s="89"/>
      <c r="B851" s="89"/>
      <c r="C851" s="91"/>
      <c r="D851" s="92"/>
      <c r="E851" s="89"/>
      <c r="F851" s="89"/>
      <c r="G851" s="89"/>
      <c r="H851" s="89"/>
      <c r="I851" s="89"/>
      <c r="J851" s="89"/>
      <c r="K851" s="89"/>
      <c r="L851" s="89"/>
      <c r="M851" s="89"/>
      <c r="N851" s="89"/>
      <c r="O851" s="89"/>
      <c r="P851" s="89"/>
      <c r="Q851" s="89"/>
      <c r="R851" s="89"/>
      <c r="S851" s="89"/>
      <c r="T851" s="89"/>
      <c r="U851" s="89"/>
    </row>
    <row r="852">
      <c r="A852" s="89"/>
      <c r="B852" s="89"/>
      <c r="C852" s="91"/>
      <c r="D852" s="92"/>
      <c r="E852" s="89"/>
      <c r="F852" s="89"/>
      <c r="G852" s="89"/>
      <c r="H852" s="89"/>
      <c r="I852" s="89"/>
      <c r="J852" s="89"/>
      <c r="K852" s="89"/>
      <c r="L852" s="89"/>
      <c r="M852" s="89"/>
      <c r="N852" s="89"/>
      <c r="O852" s="89"/>
      <c r="P852" s="89"/>
      <c r="Q852" s="89"/>
      <c r="R852" s="89"/>
      <c r="S852" s="89"/>
      <c r="T852" s="89"/>
      <c r="U852" s="89"/>
    </row>
    <row r="853">
      <c r="A853" s="89"/>
      <c r="B853" s="89"/>
      <c r="C853" s="91"/>
      <c r="D853" s="92"/>
      <c r="E853" s="89"/>
      <c r="F853" s="89"/>
      <c r="G853" s="89"/>
      <c r="H853" s="89"/>
      <c r="I853" s="89"/>
      <c r="J853" s="89"/>
      <c r="K853" s="89"/>
      <c r="L853" s="89"/>
      <c r="M853" s="89"/>
      <c r="N853" s="89"/>
      <c r="O853" s="89"/>
      <c r="P853" s="89"/>
      <c r="Q853" s="89"/>
      <c r="R853" s="89"/>
      <c r="S853" s="89"/>
      <c r="T853" s="89"/>
      <c r="U853" s="89"/>
    </row>
    <row r="854">
      <c r="A854" s="89"/>
      <c r="B854" s="89"/>
      <c r="C854" s="91"/>
      <c r="D854" s="92"/>
      <c r="E854" s="89"/>
      <c r="F854" s="89"/>
      <c r="G854" s="89"/>
      <c r="H854" s="89"/>
      <c r="I854" s="89"/>
      <c r="J854" s="89"/>
      <c r="K854" s="89"/>
      <c r="L854" s="89"/>
      <c r="M854" s="89"/>
      <c r="N854" s="89"/>
      <c r="O854" s="89"/>
      <c r="P854" s="89"/>
      <c r="Q854" s="89"/>
      <c r="R854" s="89"/>
      <c r="S854" s="89"/>
      <c r="T854" s="89"/>
      <c r="U854" s="89"/>
    </row>
    <row r="855">
      <c r="A855" s="89"/>
      <c r="B855" s="89"/>
      <c r="C855" s="91"/>
      <c r="D855" s="92"/>
      <c r="E855" s="89"/>
      <c r="F855" s="89"/>
      <c r="G855" s="89"/>
      <c r="H855" s="89"/>
      <c r="I855" s="89"/>
      <c r="J855" s="89"/>
      <c r="K855" s="89"/>
      <c r="L855" s="89"/>
      <c r="M855" s="89"/>
      <c r="N855" s="89"/>
      <c r="O855" s="89"/>
      <c r="P855" s="89"/>
      <c r="Q855" s="89"/>
      <c r="R855" s="89"/>
      <c r="S855" s="89"/>
      <c r="T855" s="89"/>
      <c r="U855" s="89"/>
    </row>
    <row r="856">
      <c r="A856" s="89"/>
      <c r="B856" s="89"/>
      <c r="C856" s="91"/>
      <c r="D856" s="92"/>
      <c r="E856" s="89"/>
      <c r="F856" s="89"/>
      <c r="G856" s="89"/>
      <c r="H856" s="89"/>
      <c r="I856" s="89"/>
      <c r="J856" s="89"/>
      <c r="K856" s="89"/>
      <c r="L856" s="89"/>
      <c r="M856" s="89"/>
      <c r="N856" s="89"/>
      <c r="O856" s="89"/>
      <c r="P856" s="89"/>
      <c r="Q856" s="89"/>
      <c r="R856" s="89"/>
      <c r="S856" s="89"/>
      <c r="T856" s="89"/>
      <c r="U856" s="89"/>
    </row>
    <row r="857">
      <c r="A857" s="89"/>
      <c r="B857" s="89"/>
      <c r="C857" s="91"/>
      <c r="D857" s="92"/>
      <c r="E857" s="89"/>
      <c r="F857" s="89"/>
      <c r="G857" s="89"/>
      <c r="H857" s="89"/>
      <c r="I857" s="89"/>
      <c r="J857" s="89"/>
      <c r="K857" s="89"/>
      <c r="L857" s="89"/>
      <c r="M857" s="89"/>
      <c r="N857" s="89"/>
      <c r="O857" s="89"/>
      <c r="P857" s="89"/>
      <c r="Q857" s="89"/>
      <c r="R857" s="89"/>
      <c r="S857" s="89"/>
      <c r="T857" s="89"/>
      <c r="U857" s="89"/>
    </row>
    <row r="858">
      <c r="A858" s="89"/>
      <c r="B858" s="89"/>
      <c r="C858" s="91"/>
      <c r="D858" s="92"/>
      <c r="E858" s="89"/>
      <c r="F858" s="89"/>
      <c r="G858" s="89"/>
      <c r="H858" s="89"/>
      <c r="I858" s="89"/>
      <c r="J858" s="89"/>
      <c r="K858" s="89"/>
      <c r="L858" s="89"/>
      <c r="M858" s="89"/>
      <c r="N858" s="89"/>
      <c r="O858" s="89"/>
      <c r="P858" s="89"/>
      <c r="Q858" s="89"/>
      <c r="R858" s="89"/>
      <c r="S858" s="89"/>
      <c r="T858" s="89"/>
      <c r="U858" s="89"/>
    </row>
    <row r="859">
      <c r="A859" s="89"/>
      <c r="B859" s="89"/>
      <c r="C859" s="91"/>
      <c r="D859" s="92"/>
      <c r="E859" s="89"/>
      <c r="F859" s="89"/>
      <c r="G859" s="89"/>
      <c r="H859" s="89"/>
      <c r="I859" s="89"/>
      <c r="J859" s="89"/>
      <c r="K859" s="89"/>
      <c r="L859" s="89"/>
      <c r="M859" s="89"/>
      <c r="N859" s="89"/>
      <c r="O859" s="89"/>
      <c r="P859" s="89"/>
      <c r="Q859" s="89"/>
      <c r="R859" s="89"/>
      <c r="S859" s="89"/>
      <c r="T859" s="89"/>
      <c r="U859" s="89"/>
    </row>
    <row r="860">
      <c r="A860" s="89"/>
      <c r="B860" s="89"/>
      <c r="C860" s="91"/>
      <c r="D860" s="92"/>
      <c r="E860" s="89"/>
      <c r="F860" s="89"/>
      <c r="G860" s="89"/>
      <c r="H860" s="89"/>
      <c r="I860" s="89"/>
      <c r="J860" s="89"/>
      <c r="K860" s="89"/>
      <c r="L860" s="89"/>
      <c r="M860" s="89"/>
      <c r="N860" s="89"/>
      <c r="O860" s="89"/>
      <c r="P860" s="89"/>
      <c r="Q860" s="89"/>
      <c r="R860" s="89"/>
      <c r="S860" s="89"/>
      <c r="T860" s="89"/>
      <c r="U860" s="89"/>
    </row>
    <row r="861">
      <c r="A861" s="89"/>
      <c r="B861" s="89"/>
      <c r="C861" s="91"/>
      <c r="D861" s="92"/>
      <c r="E861" s="89"/>
      <c r="F861" s="89"/>
      <c r="G861" s="89"/>
      <c r="H861" s="89"/>
      <c r="I861" s="89"/>
      <c r="J861" s="89"/>
      <c r="K861" s="89"/>
      <c r="L861" s="89"/>
      <c r="M861" s="89"/>
      <c r="N861" s="89"/>
      <c r="O861" s="89"/>
      <c r="P861" s="89"/>
      <c r="Q861" s="89"/>
      <c r="R861" s="89"/>
      <c r="S861" s="89"/>
      <c r="T861" s="89"/>
      <c r="U861" s="89"/>
    </row>
    <row r="862">
      <c r="A862" s="89"/>
      <c r="B862" s="89"/>
      <c r="C862" s="91"/>
      <c r="D862" s="92"/>
      <c r="E862" s="89"/>
      <c r="F862" s="89"/>
      <c r="G862" s="89"/>
      <c r="H862" s="89"/>
      <c r="I862" s="89"/>
      <c r="J862" s="89"/>
      <c r="K862" s="89"/>
      <c r="L862" s="89"/>
      <c r="M862" s="89"/>
      <c r="N862" s="89"/>
      <c r="O862" s="89"/>
      <c r="P862" s="89"/>
      <c r="Q862" s="89"/>
      <c r="R862" s="89"/>
      <c r="S862" s="89"/>
      <c r="T862" s="89"/>
      <c r="U862" s="89"/>
    </row>
    <row r="863">
      <c r="A863" s="89"/>
      <c r="B863" s="89"/>
      <c r="C863" s="91"/>
      <c r="D863" s="92"/>
      <c r="E863" s="89"/>
      <c r="F863" s="89"/>
      <c r="G863" s="89"/>
      <c r="H863" s="89"/>
      <c r="I863" s="89"/>
      <c r="J863" s="89"/>
      <c r="K863" s="89"/>
      <c r="L863" s="89"/>
      <c r="M863" s="89"/>
      <c r="N863" s="89"/>
      <c r="O863" s="89"/>
      <c r="P863" s="89"/>
      <c r="Q863" s="89"/>
      <c r="R863" s="89"/>
      <c r="S863" s="89"/>
      <c r="T863" s="89"/>
      <c r="U863" s="89"/>
    </row>
    <row r="864">
      <c r="A864" s="89"/>
      <c r="B864" s="89"/>
      <c r="C864" s="91"/>
      <c r="D864" s="92"/>
      <c r="E864" s="89"/>
      <c r="F864" s="89"/>
      <c r="G864" s="89"/>
      <c r="H864" s="89"/>
      <c r="I864" s="89"/>
      <c r="J864" s="89"/>
      <c r="K864" s="89"/>
      <c r="L864" s="89"/>
      <c r="M864" s="89"/>
      <c r="N864" s="89"/>
      <c r="O864" s="89"/>
      <c r="P864" s="89"/>
      <c r="Q864" s="89"/>
      <c r="R864" s="89"/>
      <c r="S864" s="89"/>
      <c r="T864" s="89"/>
      <c r="U864" s="89"/>
    </row>
    <row r="865">
      <c r="A865" s="89"/>
      <c r="B865" s="89"/>
      <c r="C865" s="91"/>
      <c r="D865" s="92"/>
      <c r="E865" s="89"/>
      <c r="F865" s="89"/>
      <c r="G865" s="89"/>
      <c r="H865" s="89"/>
      <c r="I865" s="89"/>
      <c r="J865" s="89"/>
      <c r="K865" s="89"/>
      <c r="L865" s="89"/>
      <c r="M865" s="89"/>
      <c r="N865" s="89"/>
      <c r="O865" s="89"/>
      <c r="P865" s="89"/>
      <c r="Q865" s="89"/>
      <c r="R865" s="89"/>
      <c r="S865" s="89"/>
      <c r="T865" s="89"/>
      <c r="U865" s="89"/>
    </row>
    <row r="866">
      <c r="A866" s="89"/>
      <c r="B866" s="89"/>
      <c r="C866" s="91"/>
      <c r="D866" s="92"/>
      <c r="E866" s="89"/>
      <c r="F866" s="89"/>
      <c r="G866" s="89"/>
      <c r="H866" s="89"/>
      <c r="I866" s="89"/>
      <c r="J866" s="89"/>
      <c r="K866" s="89"/>
      <c r="L866" s="89"/>
      <c r="M866" s="89"/>
      <c r="N866" s="89"/>
      <c r="O866" s="89"/>
      <c r="P866" s="89"/>
      <c r="Q866" s="89"/>
      <c r="R866" s="89"/>
      <c r="S866" s="89"/>
      <c r="T866" s="89"/>
      <c r="U866" s="89"/>
    </row>
    <row r="867">
      <c r="A867" s="89"/>
      <c r="B867" s="89"/>
      <c r="C867" s="91"/>
      <c r="D867" s="92"/>
      <c r="E867" s="89"/>
      <c r="F867" s="89"/>
      <c r="G867" s="89"/>
      <c r="H867" s="89"/>
      <c r="I867" s="89"/>
      <c r="J867" s="89"/>
      <c r="K867" s="89"/>
      <c r="L867" s="89"/>
      <c r="M867" s="89"/>
      <c r="N867" s="89"/>
      <c r="O867" s="89"/>
      <c r="P867" s="89"/>
      <c r="Q867" s="89"/>
      <c r="R867" s="89"/>
      <c r="S867" s="89"/>
      <c r="T867" s="89"/>
      <c r="U867" s="89"/>
    </row>
    <row r="868">
      <c r="A868" s="89"/>
      <c r="B868" s="89"/>
      <c r="C868" s="91"/>
      <c r="D868" s="92"/>
      <c r="E868" s="89"/>
      <c r="F868" s="89"/>
      <c r="G868" s="89"/>
      <c r="H868" s="89"/>
      <c r="I868" s="89"/>
      <c r="J868" s="89"/>
      <c r="K868" s="89"/>
      <c r="L868" s="89"/>
      <c r="M868" s="89"/>
      <c r="N868" s="89"/>
      <c r="O868" s="89"/>
      <c r="P868" s="89"/>
      <c r="Q868" s="89"/>
      <c r="R868" s="89"/>
      <c r="S868" s="89"/>
      <c r="T868" s="89"/>
      <c r="U868" s="89"/>
    </row>
    <row r="869">
      <c r="A869" s="89"/>
      <c r="B869" s="89"/>
      <c r="C869" s="91"/>
      <c r="D869" s="92"/>
      <c r="E869" s="89"/>
      <c r="F869" s="89"/>
      <c r="G869" s="89"/>
      <c r="H869" s="89"/>
      <c r="I869" s="89"/>
      <c r="J869" s="89"/>
      <c r="K869" s="89"/>
      <c r="L869" s="89"/>
      <c r="M869" s="89"/>
      <c r="N869" s="89"/>
      <c r="O869" s="89"/>
      <c r="P869" s="89"/>
      <c r="Q869" s="89"/>
      <c r="R869" s="89"/>
      <c r="S869" s="89"/>
      <c r="T869" s="89"/>
      <c r="U869" s="89"/>
    </row>
    <row r="870">
      <c r="A870" s="89"/>
      <c r="B870" s="89"/>
      <c r="C870" s="91"/>
      <c r="D870" s="92"/>
      <c r="E870" s="89"/>
      <c r="F870" s="89"/>
      <c r="G870" s="89"/>
      <c r="H870" s="89"/>
      <c r="I870" s="89"/>
      <c r="J870" s="89"/>
      <c r="K870" s="89"/>
      <c r="L870" s="89"/>
      <c r="M870" s="89"/>
      <c r="N870" s="89"/>
      <c r="O870" s="89"/>
      <c r="P870" s="89"/>
      <c r="Q870" s="89"/>
      <c r="R870" s="89"/>
      <c r="S870" s="89"/>
      <c r="T870" s="89"/>
      <c r="U870" s="89"/>
    </row>
    <row r="871">
      <c r="A871" s="89"/>
      <c r="B871" s="89"/>
      <c r="C871" s="91"/>
      <c r="D871" s="92"/>
      <c r="E871" s="89"/>
      <c r="F871" s="89"/>
      <c r="G871" s="89"/>
      <c r="H871" s="89"/>
      <c r="I871" s="89"/>
      <c r="J871" s="89"/>
      <c r="K871" s="89"/>
      <c r="L871" s="89"/>
      <c r="M871" s="89"/>
      <c r="N871" s="89"/>
      <c r="O871" s="89"/>
      <c r="P871" s="89"/>
      <c r="Q871" s="89"/>
      <c r="R871" s="89"/>
      <c r="S871" s="89"/>
      <c r="T871" s="89"/>
      <c r="U871" s="89"/>
    </row>
    <row r="872">
      <c r="A872" s="89"/>
      <c r="B872" s="89"/>
      <c r="C872" s="91"/>
      <c r="D872" s="92"/>
      <c r="E872" s="89"/>
      <c r="F872" s="89"/>
      <c r="G872" s="89"/>
      <c r="H872" s="89"/>
      <c r="I872" s="89"/>
      <c r="J872" s="89"/>
      <c r="K872" s="89"/>
      <c r="L872" s="89"/>
      <c r="M872" s="89"/>
      <c r="N872" s="89"/>
      <c r="O872" s="89"/>
      <c r="P872" s="89"/>
      <c r="Q872" s="89"/>
      <c r="R872" s="89"/>
      <c r="S872" s="89"/>
      <c r="T872" s="89"/>
      <c r="U872" s="89"/>
    </row>
    <row r="873">
      <c r="A873" s="89"/>
      <c r="B873" s="89"/>
      <c r="C873" s="91"/>
      <c r="D873" s="92"/>
      <c r="E873" s="89"/>
      <c r="F873" s="89"/>
      <c r="G873" s="89"/>
      <c r="H873" s="89"/>
      <c r="I873" s="89"/>
      <c r="J873" s="89"/>
      <c r="K873" s="89"/>
      <c r="L873" s="89"/>
      <c r="M873" s="89"/>
      <c r="N873" s="89"/>
      <c r="O873" s="89"/>
      <c r="P873" s="89"/>
      <c r="Q873" s="89"/>
      <c r="R873" s="89"/>
      <c r="S873" s="89"/>
      <c r="T873" s="89"/>
      <c r="U873" s="89"/>
    </row>
    <row r="874">
      <c r="A874" s="89"/>
      <c r="B874" s="89"/>
      <c r="C874" s="91"/>
      <c r="D874" s="92"/>
      <c r="E874" s="89"/>
      <c r="F874" s="89"/>
      <c r="G874" s="89"/>
      <c r="H874" s="89"/>
      <c r="I874" s="89"/>
      <c r="J874" s="89"/>
      <c r="K874" s="89"/>
      <c r="L874" s="89"/>
      <c r="M874" s="89"/>
      <c r="N874" s="89"/>
      <c r="O874" s="89"/>
      <c r="P874" s="89"/>
      <c r="Q874" s="89"/>
      <c r="R874" s="89"/>
      <c r="S874" s="89"/>
      <c r="T874" s="89"/>
      <c r="U874" s="89"/>
    </row>
    <row r="875">
      <c r="A875" s="89"/>
      <c r="B875" s="89"/>
      <c r="C875" s="91"/>
      <c r="D875" s="92"/>
      <c r="E875" s="89"/>
      <c r="F875" s="89"/>
      <c r="G875" s="89"/>
      <c r="H875" s="89"/>
      <c r="I875" s="89"/>
      <c r="J875" s="89"/>
      <c r="K875" s="89"/>
      <c r="L875" s="89"/>
      <c r="M875" s="89"/>
      <c r="N875" s="89"/>
      <c r="O875" s="89"/>
      <c r="P875" s="89"/>
      <c r="Q875" s="89"/>
      <c r="R875" s="89"/>
      <c r="S875" s="89"/>
      <c r="T875" s="89"/>
      <c r="U875" s="89"/>
    </row>
    <row r="876">
      <c r="A876" s="89"/>
      <c r="B876" s="89"/>
      <c r="C876" s="91"/>
      <c r="D876" s="92"/>
      <c r="E876" s="89"/>
      <c r="F876" s="89"/>
      <c r="G876" s="89"/>
      <c r="H876" s="89"/>
      <c r="I876" s="89"/>
      <c r="J876" s="89"/>
      <c r="K876" s="89"/>
      <c r="L876" s="89"/>
      <c r="M876" s="89"/>
      <c r="N876" s="89"/>
      <c r="O876" s="89"/>
      <c r="P876" s="89"/>
      <c r="Q876" s="89"/>
      <c r="R876" s="89"/>
      <c r="S876" s="89"/>
      <c r="T876" s="89"/>
      <c r="U876" s="89"/>
    </row>
    <row r="877">
      <c r="A877" s="89"/>
      <c r="B877" s="89"/>
      <c r="C877" s="91"/>
      <c r="D877" s="92"/>
      <c r="E877" s="89"/>
      <c r="F877" s="89"/>
      <c r="G877" s="89"/>
      <c r="H877" s="89"/>
      <c r="I877" s="89"/>
      <c r="J877" s="89"/>
      <c r="K877" s="89"/>
      <c r="L877" s="89"/>
      <c r="M877" s="89"/>
      <c r="N877" s="89"/>
      <c r="O877" s="89"/>
      <c r="P877" s="89"/>
      <c r="Q877" s="89"/>
      <c r="R877" s="89"/>
      <c r="S877" s="89"/>
      <c r="T877" s="89"/>
      <c r="U877" s="89"/>
    </row>
    <row r="878">
      <c r="A878" s="89"/>
      <c r="B878" s="89"/>
      <c r="C878" s="91"/>
      <c r="D878" s="92"/>
      <c r="E878" s="89"/>
      <c r="F878" s="89"/>
      <c r="G878" s="89"/>
      <c r="H878" s="89"/>
      <c r="I878" s="89"/>
      <c r="J878" s="89"/>
      <c r="K878" s="89"/>
      <c r="L878" s="89"/>
      <c r="M878" s="89"/>
      <c r="N878" s="89"/>
      <c r="O878" s="89"/>
      <c r="P878" s="89"/>
      <c r="Q878" s="89"/>
      <c r="R878" s="89"/>
      <c r="S878" s="89"/>
      <c r="T878" s="89"/>
      <c r="U878" s="89"/>
    </row>
    <row r="879">
      <c r="A879" s="89"/>
      <c r="B879" s="89"/>
      <c r="C879" s="91"/>
      <c r="D879" s="92"/>
      <c r="E879" s="89"/>
      <c r="F879" s="89"/>
      <c r="G879" s="89"/>
      <c r="H879" s="89"/>
      <c r="I879" s="89"/>
      <c r="J879" s="89"/>
      <c r="K879" s="89"/>
      <c r="L879" s="89"/>
      <c r="M879" s="89"/>
      <c r="N879" s="89"/>
      <c r="O879" s="89"/>
      <c r="P879" s="89"/>
      <c r="Q879" s="89"/>
      <c r="R879" s="89"/>
      <c r="S879" s="89"/>
      <c r="T879" s="89"/>
      <c r="U879" s="89"/>
    </row>
    <row r="880">
      <c r="A880" s="89"/>
      <c r="B880" s="89"/>
      <c r="C880" s="91"/>
      <c r="D880" s="92"/>
      <c r="E880" s="89"/>
      <c r="F880" s="89"/>
      <c r="G880" s="89"/>
      <c r="H880" s="89"/>
      <c r="I880" s="89"/>
      <c r="J880" s="89"/>
      <c r="K880" s="89"/>
      <c r="L880" s="89"/>
      <c r="M880" s="89"/>
      <c r="N880" s="89"/>
      <c r="O880" s="89"/>
      <c r="P880" s="89"/>
      <c r="Q880" s="89"/>
      <c r="R880" s="89"/>
      <c r="S880" s="89"/>
      <c r="T880" s="89"/>
      <c r="U880" s="89"/>
    </row>
    <row r="881">
      <c r="A881" s="89"/>
      <c r="B881" s="89"/>
      <c r="C881" s="91"/>
      <c r="D881" s="92"/>
      <c r="E881" s="89"/>
      <c r="F881" s="89"/>
      <c r="G881" s="89"/>
      <c r="H881" s="89"/>
      <c r="I881" s="89"/>
      <c r="J881" s="89"/>
      <c r="K881" s="89"/>
      <c r="L881" s="89"/>
      <c r="M881" s="89"/>
      <c r="N881" s="89"/>
      <c r="O881" s="89"/>
      <c r="P881" s="89"/>
      <c r="Q881" s="89"/>
      <c r="R881" s="89"/>
      <c r="S881" s="89"/>
      <c r="T881" s="89"/>
      <c r="U881" s="89"/>
    </row>
    <row r="882">
      <c r="A882" s="89"/>
      <c r="B882" s="89"/>
      <c r="C882" s="91"/>
      <c r="D882" s="92"/>
      <c r="E882" s="89"/>
      <c r="F882" s="89"/>
      <c r="G882" s="89"/>
      <c r="H882" s="89"/>
      <c r="I882" s="89"/>
      <c r="J882" s="89"/>
      <c r="K882" s="89"/>
      <c r="L882" s="89"/>
      <c r="M882" s="89"/>
      <c r="N882" s="89"/>
      <c r="O882" s="89"/>
      <c r="P882" s="89"/>
      <c r="Q882" s="89"/>
      <c r="R882" s="89"/>
      <c r="S882" s="89"/>
      <c r="T882" s="89"/>
      <c r="U882" s="89"/>
    </row>
    <row r="883">
      <c r="A883" s="89"/>
      <c r="B883" s="89"/>
      <c r="C883" s="91"/>
      <c r="D883" s="92"/>
      <c r="E883" s="89"/>
      <c r="F883" s="89"/>
      <c r="G883" s="89"/>
      <c r="H883" s="89"/>
      <c r="I883" s="89"/>
      <c r="J883" s="89"/>
      <c r="K883" s="89"/>
      <c r="L883" s="89"/>
      <c r="M883" s="89"/>
      <c r="N883" s="89"/>
      <c r="O883" s="89"/>
      <c r="P883" s="89"/>
      <c r="Q883" s="89"/>
      <c r="R883" s="89"/>
      <c r="S883" s="89"/>
      <c r="T883" s="89"/>
      <c r="U883" s="89"/>
    </row>
    <row r="884">
      <c r="A884" s="89"/>
      <c r="B884" s="89"/>
      <c r="C884" s="91"/>
      <c r="D884" s="92"/>
      <c r="E884" s="89"/>
      <c r="F884" s="89"/>
      <c r="G884" s="89"/>
      <c r="H884" s="89"/>
      <c r="I884" s="89"/>
      <c r="J884" s="89"/>
      <c r="K884" s="89"/>
      <c r="L884" s="89"/>
      <c r="M884" s="89"/>
      <c r="N884" s="89"/>
      <c r="O884" s="89"/>
      <c r="P884" s="89"/>
      <c r="Q884" s="89"/>
      <c r="R884" s="89"/>
      <c r="S884" s="89"/>
      <c r="T884" s="89"/>
      <c r="U884" s="89"/>
    </row>
    <row r="885">
      <c r="A885" s="89"/>
      <c r="B885" s="89"/>
      <c r="C885" s="91"/>
      <c r="D885" s="92"/>
      <c r="E885" s="89"/>
      <c r="F885" s="89"/>
      <c r="G885" s="89"/>
      <c r="H885" s="89"/>
      <c r="I885" s="89"/>
      <c r="J885" s="89"/>
      <c r="K885" s="89"/>
      <c r="L885" s="89"/>
      <c r="M885" s="89"/>
      <c r="N885" s="89"/>
      <c r="O885" s="89"/>
      <c r="P885" s="89"/>
      <c r="Q885" s="89"/>
      <c r="R885" s="89"/>
      <c r="S885" s="89"/>
      <c r="T885" s="89"/>
      <c r="U885" s="89"/>
    </row>
    <row r="886">
      <c r="A886" s="89"/>
      <c r="B886" s="89"/>
      <c r="C886" s="91"/>
      <c r="D886" s="92"/>
      <c r="E886" s="89"/>
      <c r="F886" s="89"/>
      <c r="G886" s="89"/>
      <c r="H886" s="89"/>
      <c r="I886" s="89"/>
      <c r="J886" s="89"/>
      <c r="K886" s="89"/>
      <c r="L886" s="89"/>
      <c r="M886" s="89"/>
      <c r="N886" s="89"/>
      <c r="O886" s="89"/>
      <c r="P886" s="89"/>
      <c r="Q886" s="89"/>
      <c r="R886" s="89"/>
      <c r="S886" s="89"/>
      <c r="T886" s="89"/>
      <c r="U886" s="89"/>
    </row>
    <row r="887">
      <c r="A887" s="89"/>
      <c r="B887" s="89"/>
      <c r="C887" s="91"/>
      <c r="D887" s="92"/>
      <c r="E887" s="89"/>
      <c r="F887" s="89"/>
      <c r="G887" s="89"/>
      <c r="H887" s="89"/>
      <c r="I887" s="89"/>
      <c r="J887" s="89"/>
      <c r="K887" s="89"/>
      <c r="L887" s="89"/>
      <c r="M887" s="89"/>
      <c r="N887" s="89"/>
      <c r="O887" s="89"/>
      <c r="P887" s="89"/>
      <c r="Q887" s="89"/>
      <c r="R887" s="89"/>
      <c r="S887" s="89"/>
      <c r="T887" s="89"/>
      <c r="U887" s="89"/>
    </row>
    <row r="888">
      <c r="A888" s="89"/>
      <c r="B888" s="89"/>
      <c r="C888" s="91"/>
      <c r="D888" s="92"/>
      <c r="E888" s="89"/>
      <c r="F888" s="89"/>
      <c r="G888" s="89"/>
      <c r="H888" s="89"/>
      <c r="I888" s="89"/>
      <c r="J888" s="89"/>
      <c r="K888" s="89"/>
      <c r="L888" s="89"/>
      <c r="M888" s="89"/>
      <c r="N888" s="89"/>
      <c r="O888" s="89"/>
      <c r="P888" s="89"/>
      <c r="Q888" s="89"/>
      <c r="R888" s="89"/>
      <c r="S888" s="89"/>
      <c r="T888" s="89"/>
      <c r="U888" s="89"/>
    </row>
    <row r="889">
      <c r="A889" s="89"/>
      <c r="B889" s="89"/>
      <c r="C889" s="91"/>
      <c r="D889" s="92"/>
      <c r="E889" s="89"/>
      <c r="F889" s="89"/>
      <c r="G889" s="89"/>
      <c r="H889" s="89"/>
      <c r="I889" s="89"/>
      <c r="J889" s="89"/>
      <c r="K889" s="89"/>
      <c r="L889" s="89"/>
      <c r="M889" s="89"/>
      <c r="N889" s="89"/>
      <c r="O889" s="89"/>
      <c r="P889" s="89"/>
      <c r="Q889" s="89"/>
      <c r="R889" s="89"/>
      <c r="S889" s="89"/>
      <c r="T889" s="89"/>
      <c r="U889" s="89"/>
    </row>
    <row r="890">
      <c r="A890" s="89"/>
      <c r="B890" s="89"/>
      <c r="C890" s="91"/>
      <c r="D890" s="92"/>
      <c r="E890" s="89"/>
      <c r="F890" s="89"/>
      <c r="G890" s="89"/>
      <c r="H890" s="89"/>
      <c r="I890" s="89"/>
      <c r="J890" s="89"/>
      <c r="K890" s="89"/>
      <c r="L890" s="89"/>
      <c r="M890" s="89"/>
      <c r="N890" s="89"/>
      <c r="O890" s="89"/>
      <c r="P890" s="89"/>
      <c r="Q890" s="89"/>
      <c r="R890" s="89"/>
      <c r="S890" s="89"/>
      <c r="T890" s="89"/>
      <c r="U890" s="89"/>
    </row>
    <row r="891">
      <c r="A891" s="89"/>
      <c r="B891" s="89"/>
      <c r="C891" s="91"/>
      <c r="D891" s="92"/>
      <c r="E891" s="89"/>
      <c r="F891" s="89"/>
      <c r="G891" s="89"/>
      <c r="H891" s="89"/>
      <c r="I891" s="89"/>
      <c r="J891" s="89"/>
      <c r="K891" s="89"/>
      <c r="L891" s="89"/>
      <c r="M891" s="89"/>
      <c r="N891" s="89"/>
      <c r="O891" s="89"/>
      <c r="P891" s="89"/>
      <c r="Q891" s="89"/>
      <c r="R891" s="89"/>
      <c r="S891" s="89"/>
      <c r="T891" s="89"/>
      <c r="U891" s="89"/>
    </row>
    <row r="892">
      <c r="A892" s="89"/>
      <c r="B892" s="89"/>
      <c r="C892" s="91"/>
      <c r="D892" s="92"/>
      <c r="E892" s="89"/>
      <c r="F892" s="89"/>
      <c r="G892" s="89"/>
      <c r="H892" s="89"/>
      <c r="I892" s="89"/>
      <c r="J892" s="89"/>
      <c r="K892" s="89"/>
      <c r="L892" s="89"/>
      <c r="M892" s="89"/>
      <c r="N892" s="89"/>
      <c r="O892" s="89"/>
      <c r="P892" s="89"/>
      <c r="Q892" s="89"/>
      <c r="R892" s="89"/>
      <c r="S892" s="89"/>
      <c r="T892" s="89"/>
      <c r="U892" s="89"/>
    </row>
    <row r="893">
      <c r="A893" s="89"/>
      <c r="B893" s="89"/>
      <c r="C893" s="91"/>
      <c r="D893" s="92"/>
      <c r="E893" s="89"/>
      <c r="F893" s="89"/>
      <c r="G893" s="89"/>
      <c r="H893" s="89"/>
      <c r="I893" s="89"/>
      <c r="J893" s="89"/>
      <c r="K893" s="89"/>
      <c r="L893" s="89"/>
      <c r="M893" s="89"/>
      <c r="N893" s="89"/>
      <c r="O893" s="89"/>
      <c r="P893" s="89"/>
      <c r="Q893" s="89"/>
      <c r="R893" s="89"/>
      <c r="S893" s="89"/>
      <c r="T893" s="89"/>
      <c r="U893" s="89"/>
    </row>
    <row r="894">
      <c r="A894" s="89"/>
      <c r="B894" s="89"/>
      <c r="C894" s="91"/>
      <c r="D894" s="92"/>
      <c r="E894" s="89"/>
      <c r="F894" s="89"/>
      <c r="G894" s="89"/>
      <c r="H894" s="89"/>
      <c r="I894" s="89"/>
      <c r="J894" s="89"/>
      <c r="K894" s="89"/>
      <c r="L894" s="89"/>
      <c r="M894" s="89"/>
      <c r="N894" s="89"/>
      <c r="O894" s="89"/>
      <c r="P894" s="89"/>
      <c r="Q894" s="89"/>
      <c r="R894" s="89"/>
      <c r="S894" s="89"/>
      <c r="T894" s="89"/>
      <c r="U894" s="89"/>
    </row>
    <row r="895">
      <c r="A895" s="89"/>
      <c r="B895" s="89"/>
      <c r="C895" s="91"/>
      <c r="D895" s="92"/>
      <c r="E895" s="89"/>
      <c r="F895" s="89"/>
      <c r="G895" s="89"/>
      <c r="H895" s="89"/>
      <c r="I895" s="89"/>
      <c r="J895" s="89"/>
      <c r="K895" s="89"/>
      <c r="L895" s="89"/>
      <c r="M895" s="89"/>
      <c r="N895" s="89"/>
      <c r="O895" s="89"/>
      <c r="P895" s="89"/>
      <c r="Q895" s="89"/>
      <c r="R895" s="89"/>
      <c r="S895" s="89"/>
      <c r="T895" s="89"/>
      <c r="U895" s="89"/>
    </row>
    <row r="896">
      <c r="A896" s="89"/>
      <c r="B896" s="89"/>
      <c r="C896" s="91"/>
      <c r="D896" s="92"/>
      <c r="E896" s="89"/>
      <c r="F896" s="89"/>
      <c r="G896" s="89"/>
      <c r="H896" s="89"/>
      <c r="I896" s="89"/>
      <c r="J896" s="89"/>
      <c r="K896" s="89"/>
      <c r="L896" s="89"/>
      <c r="M896" s="89"/>
      <c r="N896" s="89"/>
      <c r="O896" s="89"/>
      <c r="P896" s="89"/>
      <c r="Q896" s="89"/>
      <c r="R896" s="89"/>
      <c r="S896" s="89"/>
      <c r="T896" s="89"/>
      <c r="U896" s="89"/>
    </row>
    <row r="897">
      <c r="A897" s="89"/>
      <c r="B897" s="89"/>
      <c r="C897" s="91"/>
      <c r="D897" s="92"/>
      <c r="E897" s="89"/>
      <c r="F897" s="89"/>
      <c r="G897" s="89"/>
      <c r="H897" s="89"/>
      <c r="I897" s="89"/>
      <c r="J897" s="89"/>
      <c r="K897" s="89"/>
      <c r="L897" s="89"/>
      <c r="M897" s="89"/>
      <c r="N897" s="89"/>
      <c r="O897" s="89"/>
      <c r="P897" s="89"/>
      <c r="Q897" s="89"/>
      <c r="R897" s="89"/>
      <c r="S897" s="89"/>
      <c r="T897" s="89"/>
      <c r="U897" s="89"/>
    </row>
    <row r="898">
      <c r="A898" s="89"/>
      <c r="B898" s="89"/>
      <c r="C898" s="91"/>
      <c r="D898" s="92"/>
      <c r="E898" s="89"/>
      <c r="F898" s="89"/>
      <c r="G898" s="89"/>
      <c r="H898" s="89"/>
      <c r="I898" s="89"/>
      <c r="J898" s="89"/>
      <c r="K898" s="89"/>
      <c r="L898" s="89"/>
      <c r="M898" s="89"/>
      <c r="N898" s="89"/>
      <c r="O898" s="89"/>
      <c r="P898" s="89"/>
      <c r="Q898" s="89"/>
      <c r="R898" s="89"/>
      <c r="S898" s="89"/>
      <c r="T898" s="89"/>
      <c r="U898" s="89"/>
    </row>
    <row r="899">
      <c r="A899" s="89"/>
      <c r="B899" s="89"/>
      <c r="C899" s="91"/>
      <c r="D899" s="92"/>
      <c r="E899" s="89"/>
      <c r="F899" s="89"/>
      <c r="G899" s="89"/>
      <c r="H899" s="89"/>
      <c r="I899" s="89"/>
      <c r="J899" s="89"/>
      <c r="K899" s="89"/>
      <c r="L899" s="89"/>
      <c r="M899" s="89"/>
      <c r="N899" s="89"/>
      <c r="O899" s="89"/>
      <c r="P899" s="89"/>
      <c r="Q899" s="89"/>
      <c r="R899" s="89"/>
      <c r="S899" s="89"/>
      <c r="T899" s="89"/>
      <c r="U899" s="89"/>
    </row>
    <row r="900">
      <c r="A900" s="89"/>
      <c r="B900" s="89"/>
      <c r="C900" s="91"/>
      <c r="D900" s="92"/>
      <c r="E900" s="89"/>
      <c r="F900" s="89"/>
      <c r="G900" s="89"/>
      <c r="H900" s="89"/>
      <c r="I900" s="89"/>
      <c r="J900" s="89"/>
      <c r="K900" s="89"/>
      <c r="L900" s="89"/>
      <c r="M900" s="89"/>
      <c r="N900" s="89"/>
      <c r="O900" s="89"/>
      <c r="P900" s="89"/>
      <c r="Q900" s="89"/>
      <c r="R900" s="89"/>
      <c r="S900" s="89"/>
      <c r="T900" s="89"/>
      <c r="U900" s="89"/>
    </row>
    <row r="901">
      <c r="A901" s="89"/>
      <c r="B901" s="89"/>
      <c r="C901" s="91"/>
      <c r="D901" s="92"/>
      <c r="E901" s="89"/>
      <c r="F901" s="89"/>
      <c r="G901" s="89"/>
      <c r="H901" s="89"/>
      <c r="I901" s="89"/>
      <c r="J901" s="89"/>
      <c r="K901" s="89"/>
      <c r="L901" s="89"/>
      <c r="M901" s="89"/>
      <c r="N901" s="89"/>
      <c r="O901" s="89"/>
      <c r="P901" s="89"/>
      <c r="Q901" s="89"/>
      <c r="R901" s="89"/>
      <c r="S901" s="89"/>
      <c r="T901" s="89"/>
      <c r="U901" s="89"/>
    </row>
    <row r="902">
      <c r="A902" s="89"/>
      <c r="B902" s="89"/>
      <c r="C902" s="91"/>
      <c r="D902" s="92"/>
      <c r="E902" s="89"/>
      <c r="F902" s="89"/>
      <c r="G902" s="89"/>
      <c r="H902" s="89"/>
      <c r="I902" s="89"/>
      <c r="J902" s="89"/>
      <c r="K902" s="89"/>
      <c r="L902" s="89"/>
      <c r="M902" s="89"/>
      <c r="N902" s="89"/>
      <c r="O902" s="89"/>
      <c r="P902" s="89"/>
      <c r="Q902" s="89"/>
      <c r="R902" s="89"/>
      <c r="S902" s="89"/>
      <c r="T902" s="89"/>
      <c r="U902" s="89"/>
    </row>
    <row r="903">
      <c r="A903" s="89"/>
      <c r="B903" s="89"/>
      <c r="C903" s="91"/>
      <c r="D903" s="92"/>
      <c r="E903" s="89"/>
      <c r="F903" s="89"/>
      <c r="G903" s="89"/>
      <c r="H903" s="89"/>
      <c r="I903" s="89"/>
      <c r="J903" s="89"/>
      <c r="K903" s="89"/>
      <c r="L903" s="89"/>
      <c r="M903" s="89"/>
      <c r="N903" s="89"/>
      <c r="O903" s="89"/>
      <c r="P903" s="89"/>
      <c r="Q903" s="89"/>
      <c r="R903" s="89"/>
      <c r="S903" s="89"/>
      <c r="T903" s="89"/>
      <c r="U903" s="89"/>
    </row>
    <row r="904">
      <c r="A904" s="89"/>
      <c r="B904" s="89"/>
      <c r="C904" s="91"/>
      <c r="D904" s="92"/>
      <c r="E904" s="89"/>
      <c r="F904" s="89"/>
      <c r="G904" s="89"/>
      <c r="H904" s="89"/>
      <c r="I904" s="89"/>
      <c r="J904" s="89"/>
      <c r="K904" s="89"/>
      <c r="L904" s="89"/>
      <c r="M904" s="89"/>
      <c r="N904" s="89"/>
      <c r="O904" s="89"/>
      <c r="P904" s="89"/>
      <c r="Q904" s="89"/>
      <c r="R904" s="89"/>
      <c r="S904" s="89"/>
      <c r="T904" s="89"/>
      <c r="U904" s="89"/>
    </row>
    <row r="905">
      <c r="A905" s="89"/>
      <c r="B905" s="89"/>
      <c r="C905" s="91"/>
      <c r="D905" s="92"/>
      <c r="E905" s="89"/>
      <c r="F905" s="89"/>
      <c r="G905" s="89"/>
      <c r="H905" s="89"/>
      <c r="I905" s="89"/>
      <c r="J905" s="89"/>
      <c r="K905" s="89"/>
      <c r="L905" s="89"/>
      <c r="M905" s="89"/>
      <c r="N905" s="89"/>
      <c r="O905" s="89"/>
      <c r="P905" s="89"/>
      <c r="Q905" s="89"/>
      <c r="R905" s="89"/>
      <c r="S905" s="89"/>
      <c r="T905" s="89"/>
      <c r="U905" s="89"/>
    </row>
    <row r="906">
      <c r="A906" s="89"/>
      <c r="B906" s="89"/>
      <c r="C906" s="91"/>
      <c r="D906" s="92"/>
      <c r="E906" s="89"/>
      <c r="F906" s="89"/>
      <c r="G906" s="89"/>
      <c r="H906" s="89"/>
      <c r="I906" s="89"/>
      <c r="J906" s="89"/>
      <c r="K906" s="89"/>
      <c r="L906" s="89"/>
      <c r="M906" s="89"/>
      <c r="N906" s="89"/>
      <c r="O906" s="89"/>
      <c r="P906" s="89"/>
      <c r="Q906" s="89"/>
      <c r="R906" s="89"/>
      <c r="S906" s="89"/>
      <c r="T906" s="89"/>
      <c r="U906" s="89"/>
    </row>
    <row r="907">
      <c r="A907" s="89"/>
      <c r="B907" s="89"/>
      <c r="C907" s="91"/>
      <c r="D907" s="92"/>
      <c r="E907" s="89"/>
      <c r="F907" s="89"/>
      <c r="G907" s="89"/>
      <c r="H907" s="89"/>
      <c r="I907" s="89"/>
      <c r="J907" s="89"/>
      <c r="K907" s="89"/>
      <c r="L907" s="89"/>
      <c r="M907" s="89"/>
      <c r="N907" s="89"/>
      <c r="O907" s="89"/>
      <c r="P907" s="89"/>
      <c r="Q907" s="89"/>
      <c r="R907" s="89"/>
      <c r="S907" s="89"/>
      <c r="T907" s="89"/>
      <c r="U907" s="89"/>
    </row>
    <row r="908">
      <c r="A908" s="89"/>
      <c r="B908" s="89"/>
      <c r="C908" s="91"/>
      <c r="D908" s="92"/>
      <c r="E908" s="89"/>
      <c r="F908" s="89"/>
      <c r="G908" s="89"/>
      <c r="H908" s="89"/>
      <c r="I908" s="89"/>
      <c r="J908" s="89"/>
      <c r="K908" s="89"/>
      <c r="L908" s="89"/>
      <c r="M908" s="89"/>
      <c r="N908" s="89"/>
      <c r="O908" s="89"/>
      <c r="P908" s="89"/>
      <c r="Q908" s="89"/>
      <c r="R908" s="89"/>
      <c r="S908" s="89"/>
      <c r="T908" s="89"/>
      <c r="U908" s="89"/>
    </row>
    <row r="909">
      <c r="A909" s="89"/>
      <c r="B909" s="89"/>
      <c r="C909" s="91"/>
      <c r="D909" s="92"/>
      <c r="E909" s="89"/>
      <c r="F909" s="89"/>
      <c r="G909" s="89"/>
      <c r="H909" s="89"/>
      <c r="I909" s="89"/>
      <c r="J909" s="89"/>
      <c r="K909" s="89"/>
      <c r="L909" s="89"/>
      <c r="M909" s="89"/>
      <c r="N909" s="89"/>
      <c r="O909" s="89"/>
      <c r="P909" s="89"/>
      <c r="Q909" s="89"/>
      <c r="R909" s="89"/>
      <c r="S909" s="89"/>
      <c r="T909" s="89"/>
      <c r="U909" s="89"/>
    </row>
    <row r="910">
      <c r="A910" s="89"/>
      <c r="B910" s="89"/>
      <c r="C910" s="91"/>
      <c r="D910" s="92"/>
      <c r="E910" s="89"/>
      <c r="F910" s="89"/>
      <c r="G910" s="89"/>
      <c r="H910" s="89"/>
      <c r="I910" s="89"/>
      <c r="J910" s="89"/>
      <c r="K910" s="89"/>
      <c r="L910" s="89"/>
      <c r="M910" s="89"/>
      <c r="N910" s="89"/>
      <c r="O910" s="89"/>
      <c r="P910" s="89"/>
      <c r="Q910" s="89"/>
      <c r="R910" s="89"/>
      <c r="S910" s="89"/>
      <c r="T910" s="89"/>
      <c r="U910" s="89"/>
    </row>
    <row r="911">
      <c r="A911" s="89"/>
      <c r="B911" s="89"/>
      <c r="C911" s="91"/>
      <c r="D911" s="92"/>
      <c r="E911" s="89"/>
      <c r="F911" s="89"/>
      <c r="G911" s="89"/>
      <c r="H911" s="89"/>
      <c r="I911" s="89"/>
      <c r="J911" s="89"/>
      <c r="K911" s="89"/>
      <c r="L911" s="89"/>
      <c r="M911" s="89"/>
      <c r="N911" s="89"/>
      <c r="O911" s="89"/>
      <c r="P911" s="89"/>
      <c r="Q911" s="89"/>
      <c r="R911" s="89"/>
      <c r="S911" s="89"/>
      <c r="T911" s="89"/>
      <c r="U911" s="89"/>
    </row>
    <row r="912">
      <c r="A912" s="89"/>
      <c r="B912" s="89"/>
      <c r="C912" s="91"/>
      <c r="D912" s="92"/>
      <c r="E912" s="89"/>
      <c r="F912" s="89"/>
      <c r="G912" s="89"/>
      <c r="H912" s="89"/>
      <c r="I912" s="89"/>
      <c r="J912" s="89"/>
      <c r="K912" s="89"/>
      <c r="L912" s="89"/>
      <c r="M912" s="89"/>
      <c r="N912" s="89"/>
      <c r="O912" s="89"/>
      <c r="P912" s="89"/>
      <c r="Q912" s="89"/>
      <c r="R912" s="89"/>
      <c r="S912" s="89"/>
      <c r="T912" s="89"/>
      <c r="U912" s="89"/>
    </row>
    <row r="913">
      <c r="A913" s="89"/>
      <c r="B913" s="89"/>
      <c r="C913" s="91"/>
      <c r="D913" s="92"/>
      <c r="E913" s="89"/>
      <c r="F913" s="89"/>
      <c r="G913" s="89"/>
      <c r="H913" s="89"/>
      <c r="I913" s="89"/>
      <c r="J913" s="89"/>
      <c r="K913" s="89"/>
      <c r="L913" s="89"/>
      <c r="M913" s="89"/>
      <c r="N913" s="89"/>
      <c r="O913" s="89"/>
      <c r="P913" s="89"/>
      <c r="Q913" s="89"/>
      <c r="R913" s="89"/>
      <c r="S913" s="89"/>
      <c r="T913" s="89"/>
      <c r="U913" s="89"/>
    </row>
    <row r="914">
      <c r="A914" s="89"/>
      <c r="B914" s="89"/>
      <c r="C914" s="91"/>
      <c r="D914" s="92"/>
      <c r="E914" s="89"/>
      <c r="F914" s="89"/>
      <c r="G914" s="89"/>
      <c r="H914" s="89"/>
      <c r="I914" s="89"/>
      <c r="J914" s="89"/>
      <c r="K914" s="89"/>
      <c r="L914" s="89"/>
      <c r="M914" s="89"/>
      <c r="N914" s="89"/>
      <c r="O914" s="89"/>
      <c r="P914" s="89"/>
      <c r="Q914" s="89"/>
      <c r="R914" s="89"/>
      <c r="S914" s="89"/>
      <c r="T914" s="89"/>
      <c r="U914" s="89"/>
    </row>
    <row r="915">
      <c r="A915" s="89"/>
      <c r="B915" s="89"/>
      <c r="C915" s="91"/>
      <c r="D915" s="92"/>
      <c r="E915" s="89"/>
      <c r="F915" s="89"/>
      <c r="G915" s="89"/>
      <c r="H915" s="89"/>
      <c r="I915" s="89"/>
      <c r="J915" s="89"/>
      <c r="K915" s="89"/>
      <c r="L915" s="89"/>
      <c r="M915" s="89"/>
      <c r="N915" s="89"/>
      <c r="O915" s="89"/>
      <c r="P915" s="89"/>
      <c r="Q915" s="89"/>
      <c r="R915" s="89"/>
      <c r="S915" s="89"/>
      <c r="T915" s="89"/>
      <c r="U915" s="89"/>
    </row>
    <row r="916">
      <c r="A916" s="89"/>
      <c r="B916" s="89"/>
      <c r="C916" s="91"/>
      <c r="D916" s="92"/>
      <c r="E916" s="89"/>
      <c r="F916" s="89"/>
      <c r="G916" s="89"/>
      <c r="H916" s="89"/>
      <c r="I916" s="89"/>
      <c r="J916" s="89"/>
      <c r="K916" s="89"/>
      <c r="L916" s="89"/>
      <c r="M916" s="89"/>
      <c r="N916" s="89"/>
      <c r="O916" s="89"/>
      <c r="P916" s="89"/>
      <c r="Q916" s="89"/>
      <c r="R916" s="89"/>
      <c r="S916" s="89"/>
      <c r="T916" s="89"/>
      <c r="U916" s="89"/>
    </row>
    <row r="917">
      <c r="A917" s="89"/>
      <c r="B917" s="89"/>
      <c r="C917" s="91"/>
      <c r="D917" s="92"/>
      <c r="E917" s="89"/>
      <c r="F917" s="89"/>
      <c r="G917" s="89"/>
      <c r="H917" s="89"/>
      <c r="I917" s="89"/>
      <c r="J917" s="89"/>
      <c r="K917" s="89"/>
      <c r="L917" s="89"/>
      <c r="M917" s="89"/>
      <c r="N917" s="89"/>
      <c r="O917" s="89"/>
      <c r="P917" s="89"/>
      <c r="Q917" s="89"/>
      <c r="R917" s="89"/>
      <c r="S917" s="89"/>
      <c r="T917" s="89"/>
      <c r="U917" s="89"/>
    </row>
    <row r="918">
      <c r="A918" s="89"/>
      <c r="B918" s="89"/>
      <c r="C918" s="91"/>
      <c r="D918" s="92"/>
      <c r="E918" s="89"/>
      <c r="F918" s="89"/>
      <c r="G918" s="89"/>
      <c r="H918" s="89"/>
      <c r="I918" s="89"/>
      <c r="J918" s="89"/>
      <c r="K918" s="89"/>
      <c r="L918" s="89"/>
      <c r="M918" s="89"/>
      <c r="N918" s="89"/>
      <c r="O918" s="89"/>
      <c r="P918" s="89"/>
      <c r="Q918" s="89"/>
      <c r="R918" s="89"/>
      <c r="S918" s="89"/>
      <c r="T918" s="89"/>
      <c r="U918" s="89"/>
    </row>
    <row r="919">
      <c r="A919" s="89"/>
      <c r="B919" s="89"/>
      <c r="C919" s="91"/>
      <c r="D919" s="92"/>
      <c r="E919" s="89"/>
      <c r="F919" s="89"/>
      <c r="G919" s="89"/>
      <c r="H919" s="89"/>
      <c r="I919" s="89"/>
      <c r="J919" s="89"/>
      <c r="K919" s="89"/>
      <c r="L919" s="89"/>
      <c r="M919" s="89"/>
      <c r="N919" s="89"/>
      <c r="O919" s="89"/>
      <c r="P919" s="89"/>
      <c r="Q919" s="89"/>
      <c r="R919" s="89"/>
      <c r="S919" s="89"/>
      <c r="T919" s="89"/>
      <c r="U919" s="89"/>
    </row>
    <row r="920">
      <c r="A920" s="89"/>
      <c r="B920" s="89"/>
      <c r="C920" s="91"/>
      <c r="D920" s="92"/>
      <c r="E920" s="89"/>
      <c r="F920" s="89"/>
      <c r="G920" s="89"/>
      <c r="H920" s="89"/>
      <c r="I920" s="89"/>
      <c r="J920" s="89"/>
      <c r="K920" s="89"/>
      <c r="L920" s="89"/>
      <c r="M920" s="89"/>
      <c r="N920" s="89"/>
      <c r="O920" s="89"/>
      <c r="P920" s="89"/>
      <c r="Q920" s="89"/>
      <c r="R920" s="89"/>
      <c r="S920" s="89"/>
      <c r="T920" s="89"/>
      <c r="U920" s="89"/>
    </row>
    <row r="921">
      <c r="A921" s="89"/>
      <c r="B921" s="89"/>
      <c r="C921" s="91"/>
      <c r="D921" s="92"/>
      <c r="E921" s="89"/>
      <c r="F921" s="89"/>
      <c r="G921" s="89"/>
      <c r="H921" s="89"/>
      <c r="I921" s="89"/>
      <c r="J921" s="89"/>
      <c r="K921" s="89"/>
      <c r="L921" s="89"/>
      <c r="M921" s="89"/>
      <c r="N921" s="89"/>
      <c r="O921" s="89"/>
      <c r="P921" s="89"/>
      <c r="Q921" s="89"/>
      <c r="R921" s="89"/>
      <c r="S921" s="89"/>
      <c r="T921" s="89"/>
      <c r="U921" s="89"/>
    </row>
    <row r="922">
      <c r="A922" s="89"/>
      <c r="B922" s="89"/>
      <c r="C922" s="91"/>
      <c r="D922" s="92"/>
      <c r="E922" s="89"/>
      <c r="F922" s="89"/>
      <c r="G922" s="89"/>
      <c r="H922" s="89"/>
      <c r="I922" s="89"/>
      <c r="J922" s="89"/>
      <c r="K922" s="89"/>
      <c r="L922" s="89"/>
      <c r="M922" s="89"/>
      <c r="N922" s="89"/>
      <c r="O922" s="89"/>
      <c r="P922" s="89"/>
      <c r="Q922" s="89"/>
      <c r="R922" s="89"/>
      <c r="S922" s="89"/>
      <c r="T922" s="89"/>
      <c r="U922" s="89"/>
    </row>
    <row r="923">
      <c r="A923" s="89"/>
      <c r="B923" s="89"/>
      <c r="C923" s="91"/>
      <c r="D923" s="92"/>
      <c r="E923" s="89"/>
      <c r="F923" s="89"/>
      <c r="G923" s="89"/>
      <c r="H923" s="89"/>
      <c r="I923" s="89"/>
      <c r="J923" s="89"/>
      <c r="K923" s="89"/>
      <c r="L923" s="89"/>
      <c r="M923" s="89"/>
      <c r="N923" s="89"/>
      <c r="O923" s="89"/>
      <c r="P923" s="89"/>
      <c r="Q923" s="89"/>
      <c r="R923" s="89"/>
      <c r="S923" s="89"/>
      <c r="T923" s="89"/>
      <c r="U923" s="89"/>
    </row>
    <row r="924">
      <c r="A924" s="89"/>
      <c r="B924" s="89"/>
      <c r="C924" s="91"/>
      <c r="D924" s="92"/>
      <c r="E924" s="89"/>
      <c r="F924" s="89"/>
      <c r="G924" s="89"/>
      <c r="H924" s="89"/>
      <c r="I924" s="89"/>
      <c r="J924" s="89"/>
      <c r="K924" s="89"/>
      <c r="L924" s="89"/>
      <c r="M924" s="89"/>
      <c r="N924" s="89"/>
      <c r="O924" s="89"/>
      <c r="P924" s="89"/>
      <c r="Q924" s="89"/>
      <c r="R924" s="89"/>
      <c r="S924" s="89"/>
      <c r="T924" s="89"/>
      <c r="U924" s="89"/>
    </row>
    <row r="925">
      <c r="A925" s="89"/>
      <c r="B925" s="89"/>
      <c r="C925" s="91"/>
      <c r="D925" s="92"/>
      <c r="E925" s="89"/>
      <c r="F925" s="89"/>
      <c r="G925" s="89"/>
      <c r="H925" s="89"/>
      <c r="I925" s="89"/>
      <c r="J925" s="89"/>
      <c r="K925" s="89"/>
      <c r="L925" s="89"/>
      <c r="M925" s="89"/>
      <c r="N925" s="89"/>
      <c r="O925" s="89"/>
      <c r="P925" s="89"/>
      <c r="Q925" s="89"/>
      <c r="R925" s="89"/>
      <c r="S925" s="89"/>
      <c r="T925" s="89"/>
      <c r="U925" s="89"/>
    </row>
    <row r="926">
      <c r="A926" s="89"/>
      <c r="B926" s="89"/>
      <c r="C926" s="91"/>
      <c r="D926" s="92"/>
      <c r="E926" s="89"/>
      <c r="F926" s="89"/>
      <c r="G926" s="89"/>
      <c r="H926" s="89"/>
      <c r="I926" s="89"/>
      <c r="J926" s="89"/>
      <c r="K926" s="89"/>
      <c r="L926" s="89"/>
      <c r="M926" s="89"/>
      <c r="N926" s="89"/>
      <c r="O926" s="89"/>
      <c r="P926" s="89"/>
      <c r="Q926" s="89"/>
      <c r="R926" s="89"/>
      <c r="S926" s="89"/>
      <c r="T926" s="89"/>
      <c r="U926" s="89"/>
    </row>
    <row r="927">
      <c r="A927" s="89"/>
      <c r="B927" s="89"/>
      <c r="C927" s="91"/>
      <c r="D927" s="92"/>
      <c r="E927" s="89"/>
      <c r="F927" s="89"/>
      <c r="G927" s="89"/>
      <c r="H927" s="89"/>
      <c r="I927" s="89"/>
      <c r="J927" s="89"/>
      <c r="K927" s="89"/>
      <c r="L927" s="89"/>
      <c r="M927" s="89"/>
      <c r="N927" s="89"/>
      <c r="O927" s="89"/>
      <c r="P927" s="89"/>
      <c r="Q927" s="89"/>
      <c r="R927" s="89"/>
      <c r="S927" s="89"/>
      <c r="T927" s="89"/>
      <c r="U927" s="89"/>
    </row>
    <row r="928">
      <c r="A928" s="89"/>
      <c r="B928" s="89"/>
      <c r="C928" s="91"/>
      <c r="D928" s="92"/>
      <c r="E928" s="89"/>
      <c r="F928" s="89"/>
      <c r="G928" s="89"/>
      <c r="H928" s="89"/>
      <c r="I928" s="89"/>
      <c r="J928" s="89"/>
      <c r="K928" s="89"/>
      <c r="L928" s="89"/>
      <c r="M928" s="89"/>
      <c r="N928" s="89"/>
      <c r="O928" s="89"/>
      <c r="P928" s="89"/>
      <c r="Q928" s="89"/>
      <c r="R928" s="89"/>
      <c r="S928" s="89"/>
      <c r="T928" s="89"/>
      <c r="U928" s="89"/>
    </row>
    <row r="929">
      <c r="A929" s="89"/>
      <c r="B929" s="89"/>
      <c r="C929" s="91"/>
      <c r="D929" s="92"/>
      <c r="E929" s="89"/>
      <c r="F929" s="89"/>
      <c r="G929" s="89"/>
      <c r="H929" s="89"/>
      <c r="I929" s="89"/>
      <c r="J929" s="89"/>
      <c r="K929" s="89"/>
      <c r="L929" s="89"/>
      <c r="M929" s="89"/>
      <c r="N929" s="89"/>
      <c r="O929" s="89"/>
      <c r="P929" s="89"/>
      <c r="Q929" s="89"/>
      <c r="R929" s="89"/>
      <c r="S929" s="89"/>
      <c r="T929" s="89"/>
      <c r="U929" s="89"/>
    </row>
    <row r="930">
      <c r="A930" s="89"/>
      <c r="B930" s="89"/>
      <c r="C930" s="91"/>
      <c r="D930" s="92"/>
      <c r="E930" s="89"/>
      <c r="F930" s="89"/>
      <c r="G930" s="89"/>
      <c r="H930" s="89"/>
      <c r="I930" s="89"/>
      <c r="J930" s="89"/>
      <c r="K930" s="89"/>
      <c r="L930" s="89"/>
      <c r="M930" s="89"/>
      <c r="N930" s="89"/>
      <c r="O930" s="89"/>
      <c r="P930" s="89"/>
      <c r="Q930" s="89"/>
      <c r="R930" s="89"/>
      <c r="S930" s="89"/>
      <c r="T930" s="89"/>
      <c r="U930" s="89"/>
    </row>
    <row r="931">
      <c r="A931" s="89"/>
      <c r="B931" s="89"/>
      <c r="C931" s="91"/>
      <c r="D931" s="92"/>
      <c r="E931" s="89"/>
      <c r="F931" s="89"/>
      <c r="G931" s="89"/>
      <c r="H931" s="89"/>
      <c r="I931" s="89"/>
      <c r="J931" s="89"/>
      <c r="K931" s="89"/>
      <c r="L931" s="89"/>
      <c r="M931" s="89"/>
      <c r="N931" s="89"/>
      <c r="O931" s="89"/>
      <c r="P931" s="89"/>
      <c r="Q931" s="89"/>
      <c r="R931" s="89"/>
      <c r="S931" s="89"/>
      <c r="T931" s="89"/>
      <c r="U931" s="89"/>
    </row>
    <row r="932">
      <c r="A932" s="89"/>
      <c r="B932" s="89"/>
      <c r="C932" s="91"/>
      <c r="D932" s="92"/>
      <c r="E932" s="89"/>
      <c r="F932" s="89"/>
      <c r="G932" s="89"/>
      <c r="H932" s="89"/>
      <c r="I932" s="89"/>
      <c r="J932" s="89"/>
      <c r="K932" s="89"/>
      <c r="L932" s="89"/>
      <c r="M932" s="89"/>
      <c r="N932" s="89"/>
      <c r="O932" s="89"/>
      <c r="P932" s="89"/>
      <c r="Q932" s="89"/>
      <c r="R932" s="89"/>
      <c r="S932" s="89"/>
      <c r="T932" s="89"/>
      <c r="U932" s="89"/>
    </row>
    <row r="933">
      <c r="A933" s="89"/>
      <c r="B933" s="89"/>
      <c r="C933" s="91"/>
      <c r="D933" s="92"/>
      <c r="E933" s="89"/>
      <c r="F933" s="89"/>
      <c r="G933" s="89"/>
      <c r="H933" s="89"/>
      <c r="I933" s="89"/>
      <c r="J933" s="89"/>
      <c r="K933" s="89"/>
      <c r="L933" s="89"/>
      <c r="M933" s="89"/>
      <c r="N933" s="89"/>
      <c r="O933" s="89"/>
      <c r="P933" s="89"/>
      <c r="Q933" s="89"/>
      <c r="R933" s="89"/>
      <c r="S933" s="89"/>
      <c r="T933" s="89"/>
      <c r="U933" s="89"/>
    </row>
    <row r="934">
      <c r="A934" s="89"/>
      <c r="B934" s="89"/>
      <c r="C934" s="91"/>
      <c r="D934" s="92"/>
      <c r="E934" s="89"/>
      <c r="F934" s="89"/>
      <c r="G934" s="89"/>
      <c r="H934" s="89"/>
      <c r="I934" s="89"/>
      <c r="J934" s="89"/>
      <c r="K934" s="89"/>
      <c r="L934" s="89"/>
      <c r="M934" s="89"/>
      <c r="N934" s="89"/>
      <c r="O934" s="89"/>
      <c r="P934" s="89"/>
      <c r="Q934" s="89"/>
      <c r="R934" s="89"/>
      <c r="S934" s="89"/>
      <c r="T934" s="89"/>
      <c r="U934" s="89"/>
    </row>
    <row r="935">
      <c r="A935" s="89"/>
      <c r="B935" s="89"/>
      <c r="C935" s="91"/>
      <c r="D935" s="92"/>
      <c r="E935" s="89"/>
      <c r="F935" s="89"/>
      <c r="G935" s="89"/>
      <c r="H935" s="89"/>
      <c r="I935" s="89"/>
      <c r="J935" s="89"/>
      <c r="K935" s="89"/>
      <c r="L935" s="89"/>
      <c r="M935" s="89"/>
      <c r="N935" s="89"/>
      <c r="O935" s="89"/>
      <c r="P935" s="89"/>
      <c r="Q935" s="89"/>
      <c r="R935" s="89"/>
      <c r="S935" s="89"/>
      <c r="T935" s="89"/>
      <c r="U935" s="89"/>
    </row>
    <row r="936">
      <c r="A936" s="89"/>
      <c r="B936" s="89"/>
      <c r="C936" s="91"/>
      <c r="D936" s="92"/>
      <c r="E936" s="89"/>
      <c r="F936" s="89"/>
      <c r="G936" s="89"/>
      <c r="H936" s="89"/>
      <c r="I936" s="89"/>
      <c r="J936" s="89"/>
      <c r="K936" s="89"/>
      <c r="L936" s="89"/>
      <c r="M936" s="89"/>
      <c r="N936" s="89"/>
      <c r="O936" s="89"/>
      <c r="P936" s="89"/>
      <c r="Q936" s="89"/>
      <c r="R936" s="89"/>
      <c r="S936" s="89"/>
      <c r="T936" s="89"/>
      <c r="U936" s="89"/>
    </row>
    <row r="937">
      <c r="A937" s="89"/>
      <c r="B937" s="89"/>
      <c r="C937" s="91"/>
      <c r="D937" s="92"/>
      <c r="E937" s="89"/>
      <c r="F937" s="89"/>
      <c r="G937" s="89"/>
      <c r="H937" s="89"/>
      <c r="I937" s="89"/>
      <c r="J937" s="89"/>
      <c r="K937" s="89"/>
      <c r="L937" s="89"/>
      <c r="M937" s="89"/>
      <c r="N937" s="89"/>
      <c r="O937" s="89"/>
      <c r="P937" s="89"/>
      <c r="Q937" s="89"/>
      <c r="R937" s="89"/>
      <c r="S937" s="89"/>
      <c r="T937" s="89"/>
      <c r="U937" s="89"/>
    </row>
    <row r="938">
      <c r="A938" s="89"/>
      <c r="B938" s="89"/>
      <c r="C938" s="91"/>
      <c r="D938" s="92"/>
      <c r="E938" s="89"/>
      <c r="F938" s="89"/>
      <c r="G938" s="89"/>
      <c r="H938" s="89"/>
      <c r="I938" s="89"/>
      <c r="J938" s="89"/>
      <c r="K938" s="89"/>
      <c r="L938" s="89"/>
      <c r="M938" s="89"/>
      <c r="N938" s="89"/>
      <c r="O938" s="89"/>
      <c r="P938" s="89"/>
      <c r="Q938" s="89"/>
      <c r="R938" s="89"/>
      <c r="S938" s="89"/>
      <c r="T938" s="89"/>
      <c r="U938" s="89"/>
    </row>
    <row r="939">
      <c r="A939" s="89"/>
      <c r="B939" s="89"/>
      <c r="C939" s="91"/>
      <c r="D939" s="92"/>
      <c r="E939" s="89"/>
      <c r="F939" s="89"/>
      <c r="G939" s="89"/>
      <c r="H939" s="89"/>
      <c r="I939" s="89"/>
      <c r="J939" s="89"/>
      <c r="K939" s="89"/>
      <c r="L939" s="89"/>
      <c r="M939" s="89"/>
      <c r="N939" s="89"/>
      <c r="O939" s="89"/>
      <c r="P939" s="89"/>
      <c r="Q939" s="89"/>
      <c r="R939" s="89"/>
      <c r="S939" s="89"/>
      <c r="T939" s="89"/>
      <c r="U939" s="89"/>
    </row>
    <row r="940">
      <c r="A940" s="89"/>
      <c r="B940" s="89"/>
      <c r="C940" s="91"/>
      <c r="D940" s="92"/>
      <c r="E940" s="89"/>
      <c r="F940" s="89"/>
      <c r="G940" s="89"/>
      <c r="H940" s="89"/>
      <c r="I940" s="89"/>
      <c r="J940" s="89"/>
      <c r="K940" s="89"/>
      <c r="L940" s="89"/>
      <c r="M940" s="89"/>
      <c r="N940" s="89"/>
      <c r="O940" s="89"/>
      <c r="P940" s="89"/>
      <c r="Q940" s="89"/>
      <c r="R940" s="89"/>
      <c r="S940" s="89"/>
      <c r="T940" s="89"/>
      <c r="U940" s="89"/>
    </row>
    <row r="941">
      <c r="A941" s="89"/>
      <c r="B941" s="89"/>
      <c r="C941" s="91"/>
      <c r="D941" s="92"/>
      <c r="E941" s="89"/>
      <c r="F941" s="89"/>
      <c r="G941" s="89"/>
      <c r="H941" s="89"/>
      <c r="I941" s="89"/>
      <c r="J941" s="89"/>
      <c r="K941" s="89"/>
      <c r="L941" s="89"/>
      <c r="M941" s="89"/>
      <c r="N941" s="89"/>
      <c r="O941" s="89"/>
      <c r="P941" s="89"/>
      <c r="Q941" s="89"/>
      <c r="R941" s="89"/>
      <c r="S941" s="89"/>
      <c r="T941" s="89"/>
      <c r="U941" s="89"/>
    </row>
    <row r="942">
      <c r="A942" s="89"/>
      <c r="B942" s="89"/>
      <c r="C942" s="91"/>
      <c r="D942" s="92"/>
      <c r="E942" s="89"/>
      <c r="F942" s="89"/>
      <c r="G942" s="89"/>
      <c r="H942" s="89"/>
      <c r="I942" s="89"/>
      <c r="J942" s="89"/>
      <c r="K942" s="89"/>
      <c r="L942" s="89"/>
      <c r="M942" s="89"/>
      <c r="N942" s="89"/>
      <c r="O942" s="89"/>
      <c r="P942" s="89"/>
      <c r="Q942" s="89"/>
      <c r="R942" s="89"/>
      <c r="S942" s="89"/>
      <c r="T942" s="89"/>
      <c r="U942" s="89"/>
    </row>
    <row r="943">
      <c r="A943" s="89"/>
      <c r="B943" s="89"/>
      <c r="C943" s="91"/>
      <c r="D943" s="92"/>
      <c r="E943" s="89"/>
      <c r="F943" s="89"/>
      <c r="G943" s="89"/>
      <c r="H943" s="89"/>
      <c r="I943" s="89"/>
      <c r="J943" s="89"/>
      <c r="K943" s="89"/>
      <c r="L943" s="89"/>
      <c r="M943" s="89"/>
      <c r="N943" s="89"/>
      <c r="O943" s="89"/>
      <c r="P943" s="89"/>
      <c r="Q943" s="89"/>
      <c r="R943" s="89"/>
      <c r="S943" s="89"/>
      <c r="T943" s="89"/>
      <c r="U943" s="89"/>
    </row>
    <row r="944">
      <c r="A944" s="89"/>
      <c r="B944" s="89"/>
      <c r="C944" s="91"/>
      <c r="D944" s="92"/>
      <c r="E944" s="89"/>
      <c r="F944" s="89"/>
      <c r="G944" s="89"/>
      <c r="H944" s="89"/>
      <c r="I944" s="89"/>
      <c r="J944" s="89"/>
      <c r="K944" s="89"/>
      <c r="L944" s="89"/>
      <c r="M944" s="89"/>
      <c r="N944" s="89"/>
      <c r="O944" s="89"/>
      <c r="P944" s="89"/>
      <c r="Q944" s="89"/>
      <c r="R944" s="89"/>
      <c r="S944" s="89"/>
      <c r="T944" s="89"/>
      <c r="U944" s="89"/>
    </row>
    <row r="945">
      <c r="A945" s="89"/>
      <c r="B945" s="89"/>
      <c r="C945" s="91"/>
      <c r="D945" s="92"/>
      <c r="E945" s="89"/>
      <c r="F945" s="89"/>
      <c r="G945" s="89"/>
      <c r="H945" s="89"/>
      <c r="I945" s="89"/>
      <c r="J945" s="89"/>
      <c r="K945" s="89"/>
      <c r="L945" s="89"/>
      <c r="M945" s="89"/>
      <c r="N945" s="89"/>
      <c r="O945" s="89"/>
      <c r="P945" s="89"/>
      <c r="Q945" s="89"/>
      <c r="R945" s="89"/>
      <c r="S945" s="89"/>
      <c r="T945" s="89"/>
      <c r="U945" s="89"/>
    </row>
    <row r="946">
      <c r="A946" s="89"/>
      <c r="B946" s="89"/>
      <c r="C946" s="91"/>
      <c r="D946" s="92"/>
      <c r="E946" s="89"/>
      <c r="F946" s="89"/>
      <c r="G946" s="89"/>
      <c r="H946" s="89"/>
      <c r="I946" s="89"/>
      <c r="J946" s="89"/>
      <c r="K946" s="89"/>
      <c r="L946" s="89"/>
      <c r="M946" s="89"/>
      <c r="N946" s="89"/>
      <c r="O946" s="89"/>
      <c r="P946" s="89"/>
      <c r="Q946" s="89"/>
      <c r="R946" s="89"/>
      <c r="S946" s="89"/>
      <c r="T946" s="89"/>
      <c r="U946" s="89"/>
    </row>
    <row r="947">
      <c r="A947" s="89"/>
      <c r="B947" s="89"/>
      <c r="C947" s="91"/>
      <c r="D947" s="92"/>
      <c r="E947" s="89"/>
      <c r="F947" s="89"/>
      <c r="G947" s="89"/>
      <c r="H947" s="89"/>
      <c r="I947" s="89"/>
      <c r="J947" s="89"/>
      <c r="K947" s="89"/>
      <c r="L947" s="89"/>
      <c r="M947" s="89"/>
      <c r="N947" s="89"/>
      <c r="O947" s="89"/>
      <c r="P947" s="89"/>
      <c r="Q947" s="89"/>
      <c r="R947" s="89"/>
      <c r="S947" s="89"/>
      <c r="T947" s="89"/>
      <c r="U947" s="89"/>
    </row>
    <row r="948">
      <c r="A948" s="89"/>
      <c r="B948" s="89"/>
      <c r="C948" s="91"/>
      <c r="D948" s="92"/>
      <c r="E948" s="89"/>
      <c r="F948" s="89"/>
      <c r="G948" s="89"/>
      <c r="H948" s="89"/>
      <c r="I948" s="89"/>
      <c r="J948" s="89"/>
      <c r="K948" s="89"/>
      <c r="L948" s="89"/>
      <c r="M948" s="89"/>
      <c r="N948" s="89"/>
      <c r="O948" s="89"/>
      <c r="P948" s="89"/>
      <c r="Q948" s="89"/>
      <c r="R948" s="89"/>
      <c r="S948" s="89"/>
      <c r="T948" s="89"/>
      <c r="U948" s="89"/>
    </row>
    <row r="949">
      <c r="A949" s="89"/>
      <c r="B949" s="89"/>
      <c r="C949" s="91"/>
      <c r="D949" s="92"/>
      <c r="E949" s="89"/>
      <c r="F949" s="89"/>
      <c r="G949" s="89"/>
      <c r="H949" s="89"/>
      <c r="I949" s="89"/>
      <c r="J949" s="89"/>
      <c r="K949" s="89"/>
      <c r="L949" s="89"/>
      <c r="M949" s="89"/>
      <c r="N949" s="89"/>
      <c r="O949" s="89"/>
      <c r="P949" s="89"/>
      <c r="Q949" s="89"/>
      <c r="R949" s="89"/>
      <c r="S949" s="89"/>
      <c r="T949" s="89"/>
      <c r="U949" s="89"/>
    </row>
    <row r="950">
      <c r="A950" s="89"/>
      <c r="B950" s="89"/>
      <c r="C950" s="91"/>
      <c r="D950" s="92"/>
      <c r="E950" s="89"/>
      <c r="F950" s="89"/>
      <c r="G950" s="89"/>
      <c r="H950" s="89"/>
      <c r="I950" s="89"/>
      <c r="J950" s="89"/>
      <c r="K950" s="89"/>
      <c r="L950" s="89"/>
      <c r="M950" s="89"/>
      <c r="N950" s="89"/>
      <c r="O950" s="89"/>
      <c r="P950" s="89"/>
      <c r="Q950" s="89"/>
      <c r="R950" s="89"/>
      <c r="S950" s="89"/>
      <c r="T950" s="89"/>
      <c r="U950" s="89"/>
    </row>
    <row r="951">
      <c r="A951" s="89"/>
      <c r="B951" s="89"/>
      <c r="C951" s="91"/>
      <c r="D951" s="92"/>
      <c r="E951" s="89"/>
      <c r="F951" s="89"/>
      <c r="G951" s="89"/>
      <c r="H951" s="89"/>
      <c r="I951" s="89"/>
      <c r="J951" s="89"/>
      <c r="K951" s="89"/>
      <c r="L951" s="89"/>
      <c r="M951" s="89"/>
      <c r="N951" s="89"/>
      <c r="O951" s="89"/>
      <c r="P951" s="89"/>
      <c r="Q951" s="89"/>
      <c r="R951" s="89"/>
      <c r="S951" s="89"/>
      <c r="T951" s="89"/>
      <c r="U951" s="89"/>
    </row>
    <row r="952">
      <c r="A952" s="89"/>
      <c r="B952" s="89"/>
      <c r="C952" s="91"/>
      <c r="D952" s="92"/>
      <c r="E952" s="89"/>
      <c r="F952" s="89"/>
      <c r="G952" s="89"/>
      <c r="H952" s="89"/>
      <c r="I952" s="89"/>
      <c r="J952" s="89"/>
      <c r="K952" s="89"/>
      <c r="L952" s="89"/>
      <c r="M952" s="89"/>
      <c r="N952" s="89"/>
      <c r="O952" s="89"/>
      <c r="P952" s="89"/>
      <c r="Q952" s="89"/>
      <c r="R952" s="89"/>
      <c r="S952" s="89"/>
      <c r="T952" s="89"/>
      <c r="U952" s="89"/>
    </row>
    <row r="953">
      <c r="A953" s="89"/>
      <c r="B953" s="89"/>
      <c r="C953" s="91"/>
      <c r="D953" s="92"/>
      <c r="E953" s="89"/>
      <c r="F953" s="89"/>
      <c r="G953" s="89"/>
      <c r="H953" s="89"/>
      <c r="I953" s="89"/>
      <c r="J953" s="89"/>
      <c r="K953" s="89"/>
      <c r="L953" s="89"/>
      <c r="M953" s="89"/>
      <c r="N953" s="89"/>
      <c r="O953" s="89"/>
      <c r="P953" s="89"/>
      <c r="Q953" s="89"/>
      <c r="R953" s="89"/>
      <c r="S953" s="89"/>
      <c r="T953" s="89"/>
      <c r="U953" s="89"/>
    </row>
    <row r="954">
      <c r="A954" s="89"/>
      <c r="B954" s="89"/>
      <c r="C954" s="91"/>
      <c r="D954" s="92"/>
      <c r="E954" s="89"/>
      <c r="F954" s="89"/>
      <c r="G954" s="89"/>
      <c r="H954" s="89"/>
      <c r="I954" s="89"/>
      <c r="J954" s="89"/>
      <c r="K954" s="89"/>
      <c r="L954" s="89"/>
      <c r="M954" s="89"/>
      <c r="N954" s="89"/>
      <c r="O954" s="89"/>
      <c r="P954" s="89"/>
      <c r="Q954" s="89"/>
      <c r="R954" s="89"/>
      <c r="S954" s="89"/>
      <c r="T954" s="89"/>
      <c r="U954" s="89"/>
    </row>
    <row r="955">
      <c r="A955" s="89"/>
      <c r="B955" s="89"/>
      <c r="C955" s="91"/>
      <c r="D955" s="92"/>
      <c r="E955" s="89"/>
      <c r="F955" s="89"/>
      <c r="G955" s="89"/>
      <c r="H955" s="89"/>
      <c r="I955" s="89"/>
      <c r="J955" s="89"/>
      <c r="K955" s="89"/>
      <c r="L955" s="89"/>
      <c r="M955" s="89"/>
      <c r="N955" s="89"/>
      <c r="O955" s="89"/>
      <c r="P955" s="89"/>
      <c r="Q955" s="89"/>
      <c r="R955" s="89"/>
      <c r="S955" s="89"/>
      <c r="T955" s="89"/>
      <c r="U955" s="89"/>
    </row>
    <row r="956">
      <c r="A956" s="89"/>
      <c r="B956" s="89"/>
      <c r="C956" s="91"/>
      <c r="D956" s="92"/>
      <c r="E956" s="89"/>
      <c r="F956" s="89"/>
      <c r="G956" s="89"/>
      <c r="H956" s="89"/>
      <c r="I956" s="89"/>
      <c r="J956" s="89"/>
      <c r="K956" s="89"/>
      <c r="L956" s="89"/>
      <c r="M956" s="89"/>
      <c r="N956" s="89"/>
      <c r="O956" s="89"/>
      <c r="P956" s="89"/>
      <c r="Q956" s="89"/>
      <c r="R956" s="89"/>
      <c r="S956" s="89"/>
      <c r="T956" s="89"/>
      <c r="U956" s="89"/>
    </row>
    <row r="957">
      <c r="A957" s="89"/>
      <c r="B957" s="89"/>
      <c r="C957" s="91"/>
      <c r="D957" s="92"/>
      <c r="E957" s="89"/>
      <c r="F957" s="89"/>
      <c r="G957" s="89"/>
      <c r="H957" s="89"/>
      <c r="I957" s="89"/>
      <c r="J957" s="89"/>
      <c r="K957" s="89"/>
      <c r="L957" s="89"/>
      <c r="M957" s="89"/>
      <c r="N957" s="89"/>
      <c r="O957" s="89"/>
      <c r="P957" s="89"/>
      <c r="Q957" s="89"/>
      <c r="R957" s="89"/>
      <c r="S957" s="89"/>
      <c r="T957" s="89"/>
      <c r="U957" s="89"/>
    </row>
    <row r="958">
      <c r="A958" s="89"/>
      <c r="B958" s="89"/>
      <c r="C958" s="91"/>
      <c r="D958" s="92"/>
      <c r="E958" s="89"/>
      <c r="F958" s="89"/>
      <c r="G958" s="89"/>
      <c r="H958" s="89"/>
      <c r="I958" s="89"/>
      <c r="J958" s="89"/>
      <c r="K958" s="89"/>
      <c r="L958" s="89"/>
      <c r="M958" s="89"/>
      <c r="N958" s="89"/>
      <c r="O958" s="89"/>
      <c r="P958" s="89"/>
      <c r="Q958" s="89"/>
      <c r="R958" s="89"/>
      <c r="S958" s="89"/>
      <c r="T958" s="89"/>
      <c r="U958" s="89"/>
    </row>
    <row r="959">
      <c r="A959" s="89"/>
      <c r="B959" s="89"/>
      <c r="C959" s="91"/>
      <c r="D959" s="92"/>
      <c r="E959" s="89"/>
      <c r="F959" s="89"/>
      <c r="G959" s="89"/>
      <c r="H959" s="89"/>
      <c r="I959" s="89"/>
      <c r="J959" s="89"/>
      <c r="K959" s="89"/>
      <c r="L959" s="89"/>
      <c r="M959" s="89"/>
      <c r="N959" s="89"/>
      <c r="O959" s="89"/>
      <c r="P959" s="89"/>
      <c r="Q959" s="89"/>
      <c r="R959" s="89"/>
      <c r="S959" s="89"/>
      <c r="T959" s="89"/>
      <c r="U959" s="89"/>
    </row>
    <row r="960">
      <c r="A960" s="89"/>
      <c r="B960" s="89"/>
      <c r="C960" s="91"/>
      <c r="D960" s="92"/>
      <c r="E960" s="89"/>
      <c r="F960" s="89"/>
      <c r="G960" s="89"/>
      <c r="H960" s="89"/>
      <c r="I960" s="89"/>
      <c r="J960" s="89"/>
      <c r="K960" s="89"/>
      <c r="L960" s="89"/>
      <c r="M960" s="89"/>
      <c r="N960" s="89"/>
      <c r="O960" s="89"/>
      <c r="P960" s="89"/>
      <c r="Q960" s="89"/>
      <c r="R960" s="89"/>
      <c r="S960" s="89"/>
      <c r="T960" s="89"/>
      <c r="U960" s="89"/>
    </row>
    <row r="961">
      <c r="A961" s="89"/>
      <c r="B961" s="89"/>
      <c r="C961" s="91"/>
      <c r="D961" s="92"/>
      <c r="E961" s="89"/>
      <c r="F961" s="89"/>
      <c r="G961" s="89"/>
      <c r="H961" s="89"/>
      <c r="I961" s="89"/>
      <c r="J961" s="89"/>
      <c r="K961" s="89"/>
      <c r="L961" s="89"/>
      <c r="M961" s="89"/>
      <c r="N961" s="89"/>
      <c r="O961" s="89"/>
      <c r="P961" s="89"/>
      <c r="Q961" s="89"/>
      <c r="R961" s="89"/>
      <c r="S961" s="89"/>
      <c r="T961" s="89"/>
      <c r="U961" s="89"/>
    </row>
    <row r="962">
      <c r="A962" s="89"/>
      <c r="B962" s="89"/>
      <c r="C962" s="91"/>
      <c r="D962" s="92"/>
      <c r="E962" s="89"/>
      <c r="F962" s="89"/>
      <c r="G962" s="89"/>
      <c r="H962" s="89"/>
      <c r="I962" s="89"/>
      <c r="J962" s="89"/>
      <c r="K962" s="89"/>
      <c r="L962" s="89"/>
      <c r="M962" s="89"/>
      <c r="N962" s="89"/>
      <c r="O962" s="89"/>
      <c r="P962" s="89"/>
      <c r="Q962" s="89"/>
      <c r="R962" s="89"/>
      <c r="S962" s="89"/>
      <c r="T962" s="89"/>
      <c r="U962" s="89"/>
    </row>
    <row r="963">
      <c r="A963" s="89"/>
      <c r="B963" s="89"/>
      <c r="C963" s="91"/>
      <c r="D963" s="92"/>
      <c r="E963" s="89"/>
      <c r="F963" s="89"/>
      <c r="G963" s="89"/>
      <c r="H963" s="89"/>
      <c r="I963" s="89"/>
      <c r="J963" s="89"/>
      <c r="K963" s="89"/>
      <c r="L963" s="89"/>
      <c r="M963" s="89"/>
      <c r="N963" s="89"/>
      <c r="O963" s="89"/>
      <c r="P963" s="89"/>
      <c r="Q963" s="89"/>
      <c r="R963" s="89"/>
      <c r="S963" s="89"/>
      <c r="T963" s="89"/>
      <c r="U963" s="89"/>
    </row>
    <row r="964">
      <c r="A964" s="89"/>
      <c r="B964" s="89"/>
      <c r="C964" s="91"/>
      <c r="D964" s="92"/>
      <c r="E964" s="89"/>
      <c r="F964" s="89"/>
      <c r="G964" s="89"/>
      <c r="H964" s="89"/>
      <c r="I964" s="89"/>
      <c r="J964" s="89"/>
      <c r="K964" s="89"/>
      <c r="L964" s="89"/>
      <c r="M964" s="89"/>
      <c r="N964" s="89"/>
      <c r="O964" s="89"/>
      <c r="P964" s="89"/>
      <c r="Q964" s="89"/>
      <c r="R964" s="89"/>
      <c r="S964" s="89"/>
      <c r="T964" s="89"/>
      <c r="U964" s="89"/>
    </row>
    <row r="965">
      <c r="A965" s="89"/>
      <c r="B965" s="89"/>
      <c r="C965" s="91"/>
      <c r="D965" s="92"/>
      <c r="E965" s="89"/>
      <c r="F965" s="89"/>
      <c r="G965" s="89"/>
      <c r="H965" s="89"/>
      <c r="I965" s="89"/>
      <c r="J965" s="89"/>
      <c r="K965" s="89"/>
      <c r="L965" s="89"/>
      <c r="M965" s="89"/>
      <c r="N965" s="89"/>
      <c r="O965" s="89"/>
      <c r="P965" s="89"/>
      <c r="Q965" s="89"/>
      <c r="R965" s="89"/>
      <c r="S965" s="89"/>
      <c r="T965" s="89"/>
      <c r="U965" s="89"/>
    </row>
    <row r="966">
      <c r="A966" s="89"/>
      <c r="B966" s="89"/>
      <c r="C966" s="91"/>
      <c r="D966" s="92"/>
      <c r="E966" s="89"/>
      <c r="F966" s="89"/>
      <c r="G966" s="89"/>
      <c r="H966" s="89"/>
      <c r="I966" s="89"/>
      <c r="J966" s="89"/>
      <c r="K966" s="89"/>
      <c r="L966" s="89"/>
      <c r="M966" s="89"/>
      <c r="N966" s="89"/>
      <c r="O966" s="89"/>
      <c r="P966" s="89"/>
      <c r="Q966" s="89"/>
      <c r="R966" s="89"/>
      <c r="S966" s="89"/>
      <c r="T966" s="89"/>
      <c r="U966" s="89"/>
    </row>
    <row r="967">
      <c r="A967" s="89"/>
      <c r="B967" s="89"/>
      <c r="C967" s="91"/>
      <c r="D967" s="92"/>
      <c r="E967" s="89"/>
      <c r="F967" s="89"/>
      <c r="G967" s="89"/>
      <c r="H967" s="89"/>
      <c r="I967" s="89"/>
      <c r="J967" s="89"/>
      <c r="K967" s="89"/>
      <c r="L967" s="89"/>
      <c r="M967" s="89"/>
      <c r="N967" s="89"/>
      <c r="O967" s="89"/>
      <c r="P967" s="89"/>
      <c r="Q967" s="89"/>
      <c r="R967" s="89"/>
      <c r="S967" s="89"/>
      <c r="T967" s="89"/>
      <c r="U967" s="89"/>
    </row>
    <row r="968">
      <c r="A968" s="89"/>
      <c r="B968" s="89"/>
      <c r="C968" s="91"/>
      <c r="D968" s="92"/>
      <c r="E968" s="89"/>
      <c r="F968" s="89"/>
      <c r="G968" s="89"/>
      <c r="H968" s="89"/>
      <c r="I968" s="89"/>
      <c r="J968" s="89"/>
      <c r="K968" s="89"/>
      <c r="L968" s="89"/>
      <c r="M968" s="89"/>
      <c r="N968" s="89"/>
      <c r="O968" s="89"/>
      <c r="P968" s="89"/>
      <c r="Q968" s="89"/>
      <c r="R968" s="89"/>
      <c r="S968" s="89"/>
      <c r="T968" s="89"/>
      <c r="U968" s="89"/>
    </row>
    <row r="969">
      <c r="A969" s="89"/>
      <c r="B969" s="89"/>
      <c r="C969" s="91"/>
      <c r="D969" s="92"/>
      <c r="E969" s="89"/>
      <c r="F969" s="89"/>
      <c r="G969" s="89"/>
      <c r="H969" s="89"/>
      <c r="I969" s="89"/>
      <c r="J969" s="89"/>
      <c r="K969" s="89"/>
      <c r="L969" s="89"/>
      <c r="M969" s="89"/>
      <c r="N969" s="89"/>
      <c r="O969" s="89"/>
      <c r="P969" s="89"/>
      <c r="Q969" s="89"/>
      <c r="R969" s="89"/>
      <c r="S969" s="89"/>
      <c r="T969" s="89"/>
      <c r="U969" s="89"/>
    </row>
    <row r="970">
      <c r="A970" s="89"/>
      <c r="B970" s="89"/>
      <c r="C970" s="91"/>
      <c r="D970" s="92"/>
      <c r="E970" s="89"/>
      <c r="F970" s="89"/>
      <c r="G970" s="89"/>
      <c r="H970" s="89"/>
      <c r="I970" s="89"/>
      <c r="J970" s="89"/>
      <c r="K970" s="89"/>
      <c r="L970" s="89"/>
      <c r="M970" s="89"/>
      <c r="N970" s="89"/>
      <c r="O970" s="89"/>
      <c r="P970" s="89"/>
      <c r="Q970" s="89"/>
      <c r="R970" s="89"/>
      <c r="S970" s="89"/>
      <c r="T970" s="89"/>
      <c r="U970" s="89"/>
    </row>
    <row r="971">
      <c r="A971" s="89"/>
      <c r="B971" s="89"/>
      <c r="C971" s="91"/>
      <c r="D971" s="92"/>
      <c r="E971" s="89"/>
      <c r="F971" s="89"/>
      <c r="G971" s="89"/>
      <c r="H971" s="89"/>
      <c r="I971" s="89"/>
      <c r="J971" s="89"/>
      <c r="K971" s="89"/>
      <c r="L971" s="89"/>
      <c r="M971" s="89"/>
      <c r="N971" s="89"/>
      <c r="O971" s="89"/>
      <c r="P971" s="89"/>
      <c r="Q971" s="89"/>
      <c r="R971" s="89"/>
      <c r="S971" s="89"/>
      <c r="T971" s="89"/>
      <c r="U971" s="89"/>
    </row>
    <row r="972">
      <c r="A972" s="89"/>
      <c r="B972" s="89"/>
      <c r="C972" s="91"/>
      <c r="D972" s="92"/>
      <c r="E972" s="89"/>
      <c r="F972" s="89"/>
      <c r="G972" s="89"/>
      <c r="H972" s="89"/>
      <c r="I972" s="89"/>
      <c r="J972" s="89"/>
      <c r="K972" s="89"/>
      <c r="L972" s="89"/>
      <c r="M972" s="89"/>
      <c r="N972" s="89"/>
      <c r="O972" s="89"/>
      <c r="P972" s="89"/>
      <c r="Q972" s="89"/>
      <c r="R972" s="89"/>
      <c r="S972" s="89"/>
      <c r="T972" s="89"/>
      <c r="U972" s="89"/>
    </row>
    <row r="973">
      <c r="A973" s="89"/>
      <c r="B973" s="89"/>
      <c r="C973" s="91"/>
      <c r="D973" s="92"/>
      <c r="E973" s="89"/>
      <c r="F973" s="89"/>
      <c r="G973" s="89"/>
      <c r="H973" s="89"/>
      <c r="I973" s="89"/>
      <c r="J973" s="89"/>
      <c r="K973" s="89"/>
      <c r="L973" s="89"/>
      <c r="M973" s="89"/>
      <c r="N973" s="89"/>
      <c r="O973" s="89"/>
      <c r="P973" s="89"/>
      <c r="Q973" s="89"/>
      <c r="R973" s="89"/>
      <c r="S973" s="89"/>
      <c r="T973" s="89"/>
      <c r="U973" s="89"/>
    </row>
    <row r="974">
      <c r="A974" s="89"/>
      <c r="B974" s="89"/>
      <c r="C974" s="91"/>
      <c r="D974" s="92"/>
      <c r="E974" s="89"/>
      <c r="F974" s="89"/>
      <c r="G974" s="89"/>
      <c r="H974" s="89"/>
      <c r="I974" s="89"/>
      <c r="J974" s="89"/>
      <c r="K974" s="89"/>
      <c r="L974" s="89"/>
      <c r="M974" s="89"/>
      <c r="N974" s="89"/>
      <c r="O974" s="89"/>
      <c r="P974" s="89"/>
      <c r="Q974" s="89"/>
      <c r="R974" s="89"/>
      <c r="S974" s="89"/>
      <c r="T974" s="89"/>
      <c r="U974" s="89"/>
    </row>
    <row r="975">
      <c r="A975" s="89"/>
      <c r="B975" s="89"/>
      <c r="C975" s="91"/>
      <c r="D975" s="92"/>
      <c r="E975" s="89"/>
      <c r="F975" s="89"/>
      <c r="G975" s="89"/>
      <c r="H975" s="89"/>
      <c r="I975" s="89"/>
      <c r="J975" s="89"/>
      <c r="K975" s="89"/>
      <c r="L975" s="89"/>
      <c r="M975" s="89"/>
      <c r="N975" s="89"/>
      <c r="O975" s="89"/>
      <c r="P975" s="89"/>
      <c r="Q975" s="89"/>
      <c r="R975" s="89"/>
      <c r="S975" s="89"/>
      <c r="T975" s="89"/>
      <c r="U975" s="89"/>
    </row>
    <row r="976">
      <c r="A976" s="89"/>
      <c r="B976" s="89"/>
      <c r="C976" s="91"/>
      <c r="D976" s="92"/>
      <c r="E976" s="89"/>
      <c r="F976" s="89"/>
      <c r="G976" s="89"/>
      <c r="H976" s="89"/>
      <c r="I976" s="89"/>
      <c r="J976" s="89"/>
      <c r="K976" s="89"/>
      <c r="L976" s="89"/>
      <c r="M976" s="89"/>
      <c r="N976" s="89"/>
      <c r="O976" s="89"/>
      <c r="P976" s="89"/>
      <c r="Q976" s="89"/>
      <c r="R976" s="89"/>
      <c r="S976" s="89"/>
      <c r="T976" s="89"/>
      <c r="U976" s="89"/>
    </row>
    <row r="977">
      <c r="A977" s="89"/>
      <c r="B977" s="89"/>
      <c r="C977" s="91"/>
      <c r="D977" s="92"/>
      <c r="E977" s="89"/>
      <c r="F977" s="89"/>
      <c r="G977" s="89"/>
      <c r="H977" s="89"/>
      <c r="I977" s="89"/>
      <c r="J977" s="89"/>
      <c r="K977" s="89"/>
      <c r="L977" s="89"/>
      <c r="M977" s="89"/>
      <c r="N977" s="89"/>
      <c r="O977" s="89"/>
      <c r="P977" s="89"/>
      <c r="Q977" s="89"/>
      <c r="R977" s="89"/>
      <c r="S977" s="89"/>
      <c r="T977" s="89"/>
      <c r="U977" s="89"/>
    </row>
    <row r="978">
      <c r="A978" s="89"/>
      <c r="B978" s="89"/>
      <c r="C978" s="91"/>
      <c r="D978" s="92"/>
      <c r="E978" s="89"/>
      <c r="F978" s="89"/>
      <c r="G978" s="89"/>
      <c r="H978" s="89"/>
      <c r="I978" s="89"/>
      <c r="J978" s="89"/>
      <c r="K978" s="89"/>
      <c r="L978" s="89"/>
      <c r="M978" s="89"/>
      <c r="N978" s="89"/>
      <c r="O978" s="89"/>
      <c r="P978" s="89"/>
      <c r="Q978" s="89"/>
      <c r="R978" s="89"/>
      <c r="S978" s="89"/>
      <c r="T978" s="89"/>
      <c r="U978" s="89"/>
    </row>
    <row r="979">
      <c r="A979" s="89"/>
      <c r="B979" s="89"/>
      <c r="C979" s="91"/>
      <c r="D979" s="92"/>
      <c r="E979" s="89"/>
      <c r="F979" s="89"/>
      <c r="G979" s="89"/>
      <c r="H979" s="89"/>
      <c r="I979" s="89"/>
      <c r="J979" s="89"/>
      <c r="K979" s="89"/>
      <c r="L979" s="89"/>
      <c r="M979" s="89"/>
      <c r="N979" s="89"/>
      <c r="O979" s="89"/>
      <c r="P979" s="89"/>
      <c r="Q979" s="89"/>
      <c r="R979" s="89"/>
      <c r="S979" s="89"/>
      <c r="T979" s="89"/>
      <c r="U979" s="89"/>
    </row>
    <row r="980">
      <c r="A980" s="89"/>
      <c r="B980" s="89"/>
      <c r="C980" s="91"/>
      <c r="D980" s="92"/>
      <c r="E980" s="89"/>
      <c r="F980" s="89"/>
      <c r="G980" s="89"/>
      <c r="H980" s="89"/>
      <c r="I980" s="89"/>
      <c r="J980" s="89"/>
      <c r="K980" s="89"/>
      <c r="L980" s="89"/>
      <c r="M980" s="89"/>
      <c r="N980" s="89"/>
      <c r="O980" s="89"/>
      <c r="P980" s="89"/>
      <c r="Q980" s="89"/>
      <c r="R980" s="89"/>
      <c r="S980" s="89"/>
      <c r="T980" s="89"/>
      <c r="U980" s="89"/>
    </row>
    <row r="981">
      <c r="A981" s="89"/>
      <c r="B981" s="89"/>
      <c r="C981" s="91"/>
      <c r="D981" s="92"/>
      <c r="E981" s="89"/>
      <c r="F981" s="89"/>
      <c r="G981" s="89"/>
      <c r="H981" s="89"/>
      <c r="I981" s="89"/>
      <c r="J981" s="89"/>
      <c r="K981" s="89"/>
      <c r="L981" s="89"/>
      <c r="M981" s="89"/>
      <c r="N981" s="89"/>
      <c r="O981" s="89"/>
      <c r="P981" s="89"/>
      <c r="Q981" s="89"/>
      <c r="R981" s="89"/>
      <c r="S981" s="89"/>
      <c r="T981" s="89"/>
      <c r="U981" s="89"/>
    </row>
    <row r="982">
      <c r="A982" s="89"/>
      <c r="B982" s="89"/>
      <c r="C982" s="91"/>
      <c r="D982" s="92"/>
      <c r="E982" s="89"/>
      <c r="F982" s="89"/>
      <c r="G982" s="89"/>
      <c r="H982" s="89"/>
      <c r="I982" s="89"/>
      <c r="J982" s="89"/>
      <c r="K982" s="89"/>
      <c r="L982" s="89"/>
      <c r="M982" s="89"/>
      <c r="N982" s="89"/>
      <c r="O982" s="89"/>
      <c r="P982" s="89"/>
      <c r="Q982" s="89"/>
      <c r="R982" s="89"/>
      <c r="S982" s="89"/>
      <c r="T982" s="89"/>
      <c r="U982" s="89"/>
    </row>
    <row r="983">
      <c r="A983" s="89"/>
      <c r="B983" s="89"/>
      <c r="C983" s="91"/>
      <c r="D983" s="92"/>
      <c r="E983" s="89"/>
      <c r="F983" s="89"/>
      <c r="G983" s="89"/>
      <c r="H983" s="89"/>
      <c r="I983" s="89"/>
      <c r="J983" s="89"/>
      <c r="K983" s="89"/>
      <c r="L983" s="89"/>
      <c r="M983" s="89"/>
      <c r="N983" s="89"/>
      <c r="O983" s="89"/>
      <c r="P983" s="89"/>
      <c r="Q983" s="89"/>
      <c r="R983" s="89"/>
      <c r="S983" s="89"/>
      <c r="T983" s="89"/>
      <c r="U983" s="89"/>
    </row>
    <row r="984">
      <c r="A984" s="89"/>
      <c r="B984" s="89"/>
      <c r="C984" s="91"/>
      <c r="D984" s="92"/>
      <c r="E984" s="89"/>
      <c r="F984" s="89"/>
      <c r="G984" s="89"/>
      <c r="H984" s="89"/>
      <c r="I984" s="89"/>
      <c r="J984" s="89"/>
      <c r="K984" s="89"/>
      <c r="L984" s="89"/>
      <c r="M984" s="89"/>
      <c r="N984" s="89"/>
      <c r="O984" s="89"/>
      <c r="P984" s="89"/>
      <c r="Q984" s="89"/>
      <c r="R984" s="89"/>
      <c r="S984" s="89"/>
      <c r="T984" s="89"/>
      <c r="U984" s="89"/>
    </row>
    <row r="985">
      <c r="A985" s="89"/>
      <c r="B985" s="89"/>
      <c r="C985" s="91"/>
      <c r="D985" s="92"/>
      <c r="E985" s="89"/>
      <c r="F985" s="89"/>
      <c r="G985" s="89"/>
      <c r="H985" s="89"/>
      <c r="I985" s="89"/>
      <c r="J985" s="89"/>
      <c r="K985" s="89"/>
      <c r="L985" s="89"/>
      <c r="M985" s="89"/>
      <c r="N985" s="89"/>
      <c r="O985" s="89"/>
      <c r="P985" s="89"/>
      <c r="Q985" s="89"/>
      <c r="R985" s="89"/>
      <c r="S985" s="89"/>
      <c r="T985" s="89"/>
      <c r="U985" s="89"/>
    </row>
    <row r="986">
      <c r="A986" s="89"/>
      <c r="B986" s="89"/>
      <c r="C986" s="91"/>
      <c r="D986" s="92"/>
      <c r="E986" s="89"/>
      <c r="F986" s="89"/>
      <c r="G986" s="89"/>
      <c r="H986" s="89"/>
      <c r="I986" s="89"/>
      <c r="J986" s="89"/>
      <c r="K986" s="89"/>
      <c r="L986" s="89"/>
      <c r="M986" s="89"/>
      <c r="N986" s="89"/>
      <c r="O986" s="89"/>
      <c r="P986" s="89"/>
      <c r="Q986" s="89"/>
      <c r="R986" s="89"/>
      <c r="S986" s="89"/>
      <c r="T986" s="89"/>
      <c r="U986" s="89"/>
    </row>
    <row r="987">
      <c r="A987" s="89"/>
      <c r="B987" s="89"/>
      <c r="C987" s="91"/>
      <c r="D987" s="92"/>
      <c r="E987" s="89"/>
      <c r="F987" s="89"/>
      <c r="G987" s="89"/>
      <c r="H987" s="89"/>
      <c r="I987" s="89"/>
      <c r="J987" s="89"/>
      <c r="K987" s="89"/>
      <c r="L987" s="89"/>
      <c r="M987" s="89"/>
      <c r="N987" s="89"/>
      <c r="O987" s="89"/>
      <c r="P987" s="89"/>
      <c r="Q987" s="89"/>
      <c r="R987" s="89"/>
      <c r="S987" s="89"/>
      <c r="T987" s="89"/>
      <c r="U987" s="89"/>
    </row>
    <row r="988">
      <c r="A988" s="89"/>
      <c r="B988" s="89"/>
      <c r="C988" s="91"/>
      <c r="D988" s="92"/>
      <c r="E988" s="89"/>
      <c r="F988" s="89"/>
      <c r="G988" s="89"/>
      <c r="H988" s="89"/>
      <c r="I988" s="89"/>
      <c r="J988" s="89"/>
      <c r="K988" s="89"/>
      <c r="L988" s="89"/>
      <c r="M988" s="89"/>
      <c r="N988" s="89"/>
      <c r="O988" s="89"/>
      <c r="P988" s="89"/>
      <c r="Q988" s="89"/>
      <c r="R988" s="89"/>
      <c r="S988" s="89"/>
      <c r="T988" s="89"/>
      <c r="U988" s="89"/>
    </row>
    <row r="989">
      <c r="A989" s="89"/>
      <c r="B989" s="89"/>
      <c r="C989" s="91"/>
      <c r="D989" s="92"/>
      <c r="E989" s="89"/>
      <c r="F989" s="89"/>
      <c r="G989" s="89"/>
      <c r="H989" s="89"/>
      <c r="I989" s="89"/>
      <c r="J989" s="89"/>
      <c r="K989" s="89"/>
      <c r="L989" s="89"/>
      <c r="M989" s="89"/>
      <c r="N989" s="89"/>
      <c r="O989" s="89"/>
      <c r="P989" s="89"/>
      <c r="Q989" s="89"/>
      <c r="R989" s="89"/>
      <c r="S989" s="89"/>
      <c r="T989" s="89"/>
      <c r="U989" s="89"/>
    </row>
    <row r="990">
      <c r="A990" s="89"/>
      <c r="B990" s="89"/>
      <c r="C990" s="91"/>
      <c r="D990" s="92"/>
      <c r="E990" s="89"/>
      <c r="F990" s="89"/>
      <c r="G990" s="89"/>
      <c r="H990" s="89"/>
      <c r="I990" s="89"/>
      <c r="J990" s="89"/>
      <c r="K990" s="89"/>
      <c r="L990" s="89"/>
      <c r="M990" s="89"/>
      <c r="N990" s="89"/>
      <c r="O990" s="89"/>
      <c r="P990" s="89"/>
      <c r="Q990" s="89"/>
      <c r="R990" s="89"/>
      <c r="S990" s="89"/>
      <c r="T990" s="89"/>
      <c r="U990" s="89"/>
    </row>
    <row r="991">
      <c r="A991" s="89"/>
      <c r="B991" s="89"/>
      <c r="C991" s="91"/>
      <c r="D991" s="92"/>
      <c r="E991" s="89"/>
      <c r="F991" s="89"/>
      <c r="G991" s="89"/>
      <c r="H991" s="89"/>
      <c r="I991" s="89"/>
      <c r="J991" s="89"/>
      <c r="K991" s="89"/>
      <c r="L991" s="89"/>
      <c r="M991" s="89"/>
      <c r="N991" s="89"/>
      <c r="O991" s="89"/>
      <c r="P991" s="89"/>
      <c r="Q991" s="89"/>
      <c r="R991" s="89"/>
      <c r="S991" s="89"/>
      <c r="T991" s="89"/>
      <c r="U991" s="89"/>
    </row>
    <row r="992">
      <c r="A992" s="89"/>
      <c r="B992" s="89"/>
      <c r="C992" s="91"/>
      <c r="D992" s="92"/>
      <c r="E992" s="89"/>
      <c r="F992" s="89"/>
      <c r="G992" s="89"/>
      <c r="H992" s="89"/>
      <c r="I992" s="89"/>
      <c r="J992" s="89"/>
      <c r="K992" s="89"/>
      <c r="L992" s="89"/>
      <c r="M992" s="89"/>
      <c r="N992" s="89"/>
      <c r="O992" s="89"/>
      <c r="P992" s="89"/>
      <c r="Q992" s="89"/>
      <c r="R992" s="89"/>
      <c r="S992" s="89"/>
      <c r="T992" s="89"/>
      <c r="U992" s="89"/>
    </row>
    <row r="993">
      <c r="A993" s="89"/>
      <c r="B993" s="89"/>
      <c r="C993" s="91"/>
      <c r="D993" s="92"/>
      <c r="E993" s="89"/>
      <c r="F993" s="89"/>
      <c r="G993" s="89"/>
      <c r="H993" s="89"/>
      <c r="I993" s="89"/>
      <c r="J993" s="89"/>
      <c r="K993" s="89"/>
      <c r="L993" s="89"/>
      <c r="M993" s="89"/>
      <c r="N993" s="89"/>
      <c r="O993" s="89"/>
      <c r="P993" s="89"/>
      <c r="Q993" s="89"/>
      <c r="R993" s="89"/>
      <c r="S993" s="89"/>
      <c r="T993" s="89"/>
      <c r="U993" s="89"/>
    </row>
    <row r="994">
      <c r="A994" s="89"/>
      <c r="B994" s="89"/>
      <c r="C994" s="91"/>
      <c r="D994" s="92"/>
      <c r="E994" s="89"/>
      <c r="F994" s="89"/>
      <c r="G994" s="89"/>
      <c r="H994" s="89"/>
      <c r="I994" s="89"/>
      <c r="J994" s="89"/>
      <c r="K994" s="89"/>
      <c r="L994" s="89"/>
      <c r="M994" s="89"/>
      <c r="N994" s="89"/>
      <c r="O994" s="89"/>
      <c r="P994" s="89"/>
      <c r="Q994" s="89"/>
      <c r="R994" s="89"/>
      <c r="S994" s="89"/>
      <c r="T994" s="89"/>
      <c r="U994" s="89"/>
    </row>
    <row r="995">
      <c r="A995" s="89"/>
      <c r="B995" s="89"/>
      <c r="C995" s="91"/>
      <c r="D995" s="92"/>
      <c r="E995" s="89"/>
      <c r="F995" s="89"/>
      <c r="G995" s="89"/>
      <c r="H995" s="89"/>
      <c r="I995" s="89"/>
      <c r="J995" s="89"/>
      <c r="K995" s="89"/>
      <c r="L995" s="89"/>
      <c r="M995" s="89"/>
      <c r="N995" s="89"/>
      <c r="O995" s="89"/>
      <c r="P995" s="89"/>
      <c r="Q995" s="89"/>
      <c r="R995" s="89"/>
      <c r="S995" s="89"/>
      <c r="T995" s="89"/>
      <c r="U995" s="89"/>
    </row>
    <row r="996">
      <c r="A996" s="89"/>
      <c r="B996" s="89"/>
      <c r="C996" s="91"/>
      <c r="D996" s="92"/>
      <c r="E996" s="89"/>
      <c r="F996" s="89"/>
      <c r="G996" s="89"/>
      <c r="H996" s="89"/>
      <c r="I996" s="89"/>
      <c r="J996" s="89"/>
      <c r="K996" s="89"/>
      <c r="L996" s="89"/>
      <c r="M996" s="89"/>
      <c r="N996" s="89"/>
      <c r="O996" s="89"/>
      <c r="P996" s="89"/>
      <c r="Q996" s="89"/>
      <c r="R996" s="89"/>
      <c r="S996" s="89"/>
      <c r="T996" s="89"/>
      <c r="U996" s="89"/>
    </row>
    <row r="997">
      <c r="A997" s="89"/>
      <c r="B997" s="89"/>
      <c r="C997" s="91"/>
      <c r="D997" s="92"/>
      <c r="E997" s="89"/>
      <c r="F997" s="89"/>
      <c r="G997" s="89"/>
      <c r="H997" s="89"/>
      <c r="I997" s="89"/>
      <c r="J997" s="89"/>
      <c r="K997" s="89"/>
      <c r="L997" s="89"/>
      <c r="M997" s="89"/>
      <c r="N997" s="89"/>
      <c r="O997" s="89"/>
      <c r="P997" s="89"/>
      <c r="Q997" s="89"/>
      <c r="R997" s="89"/>
      <c r="S997" s="89"/>
      <c r="T997" s="89"/>
      <c r="U997" s="89"/>
    </row>
    <row r="998">
      <c r="A998" s="89"/>
      <c r="B998" s="89"/>
      <c r="C998" s="91"/>
      <c r="D998" s="92"/>
      <c r="E998" s="89"/>
      <c r="F998" s="89"/>
      <c r="G998" s="89"/>
      <c r="H998" s="89"/>
      <c r="I998" s="89"/>
      <c r="J998" s="89"/>
      <c r="K998" s="89"/>
      <c r="L998" s="89"/>
      <c r="M998" s="89"/>
      <c r="N998" s="89"/>
      <c r="O998" s="89"/>
      <c r="P998" s="89"/>
      <c r="Q998" s="89"/>
      <c r="R998" s="89"/>
      <c r="S998" s="89"/>
      <c r="T998" s="89"/>
      <c r="U998" s="89"/>
    </row>
    <row r="999">
      <c r="A999" s="89"/>
      <c r="B999" s="89"/>
      <c r="C999" s="91"/>
      <c r="D999" s="92"/>
      <c r="E999" s="89"/>
      <c r="F999" s="89"/>
      <c r="G999" s="89"/>
      <c r="H999" s="89"/>
      <c r="I999" s="89"/>
      <c r="J999" s="89"/>
      <c r="K999" s="89"/>
      <c r="L999" s="89"/>
      <c r="M999" s="89"/>
      <c r="N999" s="89"/>
      <c r="O999" s="89"/>
      <c r="P999" s="89"/>
      <c r="Q999" s="89"/>
      <c r="R999" s="89"/>
      <c r="S999" s="89"/>
      <c r="T999" s="89"/>
      <c r="U999" s="89"/>
    </row>
    <row r="1000">
      <c r="A1000" s="89"/>
      <c r="B1000" s="89"/>
      <c r="C1000" s="91"/>
      <c r="D1000" s="92"/>
      <c r="E1000" s="89"/>
      <c r="F1000" s="89"/>
      <c r="G1000" s="89"/>
      <c r="H1000" s="89"/>
      <c r="I1000" s="89"/>
      <c r="J1000" s="89"/>
      <c r="K1000" s="89"/>
      <c r="L1000" s="89"/>
      <c r="M1000" s="89"/>
      <c r="N1000" s="89"/>
      <c r="O1000" s="89"/>
      <c r="P1000" s="89"/>
      <c r="Q1000" s="89"/>
      <c r="R1000" s="89"/>
      <c r="S1000" s="89"/>
      <c r="T1000" s="89"/>
      <c r="U1000" s="89"/>
    </row>
    <row r="1001">
      <c r="A1001" s="89"/>
      <c r="B1001" s="89"/>
      <c r="C1001" s="91"/>
      <c r="D1001" s="92"/>
      <c r="E1001" s="89"/>
      <c r="F1001" s="89"/>
      <c r="G1001" s="89"/>
      <c r="H1001" s="89"/>
      <c r="I1001" s="89"/>
      <c r="J1001" s="89"/>
      <c r="K1001" s="89"/>
      <c r="L1001" s="89"/>
      <c r="M1001" s="89"/>
      <c r="N1001" s="89"/>
      <c r="O1001" s="89"/>
      <c r="P1001" s="89"/>
      <c r="Q1001" s="89"/>
      <c r="R1001" s="89"/>
      <c r="S1001" s="89"/>
      <c r="T1001" s="89"/>
      <c r="U1001" s="89"/>
    </row>
    <row r="1002">
      <c r="A1002" s="89"/>
      <c r="B1002" s="89"/>
      <c r="C1002" s="91"/>
      <c r="D1002" s="92"/>
      <c r="E1002" s="89"/>
      <c r="F1002" s="89"/>
      <c r="G1002" s="89"/>
      <c r="H1002" s="89"/>
      <c r="I1002" s="89"/>
      <c r="J1002" s="89"/>
      <c r="K1002" s="89"/>
      <c r="L1002" s="89"/>
      <c r="M1002" s="89"/>
      <c r="N1002" s="89"/>
      <c r="O1002" s="89"/>
      <c r="P1002" s="89"/>
      <c r="Q1002" s="89"/>
      <c r="R1002" s="89"/>
      <c r="S1002" s="89"/>
      <c r="T1002" s="89"/>
      <c r="U1002" s="89"/>
    </row>
    <row r="1003">
      <c r="A1003" s="89"/>
      <c r="B1003" s="89"/>
      <c r="C1003" s="91"/>
      <c r="D1003" s="92"/>
      <c r="E1003" s="89"/>
      <c r="F1003" s="89"/>
      <c r="G1003" s="89"/>
      <c r="H1003" s="89"/>
      <c r="I1003" s="89"/>
      <c r="J1003" s="89"/>
      <c r="K1003" s="89"/>
      <c r="L1003" s="89"/>
      <c r="M1003" s="89"/>
      <c r="N1003" s="89"/>
      <c r="O1003" s="89"/>
      <c r="P1003" s="89"/>
      <c r="Q1003" s="89"/>
      <c r="R1003" s="89"/>
      <c r="S1003" s="89"/>
      <c r="T1003" s="89"/>
      <c r="U1003" s="89"/>
    </row>
    <row r="1004">
      <c r="A1004" s="89"/>
      <c r="B1004" s="89"/>
      <c r="C1004" s="91"/>
      <c r="D1004" s="92"/>
      <c r="E1004" s="89"/>
      <c r="F1004" s="89"/>
      <c r="G1004" s="89"/>
      <c r="H1004" s="89"/>
      <c r="I1004" s="89"/>
      <c r="J1004" s="89"/>
      <c r="K1004" s="89"/>
      <c r="L1004" s="89"/>
      <c r="M1004" s="89"/>
      <c r="N1004" s="89"/>
      <c r="O1004" s="89"/>
      <c r="P1004" s="89"/>
      <c r="Q1004" s="89"/>
      <c r="R1004" s="89"/>
      <c r="S1004" s="89"/>
      <c r="T1004" s="89"/>
      <c r="U1004" s="89"/>
    </row>
    <row r="1005">
      <c r="A1005" s="89"/>
      <c r="B1005" s="89"/>
      <c r="C1005" s="91"/>
      <c r="D1005" s="92"/>
      <c r="E1005" s="89"/>
      <c r="F1005" s="89"/>
      <c r="G1005" s="89"/>
      <c r="H1005" s="89"/>
      <c r="I1005" s="89"/>
      <c r="J1005" s="89"/>
      <c r="K1005" s="89"/>
      <c r="L1005" s="89"/>
      <c r="M1005" s="89"/>
      <c r="N1005" s="89"/>
      <c r="O1005" s="89"/>
      <c r="P1005" s="89"/>
      <c r="Q1005" s="89"/>
      <c r="R1005" s="89"/>
      <c r="S1005" s="89"/>
      <c r="T1005" s="89"/>
      <c r="U1005" s="89"/>
    </row>
    <row r="1006">
      <c r="A1006" s="89"/>
      <c r="B1006" s="89"/>
      <c r="C1006" s="91"/>
      <c r="D1006" s="92"/>
      <c r="E1006" s="89"/>
      <c r="F1006" s="89"/>
      <c r="G1006" s="89"/>
      <c r="H1006" s="89"/>
      <c r="I1006" s="89"/>
      <c r="J1006" s="89"/>
      <c r="K1006" s="89"/>
      <c r="L1006" s="89"/>
      <c r="M1006" s="89"/>
      <c r="N1006" s="89"/>
      <c r="O1006" s="89"/>
      <c r="P1006" s="89"/>
      <c r="Q1006" s="89"/>
      <c r="R1006" s="89"/>
      <c r="S1006" s="89"/>
      <c r="T1006" s="89"/>
      <c r="U1006" s="89"/>
    </row>
    <row r="1007">
      <c r="A1007" s="89"/>
      <c r="B1007" s="89"/>
      <c r="C1007" s="91"/>
      <c r="D1007" s="92"/>
      <c r="E1007" s="89"/>
      <c r="F1007" s="89"/>
      <c r="G1007" s="89"/>
      <c r="H1007" s="89"/>
      <c r="I1007" s="89"/>
      <c r="J1007" s="89"/>
      <c r="K1007" s="89"/>
      <c r="L1007" s="89"/>
      <c r="M1007" s="89"/>
      <c r="N1007" s="89"/>
      <c r="O1007" s="89"/>
      <c r="P1007" s="89"/>
      <c r="Q1007" s="89"/>
      <c r="R1007" s="89"/>
      <c r="S1007" s="89"/>
      <c r="T1007" s="89"/>
      <c r="U1007" s="89"/>
    </row>
    <row r="1008">
      <c r="A1008" s="89"/>
      <c r="B1008" s="89"/>
      <c r="C1008" s="91"/>
      <c r="D1008" s="92"/>
      <c r="E1008" s="89"/>
      <c r="F1008" s="89"/>
      <c r="G1008" s="89"/>
      <c r="H1008" s="89"/>
      <c r="I1008" s="89"/>
      <c r="J1008" s="89"/>
      <c r="K1008" s="89"/>
      <c r="L1008" s="89"/>
      <c r="M1008" s="89"/>
      <c r="N1008" s="89"/>
      <c r="O1008" s="89"/>
      <c r="P1008" s="89"/>
      <c r="Q1008" s="89"/>
      <c r="R1008" s="89"/>
      <c r="S1008" s="89"/>
      <c r="T1008" s="89"/>
      <c r="U1008" s="89"/>
    </row>
    <row r="1009">
      <c r="A1009" s="89"/>
      <c r="B1009" s="89"/>
      <c r="C1009" s="91"/>
      <c r="D1009" s="92"/>
      <c r="E1009" s="89"/>
      <c r="F1009" s="89"/>
      <c r="G1009" s="89"/>
      <c r="H1009" s="89"/>
      <c r="I1009" s="89"/>
      <c r="J1009" s="89"/>
      <c r="K1009" s="89"/>
      <c r="L1009" s="89"/>
      <c r="M1009" s="89"/>
      <c r="N1009" s="89"/>
      <c r="O1009" s="89"/>
      <c r="P1009" s="89"/>
      <c r="Q1009" s="89"/>
      <c r="R1009" s="89"/>
      <c r="S1009" s="89"/>
      <c r="T1009" s="89"/>
      <c r="U1009" s="89"/>
    </row>
    <row r="1010">
      <c r="A1010" s="89"/>
      <c r="B1010" s="89"/>
      <c r="C1010" s="91"/>
      <c r="D1010" s="92"/>
      <c r="E1010" s="89"/>
      <c r="F1010" s="89"/>
      <c r="G1010" s="89"/>
      <c r="H1010" s="89"/>
      <c r="I1010" s="89"/>
      <c r="J1010" s="89"/>
      <c r="K1010" s="89"/>
      <c r="L1010" s="89"/>
      <c r="M1010" s="89"/>
      <c r="N1010" s="89"/>
      <c r="O1010" s="89"/>
      <c r="P1010" s="89"/>
      <c r="Q1010" s="89"/>
      <c r="R1010" s="89"/>
      <c r="S1010" s="89"/>
      <c r="T1010" s="89"/>
      <c r="U1010" s="89"/>
    </row>
    <row r="1011">
      <c r="A1011" s="89"/>
      <c r="B1011" s="89"/>
      <c r="C1011" s="91"/>
      <c r="D1011" s="92"/>
      <c r="E1011" s="89"/>
      <c r="F1011" s="89"/>
      <c r="G1011" s="89"/>
      <c r="H1011" s="89"/>
      <c r="I1011" s="89"/>
      <c r="J1011" s="89"/>
      <c r="K1011" s="89"/>
      <c r="L1011" s="89"/>
      <c r="M1011" s="89"/>
      <c r="N1011" s="89"/>
      <c r="O1011" s="89"/>
      <c r="P1011" s="89"/>
      <c r="Q1011" s="89"/>
      <c r="R1011" s="89"/>
      <c r="S1011" s="89"/>
      <c r="T1011" s="89"/>
      <c r="U1011" s="89"/>
    </row>
    <row r="1012">
      <c r="A1012" s="89"/>
      <c r="B1012" s="89"/>
      <c r="C1012" s="91"/>
      <c r="D1012" s="92"/>
      <c r="E1012" s="89"/>
      <c r="F1012" s="89"/>
      <c r="G1012" s="89"/>
      <c r="H1012" s="89"/>
      <c r="I1012" s="89"/>
      <c r="J1012" s="89"/>
      <c r="K1012" s="89"/>
      <c r="L1012" s="89"/>
      <c r="M1012" s="89"/>
      <c r="N1012" s="89"/>
      <c r="O1012" s="89"/>
      <c r="P1012" s="89"/>
      <c r="Q1012" s="89"/>
      <c r="R1012" s="89"/>
      <c r="S1012" s="89"/>
      <c r="T1012" s="89"/>
      <c r="U1012" s="89"/>
    </row>
    <row r="1013">
      <c r="A1013" s="89"/>
      <c r="B1013" s="89"/>
      <c r="C1013" s="91"/>
      <c r="D1013" s="92"/>
      <c r="E1013" s="89"/>
      <c r="F1013" s="89"/>
      <c r="G1013" s="89"/>
      <c r="H1013" s="89"/>
      <c r="I1013" s="89"/>
      <c r="J1013" s="89"/>
      <c r="K1013" s="89"/>
      <c r="L1013" s="89"/>
      <c r="M1013" s="89"/>
      <c r="N1013" s="89"/>
      <c r="O1013" s="89"/>
      <c r="P1013" s="89"/>
      <c r="Q1013" s="89"/>
      <c r="R1013" s="89"/>
      <c r="S1013" s="89"/>
      <c r="T1013" s="89"/>
      <c r="U1013" s="89"/>
    </row>
  </sheetData>
  <drawing r:id="rId1"/>
  <tableParts count="7">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8.63"/>
    <col customWidth="1" min="2" max="2" width="16.75"/>
    <col customWidth="1" min="3" max="3" width="14.38"/>
    <col customWidth="1" min="4" max="4" width="13.5"/>
    <col customWidth="1" min="5" max="5" width="15.75"/>
  </cols>
  <sheetData>
    <row r="1">
      <c r="A1" s="112"/>
      <c r="B1" s="189" t="s">
        <v>352</v>
      </c>
      <c r="C1" s="189" t="s">
        <v>353</v>
      </c>
      <c r="D1" s="189" t="s">
        <v>302</v>
      </c>
    </row>
    <row r="2">
      <c r="A2" s="191">
        <v>45108.0</v>
      </c>
      <c r="B2" s="189">
        <v>1165697.89</v>
      </c>
      <c r="C2" s="189">
        <v>170937.95</v>
      </c>
      <c r="D2" s="189">
        <v>14885.25</v>
      </c>
      <c r="E2" s="192">
        <f t="shared" ref="E2:E16" si="1">SUM(B2:D2)</f>
        <v>1351521.09</v>
      </c>
    </row>
    <row r="3">
      <c r="A3" s="109" t="s">
        <v>362</v>
      </c>
      <c r="B3" s="189">
        <v>668125.99</v>
      </c>
      <c r="C3" s="189">
        <v>183210.32</v>
      </c>
      <c r="D3" s="189">
        <v>4275.02</v>
      </c>
      <c r="E3" s="192">
        <f t="shared" si="1"/>
        <v>855611.33</v>
      </c>
    </row>
    <row r="4">
      <c r="A4" s="109" t="s">
        <v>363</v>
      </c>
      <c r="B4" s="189">
        <v>707103.09</v>
      </c>
      <c r="C4" s="189">
        <v>193804.09</v>
      </c>
      <c r="D4" s="189">
        <v>4933.15</v>
      </c>
      <c r="E4" s="192">
        <f t="shared" si="1"/>
        <v>905840.33</v>
      </c>
    </row>
    <row r="5">
      <c r="A5" s="109" t="s">
        <v>364</v>
      </c>
      <c r="B5" s="189">
        <v>385521.64</v>
      </c>
      <c r="C5" s="189">
        <v>157363.96</v>
      </c>
      <c r="D5" s="189">
        <v>3790.28</v>
      </c>
      <c r="E5" s="192">
        <f t="shared" si="1"/>
        <v>546675.88</v>
      </c>
    </row>
    <row r="6">
      <c r="A6" s="191">
        <v>45231.0</v>
      </c>
      <c r="B6" s="189">
        <v>666440.05</v>
      </c>
      <c r="C6" s="189">
        <v>154753.09</v>
      </c>
      <c r="D6" s="189">
        <v>4056.08</v>
      </c>
      <c r="E6" s="192">
        <f t="shared" si="1"/>
        <v>825249.22</v>
      </c>
    </row>
    <row r="7">
      <c r="A7" s="109" t="s">
        <v>366</v>
      </c>
      <c r="B7" s="189">
        <v>1022872.59</v>
      </c>
      <c r="C7" s="189">
        <v>216221.5</v>
      </c>
      <c r="D7" s="189">
        <v>3840.28</v>
      </c>
      <c r="E7" s="192">
        <f t="shared" si="1"/>
        <v>1242934.37</v>
      </c>
    </row>
    <row r="8">
      <c r="A8" s="191">
        <v>45292.0</v>
      </c>
      <c r="B8" s="189">
        <v>343100.52</v>
      </c>
      <c r="C8" s="189">
        <v>154069.3</v>
      </c>
      <c r="D8" s="189">
        <v>3812.25</v>
      </c>
      <c r="E8" s="192">
        <f t="shared" si="1"/>
        <v>500982.07</v>
      </c>
    </row>
    <row r="9">
      <c r="A9" s="109" t="s">
        <v>367</v>
      </c>
      <c r="B9" s="189">
        <v>295923.8</v>
      </c>
      <c r="C9" s="189">
        <v>158589.35</v>
      </c>
      <c r="D9" s="189">
        <v>5319.73</v>
      </c>
      <c r="E9" s="192">
        <f t="shared" si="1"/>
        <v>459832.88</v>
      </c>
    </row>
    <row r="10">
      <c r="A10" s="191">
        <v>45352.0</v>
      </c>
      <c r="B10" s="189">
        <v>674950.76</v>
      </c>
      <c r="C10" s="189">
        <v>148559.03</v>
      </c>
      <c r="D10" s="189">
        <v>5867.78</v>
      </c>
      <c r="E10" s="192">
        <f t="shared" si="1"/>
        <v>829377.57</v>
      </c>
    </row>
    <row r="11">
      <c r="A11" s="109" t="s">
        <v>368</v>
      </c>
      <c r="B11" s="189">
        <v>881710.16</v>
      </c>
      <c r="C11" s="189">
        <v>168891.18</v>
      </c>
      <c r="D11" s="189">
        <v>7283.77</v>
      </c>
      <c r="E11" s="192">
        <f t="shared" si="1"/>
        <v>1057885.11</v>
      </c>
    </row>
    <row r="12">
      <c r="A12" s="109" t="s">
        <v>370</v>
      </c>
      <c r="B12" s="189">
        <v>824089.36</v>
      </c>
      <c r="C12" s="189">
        <v>148233.29</v>
      </c>
      <c r="D12" s="189">
        <v>7726.51</v>
      </c>
      <c r="E12" s="192">
        <f t="shared" si="1"/>
        <v>980049.16</v>
      </c>
    </row>
    <row r="13">
      <c r="A13" s="191">
        <v>45444.0</v>
      </c>
      <c r="B13" s="189">
        <v>472050.79</v>
      </c>
      <c r="C13" s="189">
        <v>142941.11</v>
      </c>
      <c r="D13" s="189">
        <v>5867.77</v>
      </c>
      <c r="E13" s="192">
        <f t="shared" si="1"/>
        <v>620859.67</v>
      </c>
    </row>
    <row r="14">
      <c r="A14" s="191">
        <v>45474.0</v>
      </c>
      <c r="B14" s="189">
        <v>425155.67</v>
      </c>
      <c r="C14" s="189">
        <v>175646.25</v>
      </c>
      <c r="D14" s="189">
        <v>5090.89</v>
      </c>
      <c r="E14" s="192">
        <f t="shared" si="1"/>
        <v>605892.81</v>
      </c>
    </row>
    <row r="15">
      <c r="A15" s="109" t="s">
        <v>371</v>
      </c>
      <c r="B15" s="189">
        <v>539462.61</v>
      </c>
      <c r="C15" s="189">
        <v>194956.31</v>
      </c>
      <c r="D15" s="189">
        <v>4933.16</v>
      </c>
      <c r="E15" s="192">
        <f t="shared" si="1"/>
        <v>739352.08</v>
      </c>
    </row>
    <row r="16">
      <c r="A16" s="109" t="s">
        <v>374</v>
      </c>
      <c r="B16" s="189">
        <v>805019.42</v>
      </c>
      <c r="C16" s="189">
        <v>162235.91</v>
      </c>
      <c r="D16" s="189">
        <v>4949.97</v>
      </c>
      <c r="E16" s="192">
        <f t="shared" si="1"/>
        <v>972205.3</v>
      </c>
    </row>
    <row r="17">
      <c r="A17" s="112"/>
      <c r="B17" s="192"/>
      <c r="C17" s="192"/>
      <c r="D17" s="192"/>
      <c r="E17" s="201">
        <f>SUM(E2:E16)/COUNT(E2:E16)</f>
        <v>832951.258</v>
      </c>
      <c r="F17" s="2" t="s">
        <v>379</v>
      </c>
    </row>
    <row r="18">
      <c r="A18" s="112"/>
      <c r="B18" s="192"/>
      <c r="C18" s="192"/>
      <c r="D18" s="192"/>
    </row>
    <row r="19">
      <c r="A19" s="112">
        <f>8*12</f>
        <v>96</v>
      </c>
      <c r="B19" s="192">
        <f>A19*E17</f>
        <v>79963320.77</v>
      </c>
      <c r="C19" s="192"/>
      <c r="D19" s="192"/>
    </row>
    <row r="20">
      <c r="A20" s="112"/>
      <c r="B20" s="192"/>
      <c r="C20" s="192"/>
      <c r="D20" s="192"/>
    </row>
    <row r="21">
      <c r="A21" s="112"/>
      <c r="B21" s="192"/>
      <c r="C21" s="192"/>
      <c r="D21" s="192"/>
    </row>
    <row r="22">
      <c r="A22" s="112"/>
      <c r="B22" s="192"/>
      <c r="C22" s="192"/>
      <c r="D22" s="192"/>
    </row>
    <row r="23">
      <c r="A23" s="112"/>
      <c r="B23" s="192"/>
      <c r="C23" s="192"/>
      <c r="D23" s="192"/>
    </row>
    <row r="24">
      <c r="A24" s="112"/>
      <c r="B24" s="192"/>
      <c r="C24" s="192"/>
      <c r="D24" s="192"/>
    </row>
    <row r="25">
      <c r="A25" s="112"/>
      <c r="B25" s="192"/>
      <c r="C25" s="192"/>
      <c r="D25" s="192"/>
    </row>
    <row r="26">
      <c r="A26" s="112"/>
      <c r="B26" s="192"/>
      <c r="C26" s="192"/>
      <c r="D26" s="192"/>
    </row>
    <row r="27">
      <c r="A27" s="112"/>
      <c r="B27" s="192"/>
      <c r="C27" s="192"/>
      <c r="D27" s="192"/>
    </row>
    <row r="28">
      <c r="A28" s="112"/>
      <c r="B28" s="192"/>
      <c r="C28" s="192"/>
      <c r="D28" s="192"/>
    </row>
    <row r="29">
      <c r="A29" s="112"/>
      <c r="B29" s="192"/>
      <c r="C29" s="192"/>
      <c r="D29" s="192"/>
    </row>
    <row r="30">
      <c r="A30" s="112"/>
      <c r="B30" s="192"/>
      <c r="C30" s="192"/>
      <c r="D30" s="192"/>
    </row>
    <row r="31">
      <c r="A31" s="112"/>
      <c r="B31" s="192"/>
      <c r="C31" s="192"/>
      <c r="D31" s="192"/>
    </row>
    <row r="32">
      <c r="A32" s="112"/>
      <c r="B32" s="192"/>
      <c r="C32" s="192"/>
      <c r="D32" s="192"/>
    </row>
    <row r="33">
      <c r="A33" s="112"/>
      <c r="B33" s="192"/>
      <c r="C33" s="192"/>
      <c r="D33" s="192"/>
    </row>
    <row r="34">
      <c r="A34" s="112"/>
      <c r="B34" s="192"/>
      <c r="C34" s="192"/>
      <c r="D34" s="192"/>
    </row>
    <row r="35">
      <c r="A35" s="112"/>
      <c r="B35" s="192"/>
      <c r="C35" s="192"/>
      <c r="D35" s="192"/>
    </row>
    <row r="36">
      <c r="A36" s="112"/>
      <c r="B36" s="192"/>
      <c r="C36" s="192"/>
      <c r="D36" s="192"/>
    </row>
    <row r="37">
      <c r="A37" s="112"/>
      <c r="B37" s="192"/>
      <c r="C37" s="192"/>
      <c r="D37" s="192"/>
    </row>
    <row r="38">
      <c r="A38" s="112"/>
      <c r="B38" s="192"/>
      <c r="C38" s="192"/>
      <c r="D38" s="192"/>
    </row>
    <row r="39">
      <c r="A39" s="112"/>
      <c r="B39" s="192"/>
      <c r="C39" s="192"/>
      <c r="D39" s="192"/>
    </row>
    <row r="40">
      <c r="A40" s="112"/>
      <c r="B40" s="192"/>
      <c r="C40" s="192"/>
      <c r="D40" s="192"/>
    </row>
    <row r="41">
      <c r="A41" s="112"/>
      <c r="B41" s="192"/>
      <c r="C41" s="192"/>
      <c r="D41" s="192"/>
    </row>
    <row r="42">
      <c r="A42" s="112"/>
      <c r="B42" s="192"/>
      <c r="C42" s="192"/>
      <c r="D42" s="192"/>
    </row>
    <row r="43">
      <c r="A43" s="112"/>
      <c r="B43" s="192"/>
      <c r="C43" s="192"/>
      <c r="D43" s="192"/>
    </row>
    <row r="44">
      <c r="A44" s="112"/>
      <c r="B44" s="192"/>
      <c r="C44" s="192"/>
      <c r="D44" s="192"/>
    </row>
    <row r="45">
      <c r="A45" s="112"/>
      <c r="B45" s="192"/>
      <c r="C45" s="192"/>
      <c r="D45" s="192"/>
    </row>
    <row r="46">
      <c r="A46" s="112"/>
      <c r="B46" s="192"/>
      <c r="C46" s="192"/>
      <c r="D46" s="192"/>
    </row>
    <row r="47">
      <c r="A47" s="112"/>
      <c r="B47" s="192"/>
      <c r="C47" s="192"/>
      <c r="D47" s="192"/>
    </row>
    <row r="48">
      <c r="A48" s="112"/>
      <c r="B48" s="192"/>
      <c r="C48" s="192"/>
      <c r="D48" s="192"/>
    </row>
    <row r="49">
      <c r="A49" s="112"/>
      <c r="B49" s="192"/>
      <c r="C49" s="192"/>
      <c r="D49" s="192"/>
    </row>
    <row r="50">
      <c r="A50" s="112"/>
      <c r="B50" s="192"/>
      <c r="C50" s="192"/>
      <c r="D50" s="192"/>
    </row>
    <row r="51">
      <c r="A51" s="112"/>
      <c r="B51" s="192"/>
      <c r="C51" s="192"/>
      <c r="D51" s="192"/>
    </row>
    <row r="52">
      <c r="A52" s="112"/>
      <c r="B52" s="192"/>
      <c r="C52" s="192"/>
      <c r="D52" s="192"/>
    </row>
    <row r="53">
      <c r="A53" s="112"/>
      <c r="B53" s="192"/>
      <c r="C53" s="192"/>
      <c r="D53" s="192"/>
    </row>
    <row r="54">
      <c r="A54" s="112"/>
      <c r="B54" s="192"/>
      <c r="C54" s="192"/>
      <c r="D54" s="192"/>
    </row>
    <row r="55">
      <c r="A55" s="112"/>
      <c r="B55" s="192"/>
      <c r="C55" s="192"/>
      <c r="D55" s="192"/>
    </row>
    <row r="56">
      <c r="A56" s="112"/>
      <c r="B56" s="192"/>
      <c r="C56" s="192"/>
      <c r="D56" s="192"/>
    </row>
    <row r="57">
      <c r="A57" s="112"/>
      <c r="B57" s="192"/>
      <c r="C57" s="192"/>
      <c r="D57" s="192"/>
    </row>
    <row r="58">
      <c r="A58" s="112"/>
      <c r="B58" s="192"/>
      <c r="C58" s="192"/>
      <c r="D58" s="192"/>
    </row>
    <row r="59">
      <c r="A59" s="112"/>
      <c r="B59" s="192"/>
      <c r="C59" s="192"/>
      <c r="D59" s="192"/>
    </row>
    <row r="60">
      <c r="A60" s="112"/>
      <c r="B60" s="192"/>
      <c r="C60" s="192"/>
      <c r="D60" s="192"/>
    </row>
    <row r="61">
      <c r="A61" s="112"/>
      <c r="B61" s="192"/>
      <c r="C61" s="192"/>
      <c r="D61" s="192"/>
    </row>
    <row r="62">
      <c r="A62" s="112"/>
      <c r="B62" s="192"/>
      <c r="C62" s="192"/>
      <c r="D62" s="192"/>
    </row>
    <row r="63">
      <c r="A63" s="112"/>
      <c r="B63" s="192"/>
      <c r="C63" s="192"/>
      <c r="D63" s="192"/>
    </row>
    <row r="64">
      <c r="A64" s="112"/>
      <c r="B64" s="192"/>
      <c r="C64" s="192"/>
      <c r="D64" s="192"/>
    </row>
    <row r="65">
      <c r="A65" s="112"/>
      <c r="B65" s="192"/>
      <c r="C65" s="192"/>
      <c r="D65" s="192"/>
    </row>
    <row r="66">
      <c r="A66" s="112"/>
      <c r="B66" s="192"/>
      <c r="C66" s="192"/>
      <c r="D66" s="192"/>
    </row>
    <row r="67">
      <c r="A67" s="112"/>
      <c r="B67" s="192"/>
      <c r="C67" s="192"/>
      <c r="D67" s="192"/>
    </row>
    <row r="68">
      <c r="A68" s="112"/>
      <c r="B68" s="192"/>
      <c r="C68" s="192"/>
      <c r="D68" s="192"/>
    </row>
    <row r="69">
      <c r="A69" s="112"/>
      <c r="B69" s="192"/>
      <c r="C69" s="192"/>
      <c r="D69" s="192"/>
    </row>
    <row r="70">
      <c r="A70" s="112"/>
      <c r="B70" s="192"/>
      <c r="C70" s="192"/>
      <c r="D70" s="192"/>
    </row>
    <row r="71">
      <c r="A71" s="112"/>
      <c r="B71" s="192"/>
      <c r="C71" s="192"/>
      <c r="D71" s="192"/>
    </row>
    <row r="72">
      <c r="A72" s="112"/>
      <c r="B72" s="192"/>
      <c r="C72" s="192"/>
      <c r="D72" s="192"/>
    </row>
    <row r="73">
      <c r="A73" s="112"/>
      <c r="B73" s="192"/>
      <c r="C73" s="192"/>
      <c r="D73" s="192"/>
    </row>
    <row r="74">
      <c r="A74" s="112"/>
      <c r="B74" s="192"/>
      <c r="C74" s="192"/>
      <c r="D74" s="192"/>
    </row>
    <row r="75">
      <c r="A75" s="112"/>
      <c r="B75" s="192"/>
      <c r="C75" s="192"/>
      <c r="D75" s="192"/>
    </row>
    <row r="76">
      <c r="A76" s="112"/>
      <c r="B76" s="192"/>
      <c r="C76" s="192"/>
      <c r="D76" s="192"/>
    </row>
    <row r="77">
      <c r="A77" s="112"/>
      <c r="B77" s="192"/>
      <c r="C77" s="192"/>
      <c r="D77" s="192"/>
    </row>
    <row r="78">
      <c r="A78" s="112"/>
      <c r="B78" s="192"/>
      <c r="C78" s="192"/>
      <c r="D78" s="192"/>
    </row>
    <row r="79">
      <c r="A79" s="112"/>
      <c r="B79" s="192"/>
      <c r="C79" s="192"/>
      <c r="D79" s="192"/>
    </row>
    <row r="80">
      <c r="A80" s="112"/>
      <c r="B80" s="192"/>
      <c r="C80" s="192"/>
      <c r="D80" s="192"/>
    </row>
    <row r="81">
      <c r="A81" s="112"/>
      <c r="B81" s="192"/>
      <c r="C81" s="192"/>
      <c r="D81" s="192"/>
    </row>
    <row r="82">
      <c r="A82" s="112"/>
      <c r="B82" s="192"/>
      <c r="C82" s="192"/>
      <c r="D82" s="192"/>
    </row>
    <row r="83">
      <c r="A83" s="112"/>
      <c r="B83" s="192"/>
      <c r="C83" s="192"/>
      <c r="D83" s="192"/>
    </row>
    <row r="84">
      <c r="A84" s="112"/>
      <c r="B84" s="192"/>
      <c r="C84" s="192"/>
      <c r="D84" s="192"/>
    </row>
    <row r="85">
      <c r="A85" s="112"/>
      <c r="B85" s="192"/>
      <c r="C85" s="192"/>
      <c r="D85" s="192"/>
    </row>
    <row r="86">
      <c r="A86" s="112"/>
      <c r="B86" s="192"/>
      <c r="C86" s="192"/>
      <c r="D86" s="192"/>
    </row>
    <row r="87">
      <c r="A87" s="112"/>
      <c r="B87" s="192"/>
      <c r="C87" s="192"/>
      <c r="D87" s="192"/>
    </row>
    <row r="88">
      <c r="A88" s="112"/>
      <c r="B88" s="192"/>
      <c r="C88" s="192"/>
      <c r="D88" s="192"/>
    </row>
    <row r="89">
      <c r="A89" s="112"/>
      <c r="B89" s="192"/>
      <c r="C89" s="192"/>
      <c r="D89" s="192"/>
    </row>
    <row r="90">
      <c r="A90" s="112"/>
      <c r="B90" s="192"/>
      <c r="C90" s="192"/>
      <c r="D90" s="192"/>
    </row>
    <row r="91">
      <c r="A91" s="112"/>
      <c r="B91" s="192"/>
      <c r="C91" s="192"/>
      <c r="D91" s="192"/>
    </row>
    <row r="92">
      <c r="A92" s="112"/>
      <c r="B92" s="192"/>
      <c r="C92" s="192"/>
      <c r="D92" s="192"/>
    </row>
    <row r="93">
      <c r="A93" s="112"/>
      <c r="B93" s="192"/>
      <c r="C93" s="192"/>
      <c r="D93" s="192"/>
    </row>
    <row r="94">
      <c r="A94" s="112"/>
      <c r="B94" s="192"/>
      <c r="C94" s="192"/>
      <c r="D94" s="192"/>
    </row>
    <row r="95">
      <c r="A95" s="112"/>
      <c r="B95" s="192"/>
      <c r="C95" s="192"/>
      <c r="D95" s="192"/>
    </row>
    <row r="96">
      <c r="A96" s="112"/>
      <c r="B96" s="192"/>
      <c r="C96" s="192"/>
      <c r="D96" s="192"/>
    </row>
    <row r="97">
      <c r="A97" s="112"/>
      <c r="B97" s="192"/>
      <c r="C97" s="192"/>
      <c r="D97" s="192"/>
    </row>
    <row r="98">
      <c r="A98" s="112"/>
      <c r="B98" s="192"/>
      <c r="C98" s="192"/>
      <c r="D98" s="192"/>
    </row>
    <row r="99">
      <c r="A99" s="112"/>
      <c r="B99" s="192"/>
      <c r="C99" s="192"/>
      <c r="D99" s="192"/>
    </row>
    <row r="100">
      <c r="A100" s="112"/>
      <c r="B100" s="192"/>
      <c r="C100" s="192"/>
      <c r="D100" s="192"/>
    </row>
    <row r="101">
      <c r="A101" s="112"/>
      <c r="B101" s="192"/>
      <c r="C101" s="192"/>
      <c r="D101" s="192"/>
    </row>
    <row r="102">
      <c r="A102" s="112"/>
      <c r="B102" s="192"/>
      <c r="C102" s="192"/>
      <c r="D102" s="192"/>
    </row>
    <row r="103">
      <c r="A103" s="112"/>
      <c r="B103" s="192"/>
      <c r="C103" s="192"/>
      <c r="D103" s="192"/>
    </row>
    <row r="104">
      <c r="A104" s="112"/>
      <c r="B104" s="192"/>
      <c r="C104" s="192"/>
      <c r="D104" s="192"/>
    </row>
    <row r="105">
      <c r="A105" s="112"/>
      <c r="B105" s="192"/>
      <c r="C105" s="192"/>
      <c r="D105" s="192"/>
    </row>
    <row r="106">
      <c r="A106" s="112"/>
      <c r="B106" s="192"/>
      <c r="C106" s="192"/>
      <c r="D106" s="192"/>
    </row>
    <row r="107">
      <c r="A107" s="112"/>
      <c r="B107" s="192"/>
      <c r="C107" s="192"/>
      <c r="D107" s="192"/>
    </row>
    <row r="108">
      <c r="A108" s="112"/>
      <c r="B108" s="192"/>
      <c r="C108" s="192"/>
      <c r="D108" s="192"/>
    </row>
    <row r="109">
      <c r="A109" s="112"/>
      <c r="B109" s="192"/>
      <c r="C109" s="192"/>
      <c r="D109" s="192"/>
    </row>
    <row r="110">
      <c r="A110" s="112"/>
      <c r="B110" s="192"/>
      <c r="C110" s="192"/>
      <c r="D110" s="192"/>
    </row>
    <row r="111">
      <c r="A111" s="112"/>
      <c r="B111" s="192"/>
      <c r="C111" s="192"/>
      <c r="D111" s="192"/>
    </row>
    <row r="112">
      <c r="A112" s="112"/>
      <c r="B112" s="192"/>
      <c r="C112" s="192"/>
      <c r="D112" s="192"/>
    </row>
    <row r="113">
      <c r="A113" s="112"/>
      <c r="B113" s="192"/>
      <c r="C113" s="192"/>
      <c r="D113" s="192"/>
    </row>
    <row r="114">
      <c r="A114" s="112"/>
      <c r="B114" s="192"/>
      <c r="C114" s="192"/>
      <c r="D114" s="192"/>
    </row>
    <row r="115">
      <c r="A115" s="112"/>
      <c r="B115" s="192"/>
      <c r="C115" s="192"/>
      <c r="D115" s="192"/>
    </row>
    <row r="116">
      <c r="A116" s="112"/>
      <c r="B116" s="192"/>
      <c r="C116" s="192"/>
      <c r="D116" s="192"/>
    </row>
    <row r="117">
      <c r="A117" s="112"/>
      <c r="B117" s="192"/>
      <c r="C117" s="192"/>
      <c r="D117" s="192"/>
    </row>
    <row r="118">
      <c r="A118" s="112"/>
      <c r="B118" s="192"/>
      <c r="C118" s="192"/>
      <c r="D118" s="192"/>
    </row>
    <row r="119">
      <c r="A119" s="112"/>
      <c r="B119" s="192"/>
      <c r="C119" s="192"/>
      <c r="D119" s="192"/>
    </row>
    <row r="120">
      <c r="A120" s="112"/>
      <c r="B120" s="192"/>
      <c r="C120" s="192"/>
      <c r="D120" s="192"/>
    </row>
    <row r="121">
      <c r="A121" s="112"/>
      <c r="B121" s="192"/>
      <c r="C121" s="192"/>
      <c r="D121" s="192"/>
    </row>
    <row r="122">
      <c r="A122" s="112"/>
      <c r="B122" s="192"/>
      <c r="C122" s="192"/>
      <c r="D122" s="192"/>
    </row>
    <row r="123">
      <c r="A123" s="112"/>
      <c r="B123" s="192"/>
      <c r="C123" s="192"/>
      <c r="D123" s="192"/>
    </row>
    <row r="124">
      <c r="A124" s="112"/>
      <c r="B124" s="192"/>
      <c r="C124" s="192"/>
      <c r="D124" s="192"/>
    </row>
    <row r="125">
      <c r="A125" s="112"/>
      <c r="B125" s="192"/>
      <c r="C125" s="192"/>
      <c r="D125" s="192"/>
    </row>
    <row r="126">
      <c r="A126" s="112"/>
      <c r="B126" s="192"/>
      <c r="C126" s="192"/>
      <c r="D126" s="192"/>
    </row>
    <row r="127">
      <c r="A127" s="112"/>
      <c r="B127" s="192"/>
      <c r="C127" s="192"/>
      <c r="D127" s="192"/>
    </row>
    <row r="128">
      <c r="A128" s="112"/>
      <c r="B128" s="192"/>
      <c r="C128" s="192"/>
      <c r="D128" s="192"/>
    </row>
    <row r="129">
      <c r="A129" s="112"/>
      <c r="B129" s="192"/>
      <c r="C129" s="192"/>
      <c r="D129" s="192"/>
    </row>
    <row r="130">
      <c r="A130" s="112"/>
      <c r="B130" s="192"/>
      <c r="C130" s="192"/>
      <c r="D130" s="192"/>
    </row>
    <row r="131">
      <c r="A131" s="112"/>
      <c r="B131" s="192"/>
      <c r="C131" s="192"/>
      <c r="D131" s="192"/>
    </row>
    <row r="132">
      <c r="A132" s="112"/>
      <c r="B132" s="192"/>
      <c r="C132" s="192"/>
      <c r="D132" s="192"/>
    </row>
    <row r="133">
      <c r="A133" s="112"/>
      <c r="B133" s="192"/>
      <c r="C133" s="192"/>
      <c r="D133" s="192"/>
    </row>
    <row r="134">
      <c r="A134" s="112"/>
      <c r="B134" s="192"/>
      <c r="C134" s="192"/>
      <c r="D134" s="192"/>
    </row>
    <row r="135">
      <c r="A135" s="112"/>
      <c r="B135" s="192"/>
      <c r="C135" s="192"/>
      <c r="D135" s="192"/>
    </row>
    <row r="136">
      <c r="A136" s="112"/>
      <c r="B136" s="192"/>
      <c r="C136" s="192"/>
      <c r="D136" s="192"/>
    </row>
    <row r="137">
      <c r="A137" s="112"/>
      <c r="B137" s="192"/>
      <c r="C137" s="192"/>
      <c r="D137" s="192"/>
    </row>
    <row r="138">
      <c r="A138" s="112"/>
      <c r="B138" s="192"/>
      <c r="C138" s="192"/>
      <c r="D138" s="192"/>
    </row>
    <row r="139">
      <c r="A139" s="112"/>
      <c r="B139" s="192"/>
      <c r="C139" s="192"/>
      <c r="D139" s="192"/>
    </row>
    <row r="140">
      <c r="A140" s="112"/>
      <c r="B140" s="192"/>
      <c r="C140" s="192"/>
      <c r="D140" s="192"/>
    </row>
    <row r="141">
      <c r="A141" s="112"/>
      <c r="B141" s="192"/>
      <c r="C141" s="192"/>
      <c r="D141" s="192"/>
    </row>
    <row r="142">
      <c r="A142" s="112"/>
      <c r="B142" s="192"/>
      <c r="C142" s="192"/>
      <c r="D142" s="192"/>
    </row>
    <row r="143">
      <c r="A143" s="112"/>
      <c r="B143" s="192"/>
      <c r="C143" s="192"/>
      <c r="D143" s="192"/>
    </row>
    <row r="144">
      <c r="A144" s="112"/>
      <c r="B144" s="192"/>
      <c r="C144" s="192"/>
      <c r="D144" s="192"/>
    </row>
    <row r="145">
      <c r="A145" s="112"/>
      <c r="B145" s="192"/>
      <c r="C145" s="192"/>
      <c r="D145" s="192"/>
    </row>
    <row r="146">
      <c r="A146" s="112"/>
      <c r="B146" s="192"/>
      <c r="C146" s="192"/>
      <c r="D146" s="192"/>
    </row>
    <row r="147">
      <c r="A147" s="112"/>
      <c r="B147" s="192"/>
      <c r="C147" s="192"/>
      <c r="D147" s="192"/>
    </row>
    <row r="148">
      <c r="A148" s="112"/>
      <c r="B148" s="192"/>
      <c r="C148" s="192"/>
      <c r="D148" s="192"/>
    </row>
    <row r="149">
      <c r="A149" s="112"/>
      <c r="B149" s="192"/>
      <c r="C149" s="192"/>
      <c r="D149" s="192"/>
    </row>
    <row r="150">
      <c r="A150" s="112"/>
      <c r="B150" s="192"/>
      <c r="C150" s="192"/>
      <c r="D150" s="192"/>
    </row>
    <row r="151">
      <c r="A151" s="112"/>
      <c r="B151" s="192"/>
      <c r="C151" s="192"/>
      <c r="D151" s="192"/>
    </row>
    <row r="152">
      <c r="A152" s="112"/>
      <c r="B152" s="192"/>
      <c r="C152" s="192"/>
      <c r="D152" s="192"/>
    </row>
    <row r="153">
      <c r="A153" s="112"/>
      <c r="B153" s="192"/>
      <c r="C153" s="192"/>
      <c r="D153" s="192"/>
    </row>
    <row r="154">
      <c r="A154" s="112"/>
      <c r="B154" s="192"/>
      <c r="C154" s="192"/>
      <c r="D154" s="192"/>
    </row>
    <row r="155">
      <c r="A155" s="112"/>
      <c r="B155" s="192"/>
      <c r="C155" s="192"/>
      <c r="D155" s="192"/>
    </row>
    <row r="156">
      <c r="A156" s="112"/>
      <c r="B156" s="192"/>
      <c r="C156" s="192"/>
      <c r="D156" s="192"/>
    </row>
    <row r="157">
      <c r="A157" s="112"/>
      <c r="B157" s="192"/>
      <c r="C157" s="192"/>
      <c r="D157" s="192"/>
    </row>
    <row r="158">
      <c r="A158" s="112"/>
      <c r="B158" s="192"/>
      <c r="C158" s="192"/>
      <c r="D158" s="192"/>
    </row>
    <row r="159">
      <c r="A159" s="112"/>
      <c r="B159" s="192"/>
      <c r="C159" s="192"/>
      <c r="D159" s="192"/>
    </row>
    <row r="160">
      <c r="A160" s="112"/>
      <c r="B160" s="192"/>
      <c r="C160" s="192"/>
      <c r="D160" s="192"/>
    </row>
    <row r="161">
      <c r="A161" s="112"/>
      <c r="B161" s="192"/>
      <c r="C161" s="192"/>
      <c r="D161" s="192"/>
    </row>
    <row r="162">
      <c r="A162" s="112"/>
      <c r="B162" s="192"/>
      <c r="C162" s="192"/>
      <c r="D162" s="192"/>
    </row>
    <row r="163">
      <c r="A163" s="112"/>
      <c r="B163" s="192"/>
      <c r="C163" s="192"/>
      <c r="D163" s="192"/>
    </row>
    <row r="164">
      <c r="A164" s="112"/>
      <c r="B164" s="192"/>
      <c r="C164" s="192"/>
      <c r="D164" s="192"/>
    </row>
    <row r="165">
      <c r="A165" s="112"/>
      <c r="B165" s="192"/>
      <c r="C165" s="192"/>
      <c r="D165" s="192"/>
    </row>
    <row r="166">
      <c r="A166" s="112"/>
      <c r="B166" s="192"/>
      <c r="C166" s="192"/>
      <c r="D166" s="192"/>
    </row>
    <row r="167">
      <c r="A167" s="112"/>
      <c r="B167" s="192"/>
      <c r="C167" s="192"/>
      <c r="D167" s="192"/>
    </row>
    <row r="168">
      <c r="A168" s="112"/>
      <c r="B168" s="192"/>
      <c r="C168" s="192"/>
      <c r="D168" s="192"/>
    </row>
    <row r="169">
      <c r="A169" s="112"/>
      <c r="B169" s="192"/>
      <c r="C169" s="192"/>
      <c r="D169" s="192"/>
    </row>
    <row r="170">
      <c r="A170" s="112"/>
      <c r="B170" s="192"/>
      <c r="C170" s="192"/>
      <c r="D170" s="192"/>
    </row>
    <row r="171">
      <c r="A171" s="112"/>
      <c r="B171" s="192"/>
      <c r="C171" s="192"/>
      <c r="D171" s="192"/>
    </row>
    <row r="172">
      <c r="A172" s="112"/>
      <c r="B172" s="192"/>
      <c r="C172" s="192"/>
      <c r="D172" s="192"/>
    </row>
    <row r="173">
      <c r="A173" s="112"/>
      <c r="B173" s="192"/>
      <c r="C173" s="192"/>
      <c r="D173" s="192"/>
    </row>
    <row r="174">
      <c r="A174" s="112"/>
      <c r="B174" s="192"/>
      <c r="C174" s="192"/>
      <c r="D174" s="192"/>
    </row>
    <row r="175">
      <c r="A175" s="112"/>
      <c r="B175" s="192"/>
      <c r="C175" s="192"/>
      <c r="D175" s="192"/>
    </row>
    <row r="176">
      <c r="A176" s="112"/>
      <c r="B176" s="192"/>
      <c r="C176" s="192"/>
      <c r="D176" s="192"/>
    </row>
    <row r="177">
      <c r="A177" s="112"/>
      <c r="B177" s="192"/>
      <c r="C177" s="192"/>
      <c r="D177" s="192"/>
    </row>
    <row r="178">
      <c r="A178" s="112"/>
      <c r="B178" s="192"/>
      <c r="C178" s="192"/>
      <c r="D178" s="192"/>
    </row>
    <row r="179">
      <c r="A179" s="112"/>
      <c r="B179" s="192"/>
      <c r="C179" s="192"/>
      <c r="D179" s="192"/>
    </row>
    <row r="180">
      <c r="A180" s="112"/>
      <c r="B180" s="192"/>
      <c r="C180" s="192"/>
      <c r="D180" s="192"/>
    </row>
    <row r="181">
      <c r="A181" s="112"/>
      <c r="B181" s="192"/>
      <c r="C181" s="192"/>
      <c r="D181" s="192"/>
    </row>
    <row r="182">
      <c r="A182" s="112"/>
      <c r="B182" s="192"/>
      <c r="C182" s="192"/>
      <c r="D182" s="192"/>
    </row>
    <row r="183">
      <c r="A183" s="112"/>
      <c r="B183" s="192"/>
      <c r="C183" s="192"/>
      <c r="D183" s="192"/>
    </row>
    <row r="184">
      <c r="A184" s="112"/>
      <c r="B184" s="192"/>
      <c r="C184" s="192"/>
      <c r="D184" s="192"/>
    </row>
    <row r="185">
      <c r="A185" s="112"/>
      <c r="B185" s="192"/>
      <c r="C185" s="192"/>
      <c r="D185" s="192"/>
    </row>
    <row r="186">
      <c r="A186" s="112"/>
      <c r="B186" s="192"/>
      <c r="C186" s="192"/>
      <c r="D186" s="192"/>
    </row>
    <row r="187">
      <c r="A187" s="112"/>
      <c r="B187" s="192"/>
      <c r="C187" s="192"/>
      <c r="D187" s="192"/>
    </row>
    <row r="188">
      <c r="A188" s="112"/>
      <c r="B188" s="192"/>
      <c r="C188" s="192"/>
      <c r="D188" s="192"/>
    </row>
    <row r="189">
      <c r="A189" s="112"/>
      <c r="B189" s="192"/>
      <c r="C189" s="192"/>
      <c r="D189" s="192"/>
    </row>
    <row r="190">
      <c r="A190" s="112"/>
      <c r="B190" s="192"/>
      <c r="C190" s="192"/>
      <c r="D190" s="192"/>
    </row>
    <row r="191">
      <c r="A191" s="112"/>
      <c r="B191" s="192"/>
      <c r="C191" s="192"/>
      <c r="D191" s="192"/>
    </row>
    <row r="192">
      <c r="A192" s="112"/>
      <c r="B192" s="192"/>
      <c r="C192" s="192"/>
      <c r="D192" s="192"/>
    </row>
    <row r="193">
      <c r="A193" s="112"/>
      <c r="B193" s="192"/>
      <c r="C193" s="192"/>
      <c r="D193" s="192"/>
    </row>
    <row r="194">
      <c r="A194" s="112"/>
      <c r="B194" s="192"/>
      <c r="C194" s="192"/>
      <c r="D194" s="192"/>
    </row>
    <row r="195">
      <c r="A195" s="112"/>
      <c r="B195" s="192"/>
      <c r="C195" s="192"/>
      <c r="D195" s="192"/>
    </row>
    <row r="196">
      <c r="A196" s="112"/>
      <c r="B196" s="192"/>
      <c r="C196" s="192"/>
      <c r="D196" s="192"/>
    </row>
    <row r="197">
      <c r="A197" s="112"/>
      <c r="B197" s="192"/>
      <c r="C197" s="192"/>
      <c r="D197" s="192"/>
    </row>
    <row r="198">
      <c r="A198" s="112"/>
      <c r="B198" s="192"/>
      <c r="C198" s="192"/>
      <c r="D198" s="192"/>
    </row>
    <row r="199">
      <c r="A199" s="112"/>
      <c r="B199" s="192"/>
      <c r="C199" s="192"/>
      <c r="D199" s="192"/>
    </row>
    <row r="200">
      <c r="A200" s="112"/>
      <c r="B200" s="192"/>
      <c r="C200" s="192"/>
      <c r="D200" s="192"/>
    </row>
    <row r="201">
      <c r="A201" s="112"/>
      <c r="B201" s="192"/>
      <c r="C201" s="192"/>
      <c r="D201" s="192"/>
    </row>
    <row r="202">
      <c r="A202" s="112"/>
      <c r="B202" s="192"/>
      <c r="C202" s="192"/>
      <c r="D202" s="192"/>
    </row>
    <row r="203">
      <c r="A203" s="112"/>
      <c r="B203" s="192"/>
      <c r="C203" s="192"/>
      <c r="D203" s="192"/>
    </row>
    <row r="204">
      <c r="A204" s="112"/>
      <c r="B204" s="192"/>
      <c r="C204" s="192"/>
      <c r="D204" s="192"/>
    </row>
    <row r="205">
      <c r="A205" s="112"/>
      <c r="B205" s="192"/>
      <c r="C205" s="192"/>
      <c r="D205" s="192"/>
    </row>
    <row r="206">
      <c r="A206" s="112"/>
      <c r="B206" s="192"/>
      <c r="C206" s="192"/>
      <c r="D206" s="192"/>
    </row>
    <row r="207">
      <c r="A207" s="112"/>
      <c r="B207" s="192"/>
      <c r="C207" s="192"/>
      <c r="D207" s="192"/>
    </row>
    <row r="208">
      <c r="A208" s="112"/>
      <c r="B208" s="192"/>
      <c r="C208" s="192"/>
      <c r="D208" s="192"/>
    </row>
    <row r="209">
      <c r="A209" s="112"/>
      <c r="B209" s="192"/>
      <c r="C209" s="192"/>
      <c r="D209" s="192"/>
    </row>
    <row r="210">
      <c r="A210" s="112"/>
      <c r="B210" s="192"/>
      <c r="C210" s="192"/>
      <c r="D210" s="192"/>
    </row>
    <row r="211">
      <c r="A211" s="112"/>
      <c r="B211" s="192"/>
      <c r="C211" s="192"/>
      <c r="D211" s="192"/>
    </row>
    <row r="212">
      <c r="A212" s="112"/>
      <c r="B212" s="192"/>
      <c r="C212" s="192"/>
      <c r="D212" s="192"/>
    </row>
    <row r="213">
      <c r="A213" s="112"/>
      <c r="B213" s="192"/>
      <c r="C213" s="192"/>
      <c r="D213" s="192"/>
    </row>
    <row r="214">
      <c r="A214" s="112"/>
      <c r="B214" s="192"/>
      <c r="C214" s="192"/>
      <c r="D214" s="192"/>
    </row>
    <row r="215">
      <c r="A215" s="112"/>
      <c r="B215" s="192"/>
      <c r="C215" s="192"/>
      <c r="D215" s="192"/>
    </row>
    <row r="216">
      <c r="A216" s="112"/>
      <c r="B216" s="192"/>
      <c r="C216" s="192"/>
      <c r="D216" s="192"/>
    </row>
    <row r="217">
      <c r="A217" s="112"/>
      <c r="B217" s="192"/>
      <c r="C217" s="192"/>
      <c r="D217" s="192"/>
    </row>
    <row r="218">
      <c r="A218" s="112"/>
      <c r="B218" s="192"/>
      <c r="C218" s="192"/>
      <c r="D218" s="192"/>
    </row>
    <row r="219">
      <c r="A219" s="112"/>
      <c r="B219" s="192"/>
      <c r="C219" s="192"/>
      <c r="D219" s="192"/>
    </row>
    <row r="220">
      <c r="A220" s="112"/>
      <c r="B220" s="192"/>
      <c r="C220" s="192"/>
      <c r="D220" s="192"/>
    </row>
    <row r="221">
      <c r="A221" s="112"/>
      <c r="B221" s="192"/>
      <c r="C221" s="192"/>
      <c r="D221" s="192"/>
    </row>
    <row r="222">
      <c r="A222" s="112"/>
      <c r="B222" s="192"/>
      <c r="C222" s="192"/>
      <c r="D222" s="192"/>
    </row>
    <row r="223">
      <c r="A223" s="112"/>
      <c r="B223" s="192"/>
      <c r="C223" s="192"/>
      <c r="D223" s="192"/>
    </row>
    <row r="224">
      <c r="A224" s="112"/>
      <c r="B224" s="192"/>
      <c r="C224" s="192"/>
      <c r="D224" s="192"/>
    </row>
    <row r="225">
      <c r="A225" s="112"/>
      <c r="B225" s="192"/>
      <c r="C225" s="192"/>
      <c r="D225" s="192"/>
    </row>
    <row r="226">
      <c r="A226" s="112"/>
      <c r="B226" s="192"/>
      <c r="C226" s="192"/>
      <c r="D226" s="192"/>
    </row>
    <row r="227">
      <c r="A227" s="112"/>
      <c r="B227" s="192"/>
      <c r="C227" s="192"/>
      <c r="D227" s="192"/>
    </row>
    <row r="228">
      <c r="A228" s="112"/>
      <c r="B228" s="192"/>
      <c r="C228" s="192"/>
      <c r="D228" s="192"/>
    </row>
    <row r="229">
      <c r="A229" s="112"/>
      <c r="B229" s="192"/>
      <c r="C229" s="192"/>
      <c r="D229" s="192"/>
    </row>
    <row r="230">
      <c r="A230" s="112"/>
      <c r="B230" s="192"/>
      <c r="C230" s="192"/>
      <c r="D230" s="192"/>
    </row>
    <row r="231">
      <c r="A231" s="112"/>
      <c r="B231" s="192"/>
      <c r="C231" s="192"/>
      <c r="D231" s="192"/>
    </row>
    <row r="232">
      <c r="A232" s="112"/>
      <c r="B232" s="192"/>
      <c r="C232" s="192"/>
      <c r="D232" s="192"/>
    </row>
    <row r="233">
      <c r="A233" s="112"/>
      <c r="B233" s="192"/>
      <c r="C233" s="192"/>
      <c r="D233" s="192"/>
    </row>
    <row r="234">
      <c r="A234" s="112"/>
      <c r="B234" s="192"/>
      <c r="C234" s="192"/>
      <c r="D234" s="192"/>
    </row>
    <row r="235">
      <c r="A235" s="112"/>
      <c r="B235" s="192"/>
      <c r="C235" s="192"/>
      <c r="D235" s="192"/>
    </row>
    <row r="236">
      <c r="A236" s="112"/>
      <c r="B236" s="192"/>
      <c r="C236" s="192"/>
      <c r="D236" s="192"/>
    </row>
    <row r="237">
      <c r="A237" s="112"/>
      <c r="B237" s="192"/>
      <c r="C237" s="192"/>
      <c r="D237" s="192"/>
    </row>
    <row r="238">
      <c r="A238" s="112"/>
      <c r="B238" s="192"/>
      <c r="C238" s="192"/>
      <c r="D238" s="192"/>
    </row>
    <row r="239">
      <c r="A239" s="112"/>
      <c r="B239" s="192"/>
      <c r="C239" s="192"/>
      <c r="D239" s="192"/>
    </row>
    <row r="240">
      <c r="A240" s="112"/>
      <c r="B240" s="192"/>
      <c r="C240" s="192"/>
      <c r="D240" s="192"/>
    </row>
    <row r="241">
      <c r="A241" s="112"/>
      <c r="B241" s="192"/>
      <c r="C241" s="192"/>
      <c r="D241" s="192"/>
    </row>
    <row r="242">
      <c r="A242" s="112"/>
      <c r="B242" s="192"/>
      <c r="C242" s="192"/>
      <c r="D242" s="192"/>
    </row>
    <row r="243">
      <c r="A243" s="112"/>
      <c r="B243" s="192"/>
      <c r="C243" s="192"/>
      <c r="D243" s="192"/>
    </row>
    <row r="244">
      <c r="A244" s="112"/>
      <c r="B244" s="192"/>
      <c r="C244" s="192"/>
      <c r="D244" s="192"/>
    </row>
    <row r="245">
      <c r="A245" s="112"/>
      <c r="B245" s="192"/>
      <c r="C245" s="192"/>
      <c r="D245" s="192"/>
    </row>
    <row r="246">
      <c r="A246" s="112"/>
      <c r="B246" s="192"/>
      <c r="C246" s="192"/>
      <c r="D246" s="192"/>
    </row>
    <row r="247">
      <c r="A247" s="112"/>
      <c r="B247" s="192"/>
      <c r="C247" s="192"/>
      <c r="D247" s="192"/>
    </row>
    <row r="248">
      <c r="A248" s="112"/>
      <c r="B248" s="192"/>
      <c r="C248" s="192"/>
      <c r="D248" s="192"/>
    </row>
    <row r="249">
      <c r="A249" s="112"/>
      <c r="B249" s="192"/>
      <c r="C249" s="192"/>
      <c r="D249" s="192"/>
    </row>
    <row r="250">
      <c r="A250" s="112"/>
      <c r="B250" s="192"/>
      <c r="C250" s="192"/>
      <c r="D250" s="192"/>
    </row>
    <row r="251">
      <c r="A251" s="112"/>
      <c r="B251" s="192"/>
      <c r="C251" s="192"/>
      <c r="D251" s="192"/>
    </row>
    <row r="252">
      <c r="A252" s="112"/>
      <c r="B252" s="192"/>
      <c r="C252" s="192"/>
      <c r="D252" s="192"/>
    </row>
    <row r="253">
      <c r="A253" s="112"/>
      <c r="B253" s="192"/>
      <c r="C253" s="192"/>
      <c r="D253" s="192"/>
    </row>
    <row r="254">
      <c r="A254" s="112"/>
      <c r="B254" s="192"/>
      <c r="C254" s="192"/>
      <c r="D254" s="192"/>
    </row>
    <row r="255">
      <c r="A255" s="112"/>
      <c r="B255" s="192"/>
      <c r="C255" s="192"/>
      <c r="D255" s="192"/>
    </row>
    <row r="256">
      <c r="A256" s="112"/>
      <c r="B256" s="192"/>
      <c r="C256" s="192"/>
      <c r="D256" s="192"/>
    </row>
    <row r="257">
      <c r="A257" s="112"/>
      <c r="B257" s="192"/>
      <c r="C257" s="192"/>
      <c r="D257" s="192"/>
    </row>
    <row r="258">
      <c r="A258" s="112"/>
      <c r="B258" s="192"/>
      <c r="C258" s="192"/>
      <c r="D258" s="192"/>
    </row>
    <row r="259">
      <c r="A259" s="112"/>
      <c r="B259" s="192"/>
      <c r="C259" s="192"/>
      <c r="D259" s="192"/>
    </row>
    <row r="260">
      <c r="A260" s="112"/>
      <c r="B260" s="192"/>
      <c r="C260" s="192"/>
      <c r="D260" s="192"/>
    </row>
    <row r="261">
      <c r="A261" s="112"/>
      <c r="B261" s="192"/>
      <c r="C261" s="192"/>
      <c r="D261" s="192"/>
    </row>
    <row r="262">
      <c r="A262" s="112"/>
      <c r="B262" s="192"/>
      <c r="C262" s="192"/>
      <c r="D262" s="192"/>
    </row>
    <row r="263">
      <c r="A263" s="112"/>
      <c r="B263" s="192"/>
      <c r="C263" s="192"/>
      <c r="D263" s="192"/>
    </row>
    <row r="264">
      <c r="A264" s="112"/>
      <c r="B264" s="192"/>
      <c r="C264" s="192"/>
      <c r="D264" s="192"/>
    </row>
    <row r="265">
      <c r="A265" s="112"/>
      <c r="B265" s="192"/>
      <c r="C265" s="192"/>
      <c r="D265" s="192"/>
    </row>
    <row r="266">
      <c r="A266" s="112"/>
      <c r="B266" s="192"/>
      <c r="C266" s="192"/>
      <c r="D266" s="192"/>
    </row>
    <row r="267">
      <c r="A267" s="112"/>
      <c r="B267" s="192"/>
      <c r="C267" s="192"/>
      <c r="D267" s="192"/>
    </row>
    <row r="268">
      <c r="A268" s="112"/>
      <c r="B268" s="192"/>
      <c r="C268" s="192"/>
      <c r="D268" s="192"/>
    </row>
    <row r="269">
      <c r="A269" s="112"/>
      <c r="B269" s="192"/>
      <c r="C269" s="192"/>
      <c r="D269" s="192"/>
    </row>
    <row r="270">
      <c r="A270" s="112"/>
      <c r="B270" s="192"/>
      <c r="C270" s="192"/>
      <c r="D270" s="192"/>
    </row>
    <row r="271">
      <c r="A271" s="112"/>
      <c r="B271" s="192"/>
      <c r="C271" s="192"/>
      <c r="D271" s="192"/>
    </row>
    <row r="272">
      <c r="A272" s="112"/>
      <c r="B272" s="192"/>
      <c r="C272" s="192"/>
      <c r="D272" s="192"/>
    </row>
    <row r="273">
      <c r="A273" s="112"/>
      <c r="B273" s="192"/>
      <c r="C273" s="192"/>
      <c r="D273" s="192"/>
    </row>
    <row r="274">
      <c r="A274" s="112"/>
      <c r="B274" s="192"/>
      <c r="C274" s="192"/>
      <c r="D274" s="192"/>
    </row>
    <row r="275">
      <c r="A275" s="112"/>
      <c r="B275" s="192"/>
      <c r="C275" s="192"/>
      <c r="D275" s="192"/>
    </row>
    <row r="276">
      <c r="A276" s="112"/>
      <c r="B276" s="192"/>
      <c r="C276" s="192"/>
      <c r="D276" s="192"/>
    </row>
    <row r="277">
      <c r="A277" s="112"/>
      <c r="B277" s="192"/>
      <c r="C277" s="192"/>
      <c r="D277" s="192"/>
    </row>
    <row r="278">
      <c r="A278" s="112"/>
      <c r="B278" s="192"/>
      <c r="C278" s="192"/>
      <c r="D278" s="192"/>
    </row>
    <row r="279">
      <c r="A279" s="112"/>
      <c r="B279" s="192"/>
      <c r="C279" s="192"/>
      <c r="D279" s="192"/>
    </row>
    <row r="280">
      <c r="A280" s="112"/>
      <c r="B280" s="192"/>
      <c r="C280" s="192"/>
      <c r="D280" s="192"/>
    </row>
    <row r="281">
      <c r="A281" s="112"/>
      <c r="B281" s="192"/>
      <c r="C281" s="192"/>
      <c r="D281" s="192"/>
    </row>
    <row r="282">
      <c r="A282" s="112"/>
      <c r="B282" s="192"/>
      <c r="C282" s="192"/>
      <c r="D282" s="192"/>
    </row>
    <row r="283">
      <c r="A283" s="112"/>
      <c r="B283" s="192"/>
      <c r="C283" s="192"/>
      <c r="D283" s="192"/>
    </row>
    <row r="284">
      <c r="A284" s="112"/>
      <c r="B284" s="192"/>
      <c r="C284" s="192"/>
      <c r="D284" s="192"/>
    </row>
    <row r="285">
      <c r="A285" s="112"/>
      <c r="B285" s="192"/>
      <c r="C285" s="192"/>
      <c r="D285" s="192"/>
    </row>
    <row r="286">
      <c r="A286" s="112"/>
      <c r="B286" s="192"/>
      <c r="C286" s="192"/>
      <c r="D286" s="192"/>
    </row>
    <row r="287">
      <c r="A287" s="112"/>
      <c r="B287" s="192"/>
      <c r="C287" s="192"/>
      <c r="D287" s="192"/>
    </row>
    <row r="288">
      <c r="A288" s="112"/>
      <c r="B288" s="192"/>
      <c r="C288" s="192"/>
      <c r="D288" s="192"/>
    </row>
    <row r="289">
      <c r="A289" s="112"/>
      <c r="B289" s="192"/>
      <c r="C289" s="192"/>
      <c r="D289" s="192"/>
    </row>
    <row r="290">
      <c r="A290" s="112"/>
      <c r="B290" s="192"/>
      <c r="C290" s="192"/>
      <c r="D290" s="192"/>
    </row>
    <row r="291">
      <c r="A291" s="112"/>
      <c r="B291" s="192"/>
      <c r="C291" s="192"/>
      <c r="D291" s="192"/>
    </row>
    <row r="292">
      <c r="A292" s="112"/>
      <c r="B292" s="192"/>
      <c r="C292" s="192"/>
      <c r="D292" s="192"/>
    </row>
    <row r="293">
      <c r="A293" s="112"/>
      <c r="B293" s="192"/>
      <c r="C293" s="192"/>
      <c r="D293" s="192"/>
    </row>
    <row r="294">
      <c r="A294" s="112"/>
      <c r="B294" s="192"/>
      <c r="C294" s="192"/>
      <c r="D294" s="192"/>
    </row>
    <row r="295">
      <c r="A295" s="112"/>
      <c r="B295" s="192"/>
      <c r="C295" s="192"/>
      <c r="D295" s="192"/>
    </row>
    <row r="296">
      <c r="A296" s="112"/>
      <c r="B296" s="192"/>
      <c r="C296" s="192"/>
      <c r="D296" s="192"/>
    </row>
    <row r="297">
      <c r="A297" s="112"/>
      <c r="B297" s="192"/>
      <c r="C297" s="192"/>
      <c r="D297" s="192"/>
    </row>
    <row r="298">
      <c r="A298" s="112"/>
      <c r="B298" s="192"/>
      <c r="C298" s="192"/>
      <c r="D298" s="192"/>
    </row>
    <row r="299">
      <c r="A299" s="112"/>
      <c r="B299" s="192"/>
      <c r="C299" s="192"/>
      <c r="D299" s="192"/>
    </row>
    <row r="300">
      <c r="A300" s="112"/>
      <c r="B300" s="192"/>
      <c r="C300" s="192"/>
      <c r="D300" s="192"/>
    </row>
    <row r="301">
      <c r="A301" s="112"/>
      <c r="B301" s="192"/>
      <c r="C301" s="192"/>
      <c r="D301" s="192"/>
    </row>
    <row r="302">
      <c r="A302" s="112"/>
      <c r="B302" s="192"/>
      <c r="C302" s="192"/>
      <c r="D302" s="192"/>
    </row>
    <row r="303">
      <c r="A303" s="112"/>
      <c r="B303" s="192"/>
      <c r="C303" s="192"/>
      <c r="D303" s="192"/>
    </row>
    <row r="304">
      <c r="A304" s="112"/>
      <c r="B304" s="192"/>
      <c r="C304" s="192"/>
      <c r="D304" s="192"/>
    </row>
    <row r="305">
      <c r="A305" s="112"/>
      <c r="B305" s="192"/>
      <c r="C305" s="192"/>
      <c r="D305" s="192"/>
    </row>
    <row r="306">
      <c r="A306" s="112"/>
      <c r="B306" s="192"/>
      <c r="C306" s="192"/>
      <c r="D306" s="192"/>
    </row>
    <row r="307">
      <c r="A307" s="112"/>
      <c r="B307" s="192"/>
      <c r="C307" s="192"/>
      <c r="D307" s="192"/>
    </row>
    <row r="308">
      <c r="A308" s="112"/>
      <c r="B308" s="192"/>
      <c r="C308" s="192"/>
      <c r="D308" s="192"/>
    </row>
    <row r="309">
      <c r="A309" s="112"/>
      <c r="B309" s="192"/>
      <c r="C309" s="192"/>
      <c r="D309" s="192"/>
    </row>
    <row r="310">
      <c r="A310" s="112"/>
      <c r="B310" s="192"/>
      <c r="C310" s="192"/>
      <c r="D310" s="192"/>
    </row>
    <row r="311">
      <c r="A311" s="112"/>
      <c r="B311" s="192"/>
      <c r="C311" s="192"/>
      <c r="D311" s="192"/>
    </row>
    <row r="312">
      <c r="A312" s="112"/>
      <c r="B312" s="192"/>
      <c r="C312" s="192"/>
      <c r="D312" s="192"/>
    </row>
    <row r="313">
      <c r="A313" s="112"/>
      <c r="B313" s="192"/>
      <c r="C313" s="192"/>
      <c r="D313" s="192"/>
    </row>
    <row r="314">
      <c r="A314" s="112"/>
      <c r="B314" s="192"/>
      <c r="C314" s="192"/>
      <c r="D314" s="192"/>
    </row>
    <row r="315">
      <c r="A315" s="112"/>
      <c r="B315" s="192"/>
      <c r="C315" s="192"/>
      <c r="D315" s="192"/>
    </row>
    <row r="316">
      <c r="A316" s="112"/>
      <c r="B316" s="192"/>
      <c r="C316" s="192"/>
      <c r="D316" s="192"/>
    </row>
    <row r="317">
      <c r="A317" s="112"/>
      <c r="B317" s="192"/>
      <c r="C317" s="192"/>
      <c r="D317" s="192"/>
    </row>
    <row r="318">
      <c r="A318" s="112"/>
      <c r="B318" s="192"/>
      <c r="C318" s="192"/>
      <c r="D318" s="192"/>
    </row>
    <row r="319">
      <c r="A319" s="112"/>
      <c r="B319" s="192"/>
      <c r="C319" s="192"/>
      <c r="D319" s="192"/>
    </row>
    <row r="320">
      <c r="A320" s="112"/>
      <c r="B320" s="192"/>
      <c r="C320" s="192"/>
      <c r="D320" s="192"/>
    </row>
    <row r="321">
      <c r="A321" s="112"/>
      <c r="B321" s="192"/>
      <c r="C321" s="192"/>
      <c r="D321" s="192"/>
    </row>
    <row r="322">
      <c r="A322" s="112"/>
      <c r="B322" s="192"/>
      <c r="C322" s="192"/>
      <c r="D322" s="192"/>
    </row>
    <row r="323">
      <c r="A323" s="112"/>
      <c r="B323" s="192"/>
      <c r="C323" s="192"/>
      <c r="D323" s="192"/>
    </row>
    <row r="324">
      <c r="A324" s="112"/>
      <c r="B324" s="192"/>
      <c r="C324" s="192"/>
      <c r="D324" s="192"/>
    </row>
    <row r="325">
      <c r="A325" s="112"/>
      <c r="B325" s="192"/>
      <c r="C325" s="192"/>
      <c r="D325" s="192"/>
    </row>
    <row r="326">
      <c r="A326" s="112"/>
      <c r="B326" s="192"/>
      <c r="C326" s="192"/>
      <c r="D326" s="192"/>
    </row>
    <row r="327">
      <c r="A327" s="112"/>
      <c r="B327" s="192"/>
      <c r="C327" s="192"/>
      <c r="D327" s="192"/>
    </row>
    <row r="328">
      <c r="A328" s="112"/>
      <c r="B328" s="192"/>
      <c r="C328" s="192"/>
      <c r="D328" s="192"/>
    </row>
    <row r="329">
      <c r="A329" s="112"/>
      <c r="B329" s="192"/>
      <c r="C329" s="192"/>
      <c r="D329" s="192"/>
    </row>
    <row r="330">
      <c r="A330" s="112"/>
      <c r="B330" s="192"/>
      <c r="C330" s="192"/>
      <c r="D330" s="192"/>
    </row>
    <row r="331">
      <c r="A331" s="112"/>
      <c r="B331" s="192"/>
      <c r="C331" s="192"/>
      <c r="D331" s="192"/>
    </row>
    <row r="332">
      <c r="A332" s="112"/>
      <c r="B332" s="192"/>
      <c r="C332" s="192"/>
      <c r="D332" s="192"/>
    </row>
    <row r="333">
      <c r="A333" s="112"/>
      <c r="B333" s="192"/>
      <c r="C333" s="192"/>
      <c r="D333" s="192"/>
    </row>
    <row r="334">
      <c r="A334" s="112"/>
      <c r="B334" s="192"/>
      <c r="C334" s="192"/>
      <c r="D334" s="192"/>
    </row>
    <row r="335">
      <c r="A335" s="112"/>
      <c r="B335" s="192"/>
      <c r="C335" s="192"/>
      <c r="D335" s="192"/>
    </row>
    <row r="336">
      <c r="A336" s="112"/>
      <c r="B336" s="192"/>
      <c r="C336" s="192"/>
      <c r="D336" s="192"/>
    </row>
    <row r="337">
      <c r="A337" s="112"/>
      <c r="B337" s="192"/>
      <c r="C337" s="192"/>
      <c r="D337" s="192"/>
    </row>
    <row r="338">
      <c r="A338" s="112"/>
      <c r="B338" s="192"/>
      <c r="C338" s="192"/>
      <c r="D338" s="192"/>
    </row>
    <row r="339">
      <c r="A339" s="112"/>
      <c r="B339" s="192"/>
      <c r="C339" s="192"/>
      <c r="D339" s="192"/>
    </row>
    <row r="340">
      <c r="A340" s="112"/>
      <c r="B340" s="192"/>
      <c r="C340" s="192"/>
      <c r="D340" s="192"/>
    </row>
    <row r="341">
      <c r="A341" s="112"/>
      <c r="B341" s="192"/>
      <c r="C341" s="192"/>
      <c r="D341" s="192"/>
    </row>
    <row r="342">
      <c r="A342" s="112"/>
      <c r="B342" s="192"/>
      <c r="C342" s="192"/>
      <c r="D342" s="192"/>
    </row>
    <row r="343">
      <c r="A343" s="112"/>
      <c r="B343" s="192"/>
      <c r="C343" s="192"/>
      <c r="D343" s="192"/>
    </row>
    <row r="344">
      <c r="A344" s="112"/>
      <c r="B344" s="192"/>
      <c r="C344" s="192"/>
      <c r="D344" s="192"/>
    </row>
    <row r="345">
      <c r="A345" s="112"/>
      <c r="B345" s="192"/>
      <c r="C345" s="192"/>
      <c r="D345" s="192"/>
    </row>
    <row r="346">
      <c r="A346" s="112"/>
      <c r="B346" s="192"/>
      <c r="C346" s="192"/>
      <c r="D346" s="192"/>
    </row>
    <row r="347">
      <c r="A347" s="112"/>
      <c r="B347" s="192"/>
      <c r="C347" s="192"/>
      <c r="D347" s="192"/>
    </row>
    <row r="348">
      <c r="A348" s="112"/>
      <c r="B348" s="192"/>
      <c r="C348" s="192"/>
      <c r="D348" s="192"/>
    </row>
    <row r="349">
      <c r="A349" s="112"/>
      <c r="B349" s="192"/>
      <c r="C349" s="192"/>
      <c r="D349" s="192"/>
    </row>
    <row r="350">
      <c r="A350" s="112"/>
      <c r="B350" s="192"/>
      <c r="C350" s="192"/>
      <c r="D350" s="192"/>
    </row>
    <row r="351">
      <c r="A351" s="112"/>
      <c r="B351" s="192"/>
      <c r="C351" s="192"/>
      <c r="D351" s="192"/>
    </row>
    <row r="352">
      <c r="A352" s="112"/>
      <c r="B352" s="192"/>
      <c r="C352" s="192"/>
      <c r="D352" s="192"/>
    </row>
    <row r="353">
      <c r="A353" s="112"/>
      <c r="B353" s="192"/>
      <c r="C353" s="192"/>
      <c r="D353" s="192"/>
    </row>
    <row r="354">
      <c r="A354" s="112"/>
      <c r="B354" s="192"/>
      <c r="C354" s="192"/>
      <c r="D354" s="192"/>
    </row>
    <row r="355">
      <c r="A355" s="112"/>
      <c r="B355" s="192"/>
      <c r="C355" s="192"/>
      <c r="D355" s="192"/>
    </row>
    <row r="356">
      <c r="A356" s="112"/>
      <c r="B356" s="192"/>
      <c r="C356" s="192"/>
      <c r="D356" s="192"/>
    </row>
    <row r="357">
      <c r="A357" s="112"/>
      <c r="B357" s="192"/>
      <c r="C357" s="192"/>
      <c r="D357" s="192"/>
    </row>
    <row r="358">
      <c r="A358" s="112"/>
      <c r="B358" s="192"/>
      <c r="C358" s="192"/>
      <c r="D358" s="192"/>
    </row>
    <row r="359">
      <c r="A359" s="112"/>
      <c r="B359" s="192"/>
      <c r="C359" s="192"/>
      <c r="D359" s="192"/>
    </row>
    <row r="360">
      <c r="A360" s="112"/>
      <c r="B360" s="192"/>
      <c r="C360" s="192"/>
      <c r="D360" s="192"/>
    </row>
    <row r="361">
      <c r="A361" s="112"/>
      <c r="B361" s="192"/>
      <c r="C361" s="192"/>
      <c r="D361" s="192"/>
    </row>
    <row r="362">
      <c r="A362" s="112"/>
      <c r="B362" s="192"/>
      <c r="C362" s="192"/>
      <c r="D362" s="192"/>
    </row>
    <row r="363">
      <c r="A363" s="112"/>
      <c r="B363" s="192"/>
      <c r="C363" s="192"/>
      <c r="D363" s="192"/>
    </row>
    <row r="364">
      <c r="A364" s="112"/>
      <c r="B364" s="192"/>
      <c r="C364" s="192"/>
      <c r="D364" s="192"/>
    </row>
    <row r="365">
      <c r="A365" s="112"/>
      <c r="B365" s="192"/>
      <c r="C365" s="192"/>
      <c r="D365" s="192"/>
    </row>
    <row r="366">
      <c r="A366" s="112"/>
      <c r="B366" s="192"/>
      <c r="C366" s="192"/>
      <c r="D366" s="192"/>
    </row>
    <row r="367">
      <c r="A367" s="112"/>
      <c r="B367" s="192"/>
      <c r="C367" s="192"/>
      <c r="D367" s="192"/>
    </row>
    <row r="368">
      <c r="A368" s="112"/>
      <c r="B368" s="192"/>
      <c r="C368" s="192"/>
      <c r="D368" s="192"/>
    </row>
    <row r="369">
      <c r="A369" s="112"/>
      <c r="B369" s="192"/>
      <c r="C369" s="192"/>
      <c r="D369" s="192"/>
    </row>
    <row r="370">
      <c r="A370" s="112"/>
      <c r="B370" s="192"/>
      <c r="C370" s="192"/>
      <c r="D370" s="192"/>
    </row>
    <row r="371">
      <c r="A371" s="112"/>
      <c r="B371" s="192"/>
      <c r="C371" s="192"/>
      <c r="D371" s="192"/>
    </row>
    <row r="372">
      <c r="A372" s="112"/>
      <c r="B372" s="192"/>
      <c r="C372" s="192"/>
      <c r="D372" s="192"/>
    </row>
    <row r="373">
      <c r="A373" s="112"/>
      <c r="B373" s="192"/>
      <c r="C373" s="192"/>
      <c r="D373" s="192"/>
    </row>
    <row r="374">
      <c r="A374" s="112"/>
      <c r="B374" s="192"/>
      <c r="C374" s="192"/>
      <c r="D374" s="192"/>
    </row>
    <row r="375">
      <c r="A375" s="112"/>
      <c r="B375" s="192"/>
      <c r="C375" s="192"/>
      <c r="D375" s="192"/>
    </row>
    <row r="376">
      <c r="A376" s="112"/>
      <c r="B376" s="192"/>
      <c r="C376" s="192"/>
      <c r="D376" s="192"/>
    </row>
    <row r="377">
      <c r="A377" s="112"/>
      <c r="B377" s="192"/>
      <c r="C377" s="192"/>
      <c r="D377" s="192"/>
    </row>
    <row r="378">
      <c r="A378" s="112"/>
      <c r="B378" s="192"/>
      <c r="C378" s="192"/>
      <c r="D378" s="192"/>
    </row>
    <row r="379">
      <c r="A379" s="112"/>
      <c r="B379" s="192"/>
      <c r="C379" s="192"/>
      <c r="D379" s="192"/>
    </row>
    <row r="380">
      <c r="A380" s="112"/>
      <c r="B380" s="192"/>
      <c r="C380" s="192"/>
      <c r="D380" s="192"/>
    </row>
    <row r="381">
      <c r="A381" s="112"/>
      <c r="B381" s="192"/>
      <c r="C381" s="192"/>
      <c r="D381" s="192"/>
    </row>
    <row r="382">
      <c r="A382" s="112"/>
      <c r="B382" s="192"/>
      <c r="C382" s="192"/>
      <c r="D382" s="192"/>
    </row>
    <row r="383">
      <c r="A383" s="112"/>
      <c r="B383" s="192"/>
      <c r="C383" s="192"/>
      <c r="D383" s="192"/>
    </row>
    <row r="384">
      <c r="A384" s="112"/>
      <c r="B384" s="192"/>
      <c r="C384" s="192"/>
      <c r="D384" s="192"/>
    </row>
    <row r="385">
      <c r="A385" s="112"/>
      <c r="B385" s="192"/>
      <c r="C385" s="192"/>
      <c r="D385" s="192"/>
    </row>
    <row r="386">
      <c r="A386" s="112"/>
      <c r="B386" s="192"/>
      <c r="C386" s="192"/>
      <c r="D386" s="192"/>
    </row>
    <row r="387">
      <c r="A387" s="112"/>
      <c r="B387" s="192"/>
      <c r="C387" s="192"/>
      <c r="D387" s="192"/>
    </row>
    <row r="388">
      <c r="A388" s="112"/>
      <c r="B388" s="192"/>
      <c r="C388" s="192"/>
      <c r="D388" s="192"/>
    </row>
    <row r="389">
      <c r="A389" s="112"/>
      <c r="B389" s="192"/>
      <c r="C389" s="192"/>
      <c r="D389" s="192"/>
    </row>
    <row r="390">
      <c r="A390" s="112"/>
      <c r="B390" s="192"/>
      <c r="C390" s="192"/>
      <c r="D390" s="192"/>
    </row>
    <row r="391">
      <c r="A391" s="112"/>
      <c r="B391" s="192"/>
      <c r="C391" s="192"/>
      <c r="D391" s="192"/>
    </row>
    <row r="392">
      <c r="A392" s="112"/>
      <c r="B392" s="192"/>
      <c r="C392" s="192"/>
      <c r="D392" s="192"/>
    </row>
    <row r="393">
      <c r="A393" s="112"/>
      <c r="B393" s="192"/>
      <c r="C393" s="192"/>
      <c r="D393" s="192"/>
    </row>
    <row r="394">
      <c r="A394" s="112"/>
      <c r="B394" s="192"/>
      <c r="C394" s="192"/>
      <c r="D394" s="192"/>
    </row>
    <row r="395">
      <c r="A395" s="112"/>
      <c r="B395" s="192"/>
      <c r="C395" s="192"/>
      <c r="D395" s="192"/>
    </row>
    <row r="396">
      <c r="A396" s="112"/>
      <c r="B396" s="192"/>
      <c r="C396" s="192"/>
      <c r="D396" s="192"/>
    </row>
    <row r="397">
      <c r="A397" s="112"/>
      <c r="B397" s="192"/>
      <c r="C397" s="192"/>
      <c r="D397" s="192"/>
    </row>
    <row r="398">
      <c r="A398" s="112"/>
      <c r="B398" s="192"/>
      <c r="C398" s="192"/>
      <c r="D398" s="192"/>
    </row>
    <row r="399">
      <c r="A399" s="112"/>
      <c r="B399" s="192"/>
      <c r="C399" s="192"/>
      <c r="D399" s="192"/>
    </row>
    <row r="400">
      <c r="A400" s="112"/>
      <c r="B400" s="192"/>
      <c r="C400" s="192"/>
      <c r="D400" s="192"/>
    </row>
    <row r="401">
      <c r="A401" s="112"/>
      <c r="B401" s="192"/>
      <c r="C401" s="192"/>
      <c r="D401" s="192"/>
    </row>
    <row r="402">
      <c r="A402" s="112"/>
      <c r="B402" s="192"/>
      <c r="C402" s="192"/>
      <c r="D402" s="192"/>
    </row>
    <row r="403">
      <c r="A403" s="112"/>
      <c r="B403" s="192"/>
      <c r="C403" s="192"/>
      <c r="D403" s="192"/>
    </row>
    <row r="404">
      <c r="A404" s="112"/>
      <c r="B404" s="192"/>
      <c r="C404" s="192"/>
      <c r="D404" s="192"/>
    </row>
    <row r="405">
      <c r="A405" s="112"/>
      <c r="B405" s="192"/>
      <c r="C405" s="192"/>
      <c r="D405" s="192"/>
    </row>
    <row r="406">
      <c r="A406" s="112"/>
      <c r="B406" s="192"/>
      <c r="C406" s="192"/>
      <c r="D406" s="192"/>
    </row>
    <row r="407">
      <c r="A407" s="112"/>
      <c r="B407" s="192"/>
      <c r="C407" s="192"/>
      <c r="D407" s="192"/>
    </row>
    <row r="408">
      <c r="A408" s="112"/>
      <c r="B408" s="192"/>
      <c r="C408" s="192"/>
      <c r="D408" s="192"/>
    </row>
    <row r="409">
      <c r="A409" s="112"/>
      <c r="B409" s="192"/>
      <c r="C409" s="192"/>
      <c r="D409" s="192"/>
    </row>
    <row r="410">
      <c r="A410" s="112"/>
      <c r="B410" s="192"/>
      <c r="C410" s="192"/>
      <c r="D410" s="192"/>
    </row>
    <row r="411">
      <c r="A411" s="112"/>
      <c r="B411" s="192"/>
      <c r="C411" s="192"/>
      <c r="D411" s="192"/>
    </row>
    <row r="412">
      <c r="A412" s="112"/>
      <c r="B412" s="192"/>
      <c r="C412" s="192"/>
      <c r="D412" s="192"/>
    </row>
    <row r="413">
      <c r="A413" s="112"/>
      <c r="B413" s="192"/>
      <c r="C413" s="192"/>
      <c r="D413" s="192"/>
    </row>
    <row r="414">
      <c r="A414" s="112"/>
      <c r="B414" s="192"/>
      <c r="C414" s="192"/>
      <c r="D414" s="192"/>
    </row>
    <row r="415">
      <c r="A415" s="112"/>
      <c r="B415" s="192"/>
      <c r="C415" s="192"/>
      <c r="D415" s="192"/>
    </row>
    <row r="416">
      <c r="A416" s="112"/>
      <c r="B416" s="192"/>
      <c r="C416" s="192"/>
      <c r="D416" s="192"/>
    </row>
    <row r="417">
      <c r="A417" s="112"/>
      <c r="B417" s="192"/>
      <c r="C417" s="192"/>
      <c r="D417" s="192"/>
    </row>
    <row r="418">
      <c r="A418" s="112"/>
      <c r="B418" s="192"/>
      <c r="C418" s="192"/>
      <c r="D418" s="192"/>
    </row>
    <row r="419">
      <c r="A419" s="112"/>
      <c r="B419" s="192"/>
      <c r="C419" s="192"/>
      <c r="D419" s="192"/>
    </row>
    <row r="420">
      <c r="A420" s="112"/>
      <c r="B420" s="192"/>
      <c r="C420" s="192"/>
      <c r="D420" s="192"/>
    </row>
    <row r="421">
      <c r="A421" s="112"/>
      <c r="B421" s="192"/>
      <c r="C421" s="192"/>
      <c r="D421" s="192"/>
    </row>
    <row r="422">
      <c r="A422" s="112"/>
      <c r="B422" s="192"/>
      <c r="C422" s="192"/>
      <c r="D422" s="192"/>
    </row>
    <row r="423">
      <c r="A423" s="112"/>
      <c r="B423" s="192"/>
      <c r="C423" s="192"/>
      <c r="D423" s="192"/>
    </row>
    <row r="424">
      <c r="A424" s="112"/>
      <c r="B424" s="192"/>
      <c r="C424" s="192"/>
      <c r="D424" s="192"/>
    </row>
    <row r="425">
      <c r="A425" s="112"/>
      <c r="B425" s="192"/>
      <c r="C425" s="192"/>
      <c r="D425" s="192"/>
    </row>
    <row r="426">
      <c r="A426" s="112"/>
      <c r="B426" s="192"/>
      <c r="C426" s="192"/>
      <c r="D426" s="192"/>
    </row>
    <row r="427">
      <c r="A427" s="112"/>
      <c r="B427" s="192"/>
      <c r="C427" s="192"/>
      <c r="D427" s="192"/>
    </row>
    <row r="428">
      <c r="A428" s="112"/>
      <c r="B428" s="192"/>
      <c r="C428" s="192"/>
      <c r="D428" s="192"/>
    </row>
    <row r="429">
      <c r="A429" s="112"/>
      <c r="B429" s="192"/>
      <c r="C429" s="192"/>
      <c r="D429" s="192"/>
    </row>
    <row r="430">
      <c r="A430" s="112"/>
      <c r="B430" s="192"/>
      <c r="C430" s="192"/>
      <c r="D430" s="192"/>
    </row>
    <row r="431">
      <c r="A431" s="112"/>
      <c r="B431" s="192"/>
      <c r="C431" s="192"/>
      <c r="D431" s="192"/>
    </row>
    <row r="432">
      <c r="A432" s="112"/>
      <c r="B432" s="192"/>
      <c r="C432" s="192"/>
      <c r="D432" s="192"/>
    </row>
    <row r="433">
      <c r="A433" s="112"/>
      <c r="B433" s="192"/>
      <c r="C433" s="192"/>
      <c r="D433" s="192"/>
    </row>
    <row r="434">
      <c r="A434" s="112"/>
      <c r="B434" s="192"/>
      <c r="C434" s="192"/>
      <c r="D434" s="192"/>
    </row>
    <row r="435">
      <c r="A435" s="112"/>
      <c r="B435" s="192"/>
      <c r="C435" s="192"/>
      <c r="D435" s="192"/>
    </row>
    <row r="436">
      <c r="A436" s="112"/>
      <c r="B436" s="192"/>
      <c r="C436" s="192"/>
      <c r="D436" s="192"/>
    </row>
    <row r="437">
      <c r="A437" s="112"/>
      <c r="B437" s="192"/>
      <c r="C437" s="192"/>
      <c r="D437" s="192"/>
    </row>
    <row r="438">
      <c r="A438" s="112"/>
      <c r="B438" s="192"/>
      <c r="C438" s="192"/>
      <c r="D438" s="192"/>
    </row>
    <row r="439">
      <c r="A439" s="112"/>
      <c r="B439" s="192"/>
      <c r="C439" s="192"/>
      <c r="D439" s="192"/>
    </row>
    <row r="440">
      <c r="A440" s="112"/>
      <c r="B440" s="192"/>
      <c r="C440" s="192"/>
      <c r="D440" s="192"/>
    </row>
    <row r="441">
      <c r="A441" s="112"/>
      <c r="B441" s="192"/>
      <c r="C441" s="192"/>
      <c r="D441" s="192"/>
    </row>
    <row r="442">
      <c r="A442" s="112"/>
      <c r="B442" s="192"/>
      <c r="C442" s="192"/>
      <c r="D442" s="192"/>
    </row>
    <row r="443">
      <c r="A443" s="112"/>
      <c r="B443" s="192"/>
      <c r="C443" s="192"/>
      <c r="D443" s="192"/>
    </row>
    <row r="444">
      <c r="A444" s="112"/>
      <c r="B444" s="192"/>
      <c r="C444" s="192"/>
      <c r="D444" s="192"/>
    </row>
    <row r="445">
      <c r="A445" s="112"/>
      <c r="B445" s="192"/>
      <c r="C445" s="192"/>
      <c r="D445" s="192"/>
    </row>
    <row r="446">
      <c r="A446" s="112"/>
      <c r="B446" s="192"/>
      <c r="C446" s="192"/>
      <c r="D446" s="192"/>
    </row>
    <row r="447">
      <c r="A447" s="112"/>
      <c r="B447" s="192"/>
      <c r="C447" s="192"/>
      <c r="D447" s="192"/>
    </row>
    <row r="448">
      <c r="A448" s="112"/>
      <c r="B448" s="192"/>
      <c r="C448" s="192"/>
      <c r="D448" s="192"/>
    </row>
    <row r="449">
      <c r="A449" s="112"/>
      <c r="B449" s="192"/>
      <c r="C449" s="192"/>
      <c r="D449" s="192"/>
    </row>
    <row r="450">
      <c r="A450" s="112"/>
      <c r="B450" s="192"/>
      <c r="C450" s="192"/>
      <c r="D450" s="192"/>
    </row>
    <row r="451">
      <c r="A451" s="112"/>
      <c r="B451" s="192"/>
      <c r="C451" s="192"/>
      <c r="D451" s="192"/>
    </row>
    <row r="452">
      <c r="A452" s="112"/>
      <c r="B452" s="192"/>
      <c r="C452" s="192"/>
      <c r="D452" s="192"/>
    </row>
    <row r="453">
      <c r="A453" s="112"/>
      <c r="B453" s="192"/>
      <c r="C453" s="192"/>
      <c r="D453" s="192"/>
    </row>
    <row r="454">
      <c r="A454" s="112"/>
      <c r="B454" s="192"/>
      <c r="C454" s="192"/>
      <c r="D454" s="192"/>
    </row>
    <row r="455">
      <c r="A455" s="112"/>
      <c r="B455" s="192"/>
      <c r="C455" s="192"/>
      <c r="D455" s="192"/>
    </row>
    <row r="456">
      <c r="A456" s="112"/>
      <c r="B456" s="192"/>
      <c r="C456" s="192"/>
      <c r="D456" s="192"/>
    </row>
    <row r="457">
      <c r="A457" s="112"/>
      <c r="B457" s="192"/>
      <c r="C457" s="192"/>
      <c r="D457" s="192"/>
    </row>
    <row r="458">
      <c r="A458" s="112"/>
      <c r="B458" s="192"/>
      <c r="C458" s="192"/>
      <c r="D458" s="192"/>
    </row>
    <row r="459">
      <c r="A459" s="112"/>
      <c r="B459" s="192"/>
      <c r="C459" s="192"/>
      <c r="D459" s="192"/>
    </row>
    <row r="460">
      <c r="A460" s="112"/>
      <c r="B460" s="192"/>
      <c r="C460" s="192"/>
      <c r="D460" s="192"/>
    </row>
    <row r="461">
      <c r="A461" s="112"/>
      <c r="B461" s="192"/>
      <c r="C461" s="192"/>
      <c r="D461" s="192"/>
    </row>
    <row r="462">
      <c r="A462" s="112"/>
      <c r="B462" s="192"/>
      <c r="C462" s="192"/>
      <c r="D462" s="192"/>
    </row>
    <row r="463">
      <c r="A463" s="112"/>
      <c r="B463" s="192"/>
      <c r="C463" s="192"/>
      <c r="D463" s="192"/>
    </row>
    <row r="464">
      <c r="A464" s="112"/>
      <c r="B464" s="192"/>
      <c r="C464" s="192"/>
      <c r="D464" s="192"/>
    </row>
    <row r="465">
      <c r="A465" s="112"/>
      <c r="B465" s="192"/>
      <c r="C465" s="192"/>
      <c r="D465" s="192"/>
    </row>
    <row r="466">
      <c r="A466" s="112"/>
      <c r="B466" s="192"/>
      <c r="C466" s="192"/>
      <c r="D466" s="192"/>
    </row>
    <row r="467">
      <c r="A467" s="112"/>
      <c r="B467" s="192"/>
      <c r="C467" s="192"/>
      <c r="D467" s="192"/>
    </row>
    <row r="468">
      <c r="A468" s="112"/>
      <c r="B468" s="192"/>
      <c r="C468" s="192"/>
      <c r="D468" s="192"/>
    </row>
    <row r="469">
      <c r="A469" s="112"/>
      <c r="B469" s="192"/>
      <c r="C469" s="192"/>
      <c r="D469" s="192"/>
    </row>
    <row r="470">
      <c r="A470" s="112"/>
      <c r="B470" s="192"/>
      <c r="C470" s="192"/>
      <c r="D470" s="192"/>
    </row>
    <row r="471">
      <c r="A471" s="112"/>
      <c r="B471" s="192"/>
      <c r="C471" s="192"/>
      <c r="D471" s="192"/>
    </row>
    <row r="472">
      <c r="A472" s="112"/>
      <c r="B472" s="192"/>
      <c r="C472" s="192"/>
      <c r="D472" s="192"/>
    </row>
    <row r="473">
      <c r="A473" s="112"/>
      <c r="B473" s="192"/>
      <c r="C473" s="192"/>
      <c r="D473" s="192"/>
    </row>
    <row r="474">
      <c r="A474" s="112"/>
      <c r="B474" s="192"/>
      <c r="C474" s="192"/>
      <c r="D474" s="192"/>
    </row>
    <row r="475">
      <c r="A475" s="112"/>
      <c r="B475" s="192"/>
      <c r="C475" s="192"/>
      <c r="D475" s="192"/>
    </row>
    <row r="476">
      <c r="A476" s="112"/>
      <c r="B476" s="192"/>
      <c r="C476" s="192"/>
      <c r="D476" s="192"/>
    </row>
    <row r="477">
      <c r="A477" s="112"/>
      <c r="B477" s="192"/>
      <c r="C477" s="192"/>
      <c r="D477" s="192"/>
    </row>
    <row r="478">
      <c r="A478" s="112"/>
      <c r="B478" s="192"/>
      <c r="C478" s="192"/>
      <c r="D478" s="192"/>
    </row>
    <row r="479">
      <c r="A479" s="112"/>
      <c r="B479" s="192"/>
      <c r="C479" s="192"/>
      <c r="D479" s="192"/>
    </row>
    <row r="480">
      <c r="A480" s="112"/>
      <c r="B480" s="192"/>
      <c r="C480" s="192"/>
      <c r="D480" s="192"/>
    </row>
    <row r="481">
      <c r="A481" s="112"/>
      <c r="B481" s="192"/>
      <c r="C481" s="192"/>
      <c r="D481" s="192"/>
    </row>
    <row r="482">
      <c r="A482" s="112"/>
      <c r="B482" s="192"/>
      <c r="C482" s="192"/>
      <c r="D482" s="192"/>
    </row>
    <row r="483">
      <c r="A483" s="112"/>
      <c r="B483" s="192"/>
      <c r="C483" s="192"/>
      <c r="D483" s="192"/>
    </row>
    <row r="484">
      <c r="A484" s="112"/>
      <c r="B484" s="192"/>
      <c r="C484" s="192"/>
      <c r="D484" s="192"/>
    </row>
    <row r="485">
      <c r="A485" s="112"/>
      <c r="B485" s="192"/>
      <c r="C485" s="192"/>
      <c r="D485" s="192"/>
    </row>
    <row r="486">
      <c r="A486" s="112"/>
      <c r="B486" s="192"/>
      <c r="C486" s="192"/>
      <c r="D486" s="192"/>
    </row>
    <row r="487">
      <c r="A487" s="112"/>
      <c r="B487" s="192"/>
      <c r="C487" s="192"/>
      <c r="D487" s="192"/>
    </row>
    <row r="488">
      <c r="A488" s="112"/>
      <c r="B488" s="192"/>
      <c r="C488" s="192"/>
      <c r="D488" s="192"/>
    </row>
    <row r="489">
      <c r="A489" s="112"/>
      <c r="B489" s="192"/>
      <c r="C489" s="192"/>
      <c r="D489" s="192"/>
    </row>
    <row r="490">
      <c r="A490" s="112"/>
      <c r="B490" s="192"/>
      <c r="C490" s="192"/>
      <c r="D490" s="192"/>
    </row>
    <row r="491">
      <c r="A491" s="112"/>
      <c r="B491" s="192"/>
      <c r="C491" s="192"/>
      <c r="D491" s="192"/>
    </row>
    <row r="492">
      <c r="A492" s="112"/>
      <c r="B492" s="192"/>
      <c r="C492" s="192"/>
      <c r="D492" s="192"/>
    </row>
    <row r="493">
      <c r="A493" s="112"/>
      <c r="B493" s="192"/>
      <c r="C493" s="192"/>
      <c r="D493" s="192"/>
    </row>
    <row r="494">
      <c r="A494" s="112"/>
      <c r="B494" s="192"/>
      <c r="C494" s="192"/>
      <c r="D494" s="192"/>
    </row>
    <row r="495">
      <c r="A495" s="112"/>
      <c r="B495" s="192"/>
      <c r="C495" s="192"/>
      <c r="D495" s="192"/>
    </row>
    <row r="496">
      <c r="A496" s="112"/>
      <c r="B496" s="192"/>
      <c r="C496" s="192"/>
      <c r="D496" s="192"/>
    </row>
    <row r="497">
      <c r="A497" s="112"/>
      <c r="B497" s="192"/>
      <c r="C497" s="192"/>
      <c r="D497" s="192"/>
    </row>
    <row r="498">
      <c r="A498" s="112"/>
      <c r="B498" s="192"/>
      <c r="C498" s="192"/>
      <c r="D498" s="192"/>
    </row>
    <row r="499">
      <c r="A499" s="112"/>
      <c r="B499" s="192"/>
      <c r="C499" s="192"/>
      <c r="D499" s="192"/>
    </row>
    <row r="500">
      <c r="A500" s="112"/>
      <c r="B500" s="192"/>
      <c r="C500" s="192"/>
      <c r="D500" s="192"/>
    </row>
    <row r="501">
      <c r="A501" s="112"/>
      <c r="B501" s="192"/>
      <c r="C501" s="192"/>
      <c r="D501" s="192"/>
    </row>
    <row r="502">
      <c r="A502" s="112"/>
      <c r="B502" s="192"/>
      <c r="C502" s="192"/>
      <c r="D502" s="192"/>
    </row>
    <row r="503">
      <c r="A503" s="112"/>
      <c r="B503" s="192"/>
      <c r="C503" s="192"/>
      <c r="D503" s="192"/>
    </row>
    <row r="504">
      <c r="A504" s="112"/>
      <c r="B504" s="192"/>
      <c r="C504" s="192"/>
      <c r="D504" s="192"/>
    </row>
    <row r="505">
      <c r="A505" s="112"/>
      <c r="B505" s="192"/>
      <c r="C505" s="192"/>
      <c r="D505" s="192"/>
    </row>
    <row r="506">
      <c r="A506" s="112"/>
      <c r="B506" s="192"/>
      <c r="C506" s="192"/>
      <c r="D506" s="192"/>
    </row>
    <row r="507">
      <c r="A507" s="112"/>
      <c r="B507" s="192"/>
      <c r="C507" s="192"/>
      <c r="D507" s="192"/>
    </row>
    <row r="508">
      <c r="A508" s="112"/>
      <c r="B508" s="192"/>
      <c r="C508" s="192"/>
      <c r="D508" s="192"/>
    </row>
    <row r="509">
      <c r="A509" s="112"/>
      <c r="B509" s="192"/>
      <c r="C509" s="192"/>
      <c r="D509" s="192"/>
    </row>
    <row r="510">
      <c r="A510" s="112"/>
      <c r="B510" s="192"/>
      <c r="C510" s="192"/>
      <c r="D510" s="192"/>
    </row>
    <row r="511">
      <c r="A511" s="112"/>
      <c r="B511" s="192"/>
      <c r="C511" s="192"/>
      <c r="D511" s="192"/>
    </row>
    <row r="512">
      <c r="A512" s="112"/>
      <c r="B512" s="192"/>
      <c r="C512" s="192"/>
      <c r="D512" s="192"/>
    </row>
    <row r="513">
      <c r="A513" s="112"/>
      <c r="B513" s="192"/>
      <c r="C513" s="192"/>
      <c r="D513" s="192"/>
    </row>
    <row r="514">
      <c r="A514" s="112"/>
      <c r="B514" s="192"/>
      <c r="C514" s="192"/>
      <c r="D514" s="192"/>
    </row>
    <row r="515">
      <c r="A515" s="112"/>
      <c r="B515" s="192"/>
      <c r="C515" s="192"/>
      <c r="D515" s="192"/>
    </row>
    <row r="516">
      <c r="A516" s="112"/>
      <c r="B516" s="192"/>
      <c r="C516" s="192"/>
      <c r="D516" s="192"/>
    </row>
    <row r="517">
      <c r="A517" s="112"/>
      <c r="B517" s="192"/>
      <c r="C517" s="192"/>
      <c r="D517" s="192"/>
    </row>
    <row r="518">
      <c r="A518" s="112"/>
      <c r="B518" s="192"/>
      <c r="C518" s="192"/>
      <c r="D518" s="192"/>
    </row>
    <row r="519">
      <c r="A519" s="112"/>
      <c r="B519" s="192"/>
      <c r="C519" s="192"/>
      <c r="D519" s="192"/>
    </row>
    <row r="520">
      <c r="A520" s="112"/>
      <c r="B520" s="192"/>
      <c r="C520" s="192"/>
      <c r="D520" s="192"/>
    </row>
    <row r="521">
      <c r="A521" s="112"/>
      <c r="B521" s="192"/>
      <c r="C521" s="192"/>
      <c r="D521" s="192"/>
    </row>
    <row r="522">
      <c r="A522" s="112"/>
      <c r="B522" s="192"/>
      <c r="C522" s="192"/>
      <c r="D522" s="192"/>
    </row>
    <row r="523">
      <c r="A523" s="112"/>
      <c r="B523" s="192"/>
      <c r="C523" s="192"/>
      <c r="D523" s="192"/>
    </row>
    <row r="524">
      <c r="A524" s="112"/>
      <c r="B524" s="192"/>
      <c r="C524" s="192"/>
      <c r="D524" s="192"/>
    </row>
    <row r="525">
      <c r="A525" s="112"/>
      <c r="B525" s="192"/>
      <c r="C525" s="192"/>
      <c r="D525" s="192"/>
    </row>
    <row r="526">
      <c r="A526" s="112"/>
      <c r="B526" s="192"/>
      <c r="C526" s="192"/>
      <c r="D526" s="192"/>
    </row>
    <row r="527">
      <c r="A527" s="112"/>
      <c r="B527" s="192"/>
      <c r="C527" s="192"/>
      <c r="D527" s="192"/>
    </row>
    <row r="528">
      <c r="A528" s="112"/>
      <c r="B528" s="192"/>
      <c r="C528" s="192"/>
      <c r="D528" s="192"/>
    </row>
    <row r="529">
      <c r="A529" s="112"/>
      <c r="B529" s="192"/>
      <c r="C529" s="192"/>
      <c r="D529" s="192"/>
    </row>
    <row r="530">
      <c r="A530" s="112"/>
      <c r="B530" s="192"/>
      <c r="C530" s="192"/>
      <c r="D530" s="192"/>
    </row>
    <row r="531">
      <c r="A531" s="112"/>
      <c r="B531" s="192"/>
      <c r="C531" s="192"/>
      <c r="D531" s="192"/>
    </row>
    <row r="532">
      <c r="A532" s="112"/>
      <c r="B532" s="192"/>
      <c r="C532" s="192"/>
      <c r="D532" s="192"/>
    </row>
    <row r="533">
      <c r="A533" s="112"/>
      <c r="B533" s="192"/>
      <c r="C533" s="192"/>
      <c r="D533" s="192"/>
    </row>
    <row r="534">
      <c r="A534" s="112"/>
      <c r="B534" s="192"/>
      <c r="C534" s="192"/>
      <c r="D534" s="192"/>
    </row>
    <row r="535">
      <c r="A535" s="112"/>
      <c r="B535" s="192"/>
      <c r="C535" s="192"/>
      <c r="D535" s="192"/>
    </row>
    <row r="536">
      <c r="A536" s="112"/>
      <c r="B536" s="192"/>
      <c r="C536" s="192"/>
      <c r="D536" s="192"/>
    </row>
    <row r="537">
      <c r="A537" s="112"/>
      <c r="B537" s="192"/>
      <c r="C537" s="192"/>
      <c r="D537" s="192"/>
    </row>
    <row r="538">
      <c r="A538" s="112"/>
      <c r="B538" s="192"/>
      <c r="C538" s="192"/>
      <c r="D538" s="192"/>
    </row>
    <row r="539">
      <c r="A539" s="112"/>
      <c r="B539" s="192"/>
      <c r="C539" s="192"/>
      <c r="D539" s="192"/>
    </row>
    <row r="540">
      <c r="A540" s="112"/>
      <c r="B540" s="192"/>
      <c r="C540" s="192"/>
      <c r="D540" s="192"/>
    </row>
    <row r="541">
      <c r="A541" s="112"/>
      <c r="B541" s="192"/>
      <c r="C541" s="192"/>
      <c r="D541" s="192"/>
    </row>
    <row r="542">
      <c r="A542" s="112"/>
      <c r="B542" s="192"/>
      <c r="C542" s="192"/>
      <c r="D542" s="192"/>
    </row>
    <row r="543">
      <c r="A543" s="112"/>
      <c r="B543" s="192"/>
      <c r="C543" s="192"/>
      <c r="D543" s="192"/>
    </row>
    <row r="544">
      <c r="A544" s="112"/>
      <c r="B544" s="192"/>
      <c r="C544" s="192"/>
      <c r="D544" s="192"/>
    </row>
    <row r="545">
      <c r="A545" s="112"/>
      <c r="B545" s="192"/>
      <c r="C545" s="192"/>
      <c r="D545" s="192"/>
    </row>
    <row r="546">
      <c r="A546" s="112"/>
      <c r="B546" s="192"/>
      <c r="C546" s="192"/>
      <c r="D546" s="192"/>
    </row>
    <row r="547">
      <c r="A547" s="112"/>
      <c r="B547" s="192"/>
      <c r="C547" s="192"/>
      <c r="D547" s="192"/>
    </row>
    <row r="548">
      <c r="A548" s="112"/>
      <c r="B548" s="192"/>
      <c r="C548" s="192"/>
      <c r="D548" s="192"/>
    </row>
    <row r="549">
      <c r="A549" s="112"/>
      <c r="B549" s="192"/>
      <c r="C549" s="192"/>
      <c r="D549" s="192"/>
    </row>
    <row r="550">
      <c r="A550" s="112"/>
      <c r="B550" s="192"/>
      <c r="C550" s="192"/>
      <c r="D550" s="192"/>
    </row>
    <row r="551">
      <c r="A551" s="112"/>
      <c r="B551" s="192"/>
      <c r="C551" s="192"/>
      <c r="D551" s="192"/>
    </row>
    <row r="552">
      <c r="A552" s="112"/>
      <c r="B552" s="192"/>
      <c r="C552" s="192"/>
      <c r="D552" s="192"/>
    </row>
    <row r="553">
      <c r="A553" s="112"/>
      <c r="B553" s="192"/>
      <c r="C553" s="192"/>
      <c r="D553" s="192"/>
    </row>
    <row r="554">
      <c r="A554" s="112"/>
      <c r="B554" s="192"/>
      <c r="C554" s="192"/>
      <c r="D554" s="192"/>
    </row>
    <row r="555">
      <c r="A555" s="112"/>
      <c r="B555" s="192"/>
      <c r="C555" s="192"/>
      <c r="D555" s="192"/>
    </row>
    <row r="556">
      <c r="A556" s="112"/>
      <c r="B556" s="192"/>
      <c r="C556" s="192"/>
      <c r="D556" s="192"/>
    </row>
    <row r="557">
      <c r="A557" s="112"/>
      <c r="B557" s="192"/>
      <c r="C557" s="192"/>
      <c r="D557" s="192"/>
    </row>
    <row r="558">
      <c r="A558" s="112"/>
      <c r="B558" s="192"/>
      <c r="C558" s="192"/>
      <c r="D558" s="192"/>
    </row>
    <row r="559">
      <c r="A559" s="112"/>
      <c r="B559" s="192"/>
      <c r="C559" s="192"/>
      <c r="D559" s="192"/>
    </row>
    <row r="560">
      <c r="A560" s="112"/>
      <c r="B560" s="192"/>
      <c r="C560" s="192"/>
      <c r="D560" s="192"/>
    </row>
    <row r="561">
      <c r="A561" s="112"/>
      <c r="B561" s="192"/>
      <c r="C561" s="192"/>
      <c r="D561" s="192"/>
    </row>
    <row r="562">
      <c r="A562" s="112"/>
      <c r="B562" s="192"/>
      <c r="C562" s="192"/>
      <c r="D562" s="192"/>
    </row>
    <row r="563">
      <c r="A563" s="112"/>
      <c r="B563" s="192"/>
      <c r="C563" s="192"/>
      <c r="D563" s="192"/>
    </row>
    <row r="564">
      <c r="A564" s="112"/>
      <c r="B564" s="192"/>
      <c r="C564" s="192"/>
      <c r="D564" s="192"/>
    </row>
    <row r="565">
      <c r="A565" s="112"/>
      <c r="B565" s="192"/>
      <c r="C565" s="192"/>
      <c r="D565" s="192"/>
    </row>
    <row r="566">
      <c r="A566" s="112"/>
      <c r="B566" s="192"/>
      <c r="C566" s="192"/>
      <c r="D566" s="192"/>
    </row>
    <row r="567">
      <c r="A567" s="112"/>
      <c r="B567" s="192"/>
      <c r="C567" s="192"/>
      <c r="D567" s="192"/>
    </row>
    <row r="568">
      <c r="A568" s="112"/>
      <c r="B568" s="192"/>
      <c r="C568" s="192"/>
      <c r="D568" s="192"/>
    </row>
    <row r="569">
      <c r="A569" s="112"/>
      <c r="B569" s="192"/>
      <c r="C569" s="192"/>
      <c r="D569" s="192"/>
    </row>
    <row r="570">
      <c r="A570" s="112"/>
      <c r="B570" s="192"/>
      <c r="C570" s="192"/>
      <c r="D570" s="192"/>
    </row>
    <row r="571">
      <c r="A571" s="112"/>
      <c r="B571" s="192"/>
      <c r="C571" s="192"/>
      <c r="D571" s="192"/>
    </row>
    <row r="572">
      <c r="A572" s="112"/>
      <c r="B572" s="192"/>
      <c r="C572" s="192"/>
      <c r="D572" s="192"/>
    </row>
    <row r="573">
      <c r="A573" s="112"/>
      <c r="B573" s="192"/>
      <c r="C573" s="192"/>
      <c r="D573" s="192"/>
    </row>
    <row r="574">
      <c r="A574" s="112"/>
      <c r="B574" s="192"/>
      <c r="C574" s="192"/>
      <c r="D574" s="192"/>
    </row>
    <row r="575">
      <c r="A575" s="112"/>
      <c r="B575" s="192"/>
      <c r="C575" s="192"/>
      <c r="D575" s="192"/>
    </row>
    <row r="576">
      <c r="A576" s="112"/>
      <c r="B576" s="192"/>
      <c r="C576" s="192"/>
      <c r="D576" s="192"/>
    </row>
    <row r="577">
      <c r="A577" s="112"/>
      <c r="B577" s="192"/>
      <c r="C577" s="192"/>
      <c r="D577" s="192"/>
    </row>
    <row r="578">
      <c r="A578" s="112"/>
      <c r="B578" s="192"/>
      <c r="C578" s="192"/>
      <c r="D578" s="192"/>
    </row>
    <row r="579">
      <c r="A579" s="112"/>
      <c r="B579" s="192"/>
      <c r="C579" s="192"/>
      <c r="D579" s="192"/>
    </row>
    <row r="580">
      <c r="A580" s="112"/>
      <c r="B580" s="192"/>
      <c r="C580" s="192"/>
      <c r="D580" s="192"/>
    </row>
    <row r="581">
      <c r="A581" s="112"/>
      <c r="B581" s="192"/>
      <c r="C581" s="192"/>
      <c r="D581" s="192"/>
    </row>
    <row r="582">
      <c r="A582" s="112"/>
      <c r="B582" s="192"/>
      <c r="C582" s="192"/>
      <c r="D582" s="192"/>
    </row>
    <row r="583">
      <c r="A583" s="112"/>
      <c r="B583" s="192"/>
      <c r="C583" s="192"/>
      <c r="D583" s="192"/>
    </row>
    <row r="584">
      <c r="A584" s="112"/>
      <c r="B584" s="192"/>
      <c r="C584" s="192"/>
      <c r="D584" s="192"/>
    </row>
    <row r="585">
      <c r="A585" s="112"/>
      <c r="B585" s="192"/>
      <c r="C585" s="192"/>
      <c r="D585" s="192"/>
    </row>
    <row r="586">
      <c r="A586" s="112"/>
      <c r="B586" s="192"/>
      <c r="C586" s="192"/>
      <c r="D586" s="192"/>
    </row>
    <row r="587">
      <c r="A587" s="112"/>
      <c r="B587" s="192"/>
      <c r="C587" s="192"/>
      <c r="D587" s="192"/>
    </row>
    <row r="588">
      <c r="A588" s="112"/>
      <c r="B588" s="192"/>
      <c r="C588" s="192"/>
      <c r="D588" s="192"/>
    </row>
    <row r="589">
      <c r="A589" s="112"/>
      <c r="B589" s="192"/>
      <c r="C589" s="192"/>
      <c r="D589" s="192"/>
    </row>
    <row r="590">
      <c r="A590" s="112"/>
      <c r="B590" s="192"/>
      <c r="C590" s="192"/>
      <c r="D590" s="192"/>
    </row>
    <row r="591">
      <c r="A591" s="112"/>
      <c r="B591" s="192"/>
      <c r="C591" s="192"/>
      <c r="D591" s="192"/>
    </row>
    <row r="592">
      <c r="A592" s="112"/>
      <c r="B592" s="192"/>
      <c r="C592" s="192"/>
      <c r="D592" s="192"/>
    </row>
    <row r="593">
      <c r="A593" s="112"/>
      <c r="B593" s="192"/>
      <c r="C593" s="192"/>
      <c r="D593" s="192"/>
    </row>
    <row r="594">
      <c r="A594" s="112"/>
      <c r="B594" s="192"/>
      <c r="C594" s="192"/>
      <c r="D594" s="192"/>
    </row>
    <row r="595">
      <c r="A595" s="112"/>
      <c r="B595" s="192"/>
      <c r="C595" s="192"/>
      <c r="D595" s="192"/>
    </row>
    <row r="596">
      <c r="A596" s="112"/>
      <c r="B596" s="192"/>
      <c r="C596" s="192"/>
      <c r="D596" s="192"/>
    </row>
    <row r="597">
      <c r="A597" s="112"/>
      <c r="B597" s="192"/>
      <c r="C597" s="192"/>
      <c r="D597" s="192"/>
    </row>
    <row r="598">
      <c r="A598" s="112"/>
      <c r="B598" s="192"/>
      <c r="C598" s="192"/>
      <c r="D598" s="192"/>
    </row>
    <row r="599">
      <c r="A599" s="112"/>
      <c r="B599" s="192"/>
      <c r="C599" s="192"/>
      <c r="D599" s="192"/>
    </row>
    <row r="600">
      <c r="A600" s="112"/>
      <c r="B600" s="192"/>
      <c r="C600" s="192"/>
      <c r="D600" s="192"/>
    </row>
    <row r="601">
      <c r="A601" s="112"/>
      <c r="B601" s="192"/>
      <c r="C601" s="192"/>
      <c r="D601" s="192"/>
    </row>
    <row r="602">
      <c r="A602" s="112"/>
      <c r="B602" s="192"/>
      <c r="C602" s="192"/>
      <c r="D602" s="192"/>
    </row>
    <row r="603">
      <c r="A603" s="112"/>
      <c r="B603" s="192"/>
      <c r="C603" s="192"/>
      <c r="D603" s="192"/>
    </row>
    <row r="604">
      <c r="A604" s="112"/>
      <c r="B604" s="192"/>
      <c r="C604" s="192"/>
      <c r="D604" s="192"/>
    </row>
    <row r="605">
      <c r="A605" s="112"/>
      <c r="B605" s="192"/>
      <c r="C605" s="192"/>
      <c r="D605" s="192"/>
    </row>
    <row r="606">
      <c r="A606" s="112"/>
      <c r="B606" s="192"/>
      <c r="C606" s="192"/>
      <c r="D606" s="192"/>
    </row>
    <row r="607">
      <c r="A607" s="112"/>
      <c r="B607" s="192"/>
      <c r="C607" s="192"/>
      <c r="D607" s="192"/>
    </row>
    <row r="608">
      <c r="A608" s="112"/>
      <c r="B608" s="192"/>
      <c r="C608" s="192"/>
      <c r="D608" s="192"/>
    </row>
    <row r="609">
      <c r="A609" s="112"/>
      <c r="B609" s="192"/>
      <c r="C609" s="192"/>
      <c r="D609" s="192"/>
    </row>
    <row r="610">
      <c r="A610" s="112"/>
      <c r="B610" s="192"/>
      <c r="C610" s="192"/>
      <c r="D610" s="192"/>
    </row>
    <row r="611">
      <c r="A611" s="112"/>
      <c r="B611" s="192"/>
      <c r="C611" s="192"/>
      <c r="D611" s="192"/>
    </row>
    <row r="612">
      <c r="A612" s="112"/>
      <c r="B612" s="192"/>
      <c r="C612" s="192"/>
      <c r="D612" s="192"/>
    </row>
    <row r="613">
      <c r="A613" s="112"/>
      <c r="B613" s="192"/>
      <c r="C613" s="192"/>
      <c r="D613" s="192"/>
    </row>
    <row r="614">
      <c r="A614" s="112"/>
      <c r="B614" s="192"/>
      <c r="C614" s="192"/>
      <c r="D614" s="192"/>
    </row>
    <row r="615">
      <c r="A615" s="112"/>
      <c r="B615" s="192"/>
      <c r="C615" s="192"/>
      <c r="D615" s="192"/>
    </row>
    <row r="616">
      <c r="A616" s="112"/>
      <c r="B616" s="192"/>
      <c r="C616" s="192"/>
      <c r="D616" s="192"/>
    </row>
    <row r="617">
      <c r="A617" s="112"/>
      <c r="B617" s="192"/>
      <c r="C617" s="192"/>
      <c r="D617" s="192"/>
    </row>
    <row r="618">
      <c r="A618" s="112"/>
      <c r="B618" s="192"/>
      <c r="C618" s="192"/>
      <c r="D618" s="192"/>
    </row>
    <row r="619">
      <c r="A619" s="112"/>
      <c r="B619" s="192"/>
      <c r="C619" s="192"/>
      <c r="D619" s="192"/>
    </row>
    <row r="620">
      <c r="A620" s="112"/>
      <c r="B620" s="192"/>
      <c r="C620" s="192"/>
      <c r="D620" s="192"/>
    </row>
    <row r="621">
      <c r="A621" s="112"/>
      <c r="B621" s="192"/>
      <c r="C621" s="192"/>
      <c r="D621" s="192"/>
    </row>
    <row r="622">
      <c r="A622" s="112"/>
      <c r="B622" s="192"/>
      <c r="C622" s="192"/>
      <c r="D622" s="192"/>
    </row>
    <row r="623">
      <c r="A623" s="112"/>
      <c r="B623" s="192"/>
      <c r="C623" s="192"/>
      <c r="D623" s="192"/>
    </row>
    <row r="624">
      <c r="A624" s="112"/>
      <c r="B624" s="192"/>
      <c r="C624" s="192"/>
      <c r="D624" s="192"/>
    </row>
    <row r="625">
      <c r="A625" s="112"/>
      <c r="B625" s="192"/>
      <c r="C625" s="192"/>
      <c r="D625" s="192"/>
    </row>
    <row r="626">
      <c r="A626" s="112"/>
      <c r="B626" s="192"/>
      <c r="C626" s="192"/>
      <c r="D626" s="192"/>
    </row>
    <row r="627">
      <c r="A627" s="112"/>
      <c r="B627" s="192"/>
      <c r="C627" s="192"/>
      <c r="D627" s="192"/>
    </row>
    <row r="628">
      <c r="A628" s="112"/>
      <c r="B628" s="192"/>
      <c r="C628" s="192"/>
      <c r="D628" s="192"/>
    </row>
    <row r="629">
      <c r="A629" s="112"/>
      <c r="B629" s="192"/>
      <c r="C629" s="192"/>
      <c r="D629" s="192"/>
    </row>
    <row r="630">
      <c r="A630" s="112"/>
      <c r="B630" s="192"/>
      <c r="C630" s="192"/>
      <c r="D630" s="192"/>
    </row>
    <row r="631">
      <c r="A631" s="112"/>
      <c r="B631" s="192"/>
      <c r="C631" s="192"/>
      <c r="D631" s="192"/>
    </row>
    <row r="632">
      <c r="A632" s="112"/>
      <c r="B632" s="192"/>
      <c r="C632" s="192"/>
      <c r="D632" s="192"/>
    </row>
    <row r="633">
      <c r="A633" s="112"/>
      <c r="B633" s="192"/>
      <c r="C633" s="192"/>
      <c r="D633" s="192"/>
    </row>
    <row r="634">
      <c r="A634" s="112"/>
      <c r="B634" s="192"/>
      <c r="C634" s="192"/>
      <c r="D634" s="192"/>
    </row>
    <row r="635">
      <c r="A635" s="112"/>
      <c r="B635" s="192"/>
      <c r="C635" s="192"/>
      <c r="D635" s="192"/>
    </row>
    <row r="636">
      <c r="A636" s="112"/>
      <c r="B636" s="192"/>
      <c r="C636" s="192"/>
      <c r="D636" s="192"/>
    </row>
    <row r="637">
      <c r="A637" s="112"/>
      <c r="B637" s="192"/>
      <c r="C637" s="192"/>
      <c r="D637" s="192"/>
    </row>
    <row r="638">
      <c r="A638" s="112"/>
      <c r="B638" s="192"/>
      <c r="C638" s="192"/>
      <c r="D638" s="192"/>
    </row>
    <row r="639">
      <c r="A639" s="112"/>
      <c r="B639" s="192"/>
      <c r="C639" s="192"/>
      <c r="D639" s="192"/>
    </row>
    <row r="640">
      <c r="A640" s="112"/>
      <c r="B640" s="192"/>
      <c r="C640" s="192"/>
      <c r="D640" s="192"/>
    </row>
    <row r="641">
      <c r="A641" s="112"/>
      <c r="B641" s="192"/>
      <c r="C641" s="192"/>
      <c r="D641" s="192"/>
    </row>
    <row r="642">
      <c r="A642" s="112"/>
      <c r="B642" s="192"/>
      <c r="C642" s="192"/>
      <c r="D642" s="192"/>
    </row>
    <row r="643">
      <c r="A643" s="112"/>
      <c r="B643" s="192"/>
      <c r="C643" s="192"/>
      <c r="D643" s="192"/>
    </row>
    <row r="644">
      <c r="A644" s="112"/>
      <c r="B644" s="192"/>
      <c r="C644" s="192"/>
      <c r="D644" s="192"/>
    </row>
    <row r="645">
      <c r="A645" s="112"/>
      <c r="B645" s="192"/>
      <c r="C645" s="192"/>
      <c r="D645" s="192"/>
    </row>
    <row r="646">
      <c r="A646" s="112"/>
      <c r="B646" s="192"/>
      <c r="C646" s="192"/>
      <c r="D646" s="192"/>
    </row>
    <row r="647">
      <c r="A647" s="112"/>
      <c r="B647" s="192"/>
      <c r="C647" s="192"/>
      <c r="D647" s="192"/>
    </row>
    <row r="648">
      <c r="A648" s="112"/>
      <c r="B648" s="192"/>
      <c r="C648" s="192"/>
      <c r="D648" s="192"/>
    </row>
    <row r="649">
      <c r="A649" s="112"/>
      <c r="B649" s="192"/>
      <c r="C649" s="192"/>
      <c r="D649" s="192"/>
    </row>
    <row r="650">
      <c r="A650" s="112"/>
      <c r="B650" s="192"/>
      <c r="C650" s="192"/>
      <c r="D650" s="192"/>
    </row>
    <row r="651">
      <c r="A651" s="112"/>
      <c r="B651" s="192"/>
      <c r="C651" s="192"/>
      <c r="D651" s="192"/>
    </row>
    <row r="652">
      <c r="A652" s="112"/>
      <c r="B652" s="192"/>
      <c r="C652" s="192"/>
      <c r="D652" s="192"/>
    </row>
    <row r="653">
      <c r="A653" s="112"/>
      <c r="B653" s="192"/>
      <c r="C653" s="192"/>
      <c r="D653" s="192"/>
    </row>
    <row r="654">
      <c r="A654" s="112"/>
      <c r="B654" s="192"/>
      <c r="C654" s="192"/>
      <c r="D654" s="192"/>
    </row>
    <row r="655">
      <c r="A655" s="112"/>
      <c r="B655" s="192"/>
      <c r="C655" s="192"/>
      <c r="D655" s="192"/>
    </row>
    <row r="656">
      <c r="A656" s="112"/>
      <c r="B656" s="192"/>
      <c r="C656" s="192"/>
      <c r="D656" s="192"/>
    </row>
    <row r="657">
      <c r="A657" s="112"/>
      <c r="B657" s="192"/>
      <c r="C657" s="192"/>
      <c r="D657" s="192"/>
    </row>
    <row r="658">
      <c r="A658" s="112"/>
      <c r="B658" s="192"/>
      <c r="C658" s="192"/>
      <c r="D658" s="192"/>
    </row>
    <row r="659">
      <c r="A659" s="112"/>
      <c r="B659" s="192"/>
      <c r="C659" s="192"/>
      <c r="D659" s="192"/>
    </row>
    <row r="660">
      <c r="A660" s="112"/>
      <c r="B660" s="192"/>
      <c r="C660" s="192"/>
      <c r="D660" s="192"/>
    </row>
    <row r="661">
      <c r="A661" s="112"/>
      <c r="B661" s="192"/>
      <c r="C661" s="192"/>
      <c r="D661" s="192"/>
    </row>
    <row r="662">
      <c r="A662" s="112"/>
      <c r="B662" s="192"/>
      <c r="C662" s="192"/>
      <c r="D662" s="192"/>
    </row>
    <row r="663">
      <c r="A663" s="112"/>
      <c r="B663" s="192"/>
      <c r="C663" s="192"/>
      <c r="D663" s="192"/>
    </row>
    <row r="664">
      <c r="A664" s="112"/>
      <c r="B664" s="192"/>
      <c r="C664" s="192"/>
      <c r="D664" s="192"/>
    </row>
    <row r="665">
      <c r="A665" s="112"/>
      <c r="B665" s="192"/>
      <c r="C665" s="192"/>
      <c r="D665" s="192"/>
    </row>
    <row r="666">
      <c r="A666" s="112"/>
      <c r="B666" s="192"/>
      <c r="C666" s="192"/>
      <c r="D666" s="192"/>
    </row>
    <row r="667">
      <c r="A667" s="112"/>
      <c r="B667" s="192"/>
      <c r="C667" s="192"/>
      <c r="D667" s="192"/>
    </row>
    <row r="668">
      <c r="A668" s="112"/>
      <c r="B668" s="192"/>
      <c r="C668" s="192"/>
      <c r="D668" s="192"/>
    </row>
    <row r="669">
      <c r="A669" s="112"/>
      <c r="B669" s="192"/>
      <c r="C669" s="192"/>
      <c r="D669" s="192"/>
    </row>
    <row r="670">
      <c r="A670" s="112"/>
      <c r="B670" s="192"/>
      <c r="C670" s="192"/>
      <c r="D670" s="192"/>
    </row>
    <row r="671">
      <c r="A671" s="112"/>
      <c r="B671" s="192"/>
      <c r="C671" s="192"/>
      <c r="D671" s="192"/>
    </row>
    <row r="672">
      <c r="A672" s="112"/>
      <c r="B672" s="192"/>
      <c r="C672" s="192"/>
      <c r="D672" s="192"/>
    </row>
    <row r="673">
      <c r="A673" s="112"/>
      <c r="B673" s="192"/>
      <c r="C673" s="192"/>
      <c r="D673" s="192"/>
    </row>
    <row r="674">
      <c r="A674" s="112"/>
      <c r="B674" s="192"/>
      <c r="C674" s="192"/>
      <c r="D674" s="192"/>
    </row>
    <row r="675">
      <c r="A675" s="112"/>
      <c r="B675" s="192"/>
      <c r="C675" s="192"/>
      <c r="D675" s="192"/>
    </row>
    <row r="676">
      <c r="A676" s="112"/>
      <c r="B676" s="192"/>
      <c r="C676" s="192"/>
      <c r="D676" s="192"/>
    </row>
    <row r="677">
      <c r="A677" s="112"/>
      <c r="B677" s="192"/>
      <c r="C677" s="192"/>
      <c r="D677" s="192"/>
    </row>
    <row r="678">
      <c r="A678" s="112"/>
      <c r="B678" s="192"/>
      <c r="C678" s="192"/>
      <c r="D678" s="192"/>
    </row>
    <row r="679">
      <c r="A679" s="112"/>
      <c r="B679" s="192"/>
      <c r="C679" s="192"/>
      <c r="D679" s="192"/>
    </row>
    <row r="680">
      <c r="A680" s="112"/>
      <c r="B680" s="192"/>
      <c r="C680" s="192"/>
      <c r="D680" s="192"/>
    </row>
    <row r="681">
      <c r="A681" s="112"/>
      <c r="B681" s="192"/>
      <c r="C681" s="192"/>
      <c r="D681" s="192"/>
    </row>
    <row r="682">
      <c r="A682" s="112"/>
      <c r="B682" s="192"/>
      <c r="C682" s="192"/>
      <c r="D682" s="192"/>
    </row>
    <row r="683">
      <c r="A683" s="112"/>
      <c r="B683" s="192"/>
      <c r="C683" s="192"/>
      <c r="D683" s="192"/>
    </row>
    <row r="684">
      <c r="A684" s="112"/>
      <c r="B684" s="192"/>
      <c r="C684" s="192"/>
      <c r="D684" s="192"/>
    </row>
    <row r="685">
      <c r="A685" s="112"/>
      <c r="B685" s="192"/>
      <c r="C685" s="192"/>
      <c r="D685" s="192"/>
    </row>
    <row r="686">
      <c r="A686" s="112"/>
      <c r="B686" s="192"/>
      <c r="C686" s="192"/>
      <c r="D686" s="192"/>
    </row>
    <row r="687">
      <c r="A687" s="112"/>
      <c r="B687" s="192"/>
      <c r="C687" s="192"/>
      <c r="D687" s="192"/>
    </row>
    <row r="688">
      <c r="A688" s="112"/>
      <c r="B688" s="192"/>
      <c r="C688" s="192"/>
      <c r="D688" s="192"/>
    </row>
    <row r="689">
      <c r="A689" s="112"/>
      <c r="B689" s="192"/>
      <c r="C689" s="192"/>
      <c r="D689" s="192"/>
    </row>
    <row r="690">
      <c r="A690" s="112"/>
      <c r="B690" s="192"/>
      <c r="C690" s="192"/>
      <c r="D690" s="192"/>
    </row>
    <row r="691">
      <c r="A691" s="112"/>
      <c r="B691" s="192"/>
      <c r="C691" s="192"/>
      <c r="D691" s="192"/>
    </row>
    <row r="692">
      <c r="A692" s="112"/>
      <c r="B692" s="192"/>
      <c r="C692" s="192"/>
      <c r="D692" s="192"/>
    </row>
    <row r="693">
      <c r="A693" s="112"/>
      <c r="B693" s="192"/>
      <c r="C693" s="192"/>
      <c r="D693" s="192"/>
    </row>
    <row r="694">
      <c r="A694" s="112"/>
      <c r="B694" s="192"/>
      <c r="C694" s="192"/>
      <c r="D694" s="192"/>
    </row>
    <row r="695">
      <c r="A695" s="112"/>
      <c r="B695" s="192"/>
      <c r="C695" s="192"/>
      <c r="D695" s="192"/>
    </row>
    <row r="696">
      <c r="A696" s="112"/>
      <c r="B696" s="192"/>
      <c r="C696" s="192"/>
      <c r="D696" s="192"/>
    </row>
    <row r="697">
      <c r="A697" s="112"/>
      <c r="B697" s="192"/>
      <c r="C697" s="192"/>
      <c r="D697" s="192"/>
    </row>
    <row r="698">
      <c r="A698" s="112"/>
      <c r="B698" s="192"/>
      <c r="C698" s="192"/>
      <c r="D698" s="192"/>
    </row>
    <row r="699">
      <c r="A699" s="112"/>
      <c r="B699" s="192"/>
      <c r="C699" s="192"/>
      <c r="D699" s="192"/>
    </row>
    <row r="700">
      <c r="A700" s="112"/>
      <c r="B700" s="192"/>
      <c r="C700" s="192"/>
      <c r="D700" s="192"/>
    </row>
    <row r="701">
      <c r="A701" s="112"/>
      <c r="B701" s="192"/>
      <c r="C701" s="192"/>
      <c r="D701" s="192"/>
    </row>
    <row r="702">
      <c r="A702" s="112"/>
      <c r="B702" s="192"/>
      <c r="C702" s="192"/>
      <c r="D702" s="192"/>
    </row>
    <row r="703">
      <c r="A703" s="112"/>
      <c r="B703" s="192"/>
      <c r="C703" s="192"/>
      <c r="D703" s="192"/>
    </row>
    <row r="704">
      <c r="A704" s="112"/>
      <c r="B704" s="192"/>
      <c r="C704" s="192"/>
      <c r="D704" s="192"/>
    </row>
    <row r="705">
      <c r="A705" s="112"/>
      <c r="B705" s="192"/>
      <c r="C705" s="192"/>
      <c r="D705" s="192"/>
    </row>
    <row r="706">
      <c r="A706" s="112"/>
      <c r="B706" s="192"/>
      <c r="C706" s="192"/>
      <c r="D706" s="192"/>
    </row>
    <row r="707">
      <c r="A707" s="112"/>
      <c r="B707" s="192"/>
      <c r="C707" s="192"/>
      <c r="D707" s="192"/>
    </row>
    <row r="708">
      <c r="A708" s="112"/>
      <c r="B708" s="192"/>
      <c r="C708" s="192"/>
      <c r="D708" s="192"/>
    </row>
    <row r="709">
      <c r="A709" s="112"/>
      <c r="B709" s="192"/>
      <c r="C709" s="192"/>
      <c r="D709" s="192"/>
    </row>
    <row r="710">
      <c r="A710" s="112"/>
      <c r="B710" s="192"/>
      <c r="C710" s="192"/>
      <c r="D710" s="192"/>
    </row>
    <row r="711">
      <c r="A711" s="112"/>
      <c r="B711" s="192"/>
      <c r="C711" s="192"/>
      <c r="D711" s="192"/>
    </row>
    <row r="712">
      <c r="A712" s="112"/>
      <c r="B712" s="192"/>
      <c r="C712" s="192"/>
      <c r="D712" s="192"/>
    </row>
    <row r="713">
      <c r="A713" s="112"/>
      <c r="B713" s="192"/>
      <c r="C713" s="192"/>
      <c r="D713" s="192"/>
    </row>
    <row r="714">
      <c r="A714" s="112"/>
      <c r="B714" s="192"/>
      <c r="C714" s="192"/>
      <c r="D714" s="192"/>
    </row>
    <row r="715">
      <c r="A715" s="112"/>
      <c r="B715" s="192"/>
      <c r="C715" s="192"/>
      <c r="D715" s="192"/>
    </row>
    <row r="716">
      <c r="A716" s="112"/>
      <c r="B716" s="192"/>
      <c r="C716" s="192"/>
      <c r="D716" s="192"/>
    </row>
    <row r="717">
      <c r="A717" s="112"/>
      <c r="B717" s="192"/>
      <c r="C717" s="192"/>
      <c r="D717" s="192"/>
    </row>
    <row r="718">
      <c r="A718" s="112"/>
      <c r="B718" s="192"/>
      <c r="C718" s="192"/>
      <c r="D718" s="192"/>
    </row>
    <row r="719">
      <c r="A719" s="112"/>
      <c r="B719" s="192"/>
      <c r="C719" s="192"/>
      <c r="D719" s="192"/>
    </row>
    <row r="720">
      <c r="A720" s="112"/>
      <c r="B720" s="192"/>
      <c r="C720" s="192"/>
      <c r="D720" s="192"/>
    </row>
    <row r="721">
      <c r="A721" s="112"/>
      <c r="B721" s="192"/>
      <c r="C721" s="192"/>
      <c r="D721" s="192"/>
    </row>
    <row r="722">
      <c r="A722" s="112"/>
      <c r="B722" s="192"/>
      <c r="C722" s="192"/>
      <c r="D722" s="192"/>
    </row>
    <row r="723">
      <c r="A723" s="112"/>
      <c r="B723" s="192"/>
      <c r="C723" s="192"/>
      <c r="D723" s="192"/>
    </row>
    <row r="724">
      <c r="A724" s="112"/>
      <c r="B724" s="192"/>
      <c r="C724" s="192"/>
      <c r="D724" s="192"/>
    </row>
    <row r="725">
      <c r="A725" s="112"/>
      <c r="B725" s="192"/>
      <c r="C725" s="192"/>
      <c r="D725" s="192"/>
    </row>
    <row r="726">
      <c r="A726" s="112"/>
      <c r="B726" s="192"/>
      <c r="C726" s="192"/>
      <c r="D726" s="192"/>
    </row>
    <row r="727">
      <c r="A727" s="112"/>
      <c r="B727" s="192"/>
      <c r="C727" s="192"/>
      <c r="D727" s="192"/>
    </row>
    <row r="728">
      <c r="A728" s="112"/>
      <c r="B728" s="192"/>
      <c r="C728" s="192"/>
      <c r="D728" s="192"/>
    </row>
    <row r="729">
      <c r="A729" s="112"/>
      <c r="B729" s="192"/>
      <c r="C729" s="192"/>
      <c r="D729" s="192"/>
    </row>
    <row r="730">
      <c r="A730" s="112"/>
      <c r="B730" s="192"/>
      <c r="C730" s="192"/>
      <c r="D730" s="192"/>
    </row>
    <row r="731">
      <c r="A731" s="112"/>
      <c r="B731" s="192"/>
      <c r="C731" s="192"/>
      <c r="D731" s="192"/>
    </row>
    <row r="732">
      <c r="A732" s="112"/>
      <c r="B732" s="192"/>
      <c r="C732" s="192"/>
      <c r="D732" s="192"/>
    </row>
    <row r="733">
      <c r="A733" s="112"/>
      <c r="B733" s="192"/>
      <c r="C733" s="192"/>
      <c r="D733" s="192"/>
    </row>
    <row r="734">
      <c r="A734" s="112"/>
      <c r="B734" s="192"/>
      <c r="C734" s="192"/>
      <c r="D734" s="192"/>
    </row>
    <row r="735">
      <c r="A735" s="112"/>
      <c r="B735" s="192"/>
      <c r="C735" s="192"/>
      <c r="D735" s="192"/>
    </row>
    <row r="736">
      <c r="A736" s="112"/>
      <c r="B736" s="192"/>
      <c r="C736" s="192"/>
      <c r="D736" s="192"/>
    </row>
    <row r="737">
      <c r="A737" s="112"/>
      <c r="B737" s="192"/>
      <c r="C737" s="192"/>
      <c r="D737" s="192"/>
    </row>
    <row r="738">
      <c r="A738" s="112"/>
      <c r="B738" s="192"/>
      <c r="C738" s="192"/>
      <c r="D738" s="192"/>
    </row>
    <row r="739">
      <c r="A739" s="112"/>
      <c r="B739" s="192"/>
      <c r="C739" s="192"/>
      <c r="D739" s="192"/>
    </row>
    <row r="740">
      <c r="A740" s="112"/>
      <c r="B740" s="192"/>
      <c r="C740" s="192"/>
      <c r="D740" s="192"/>
    </row>
    <row r="741">
      <c r="A741" s="112"/>
      <c r="B741" s="192"/>
      <c r="C741" s="192"/>
      <c r="D741" s="192"/>
    </row>
    <row r="742">
      <c r="A742" s="112"/>
      <c r="B742" s="192"/>
      <c r="C742" s="192"/>
      <c r="D742" s="192"/>
    </row>
    <row r="743">
      <c r="A743" s="112"/>
      <c r="B743" s="192"/>
      <c r="C743" s="192"/>
      <c r="D743" s="192"/>
    </row>
    <row r="744">
      <c r="A744" s="112"/>
      <c r="B744" s="192"/>
      <c r="C744" s="192"/>
      <c r="D744" s="192"/>
    </row>
    <row r="745">
      <c r="A745" s="112"/>
      <c r="B745" s="192"/>
      <c r="C745" s="192"/>
      <c r="D745" s="192"/>
    </row>
    <row r="746">
      <c r="A746" s="112"/>
      <c r="B746" s="192"/>
      <c r="C746" s="192"/>
      <c r="D746" s="192"/>
    </row>
    <row r="747">
      <c r="A747" s="112"/>
      <c r="B747" s="192"/>
      <c r="C747" s="192"/>
      <c r="D747" s="192"/>
    </row>
    <row r="748">
      <c r="A748" s="112"/>
      <c r="B748" s="192"/>
      <c r="C748" s="192"/>
      <c r="D748" s="192"/>
    </row>
    <row r="749">
      <c r="A749" s="112"/>
      <c r="B749" s="192"/>
      <c r="C749" s="192"/>
      <c r="D749" s="192"/>
    </row>
    <row r="750">
      <c r="A750" s="112"/>
      <c r="B750" s="192"/>
      <c r="C750" s="192"/>
      <c r="D750" s="192"/>
    </row>
    <row r="751">
      <c r="A751" s="112"/>
      <c r="B751" s="192"/>
      <c r="C751" s="192"/>
      <c r="D751" s="192"/>
    </row>
    <row r="752">
      <c r="A752" s="112"/>
      <c r="B752" s="192"/>
      <c r="C752" s="192"/>
      <c r="D752" s="192"/>
    </row>
    <row r="753">
      <c r="A753" s="112"/>
      <c r="B753" s="192"/>
      <c r="C753" s="192"/>
      <c r="D753" s="192"/>
    </row>
    <row r="754">
      <c r="A754" s="112"/>
      <c r="B754" s="192"/>
      <c r="C754" s="192"/>
      <c r="D754" s="192"/>
    </row>
    <row r="755">
      <c r="A755" s="112"/>
      <c r="B755" s="192"/>
      <c r="C755" s="192"/>
      <c r="D755" s="192"/>
    </row>
    <row r="756">
      <c r="A756" s="112"/>
      <c r="B756" s="192"/>
      <c r="C756" s="192"/>
      <c r="D756" s="192"/>
    </row>
    <row r="757">
      <c r="A757" s="112"/>
      <c r="B757" s="192"/>
      <c r="C757" s="192"/>
      <c r="D757" s="192"/>
    </row>
    <row r="758">
      <c r="A758" s="112"/>
      <c r="B758" s="192"/>
      <c r="C758" s="192"/>
      <c r="D758" s="192"/>
    </row>
    <row r="759">
      <c r="A759" s="112"/>
      <c r="B759" s="192"/>
      <c r="C759" s="192"/>
      <c r="D759" s="192"/>
    </row>
    <row r="760">
      <c r="A760" s="112"/>
      <c r="B760" s="192"/>
      <c r="C760" s="192"/>
      <c r="D760" s="192"/>
    </row>
    <row r="761">
      <c r="A761" s="112"/>
      <c r="B761" s="192"/>
      <c r="C761" s="192"/>
      <c r="D761" s="192"/>
    </row>
    <row r="762">
      <c r="A762" s="112"/>
      <c r="B762" s="192"/>
      <c r="C762" s="192"/>
      <c r="D762" s="192"/>
    </row>
    <row r="763">
      <c r="A763" s="112"/>
      <c r="B763" s="192"/>
      <c r="C763" s="192"/>
      <c r="D763" s="192"/>
    </row>
    <row r="764">
      <c r="A764" s="112"/>
      <c r="B764" s="192"/>
      <c r="C764" s="192"/>
      <c r="D764" s="192"/>
    </row>
    <row r="765">
      <c r="A765" s="112"/>
      <c r="B765" s="192"/>
      <c r="C765" s="192"/>
      <c r="D765" s="192"/>
    </row>
    <row r="766">
      <c r="A766" s="112"/>
      <c r="B766" s="192"/>
      <c r="C766" s="192"/>
      <c r="D766" s="192"/>
    </row>
    <row r="767">
      <c r="A767" s="112"/>
      <c r="B767" s="192"/>
      <c r="C767" s="192"/>
      <c r="D767" s="192"/>
    </row>
    <row r="768">
      <c r="A768" s="112"/>
      <c r="B768" s="192"/>
      <c r="C768" s="192"/>
      <c r="D768" s="192"/>
    </row>
    <row r="769">
      <c r="A769" s="112"/>
      <c r="B769" s="192"/>
      <c r="C769" s="192"/>
      <c r="D769" s="192"/>
    </row>
    <row r="770">
      <c r="A770" s="112"/>
      <c r="B770" s="192"/>
      <c r="C770" s="192"/>
      <c r="D770" s="192"/>
    </row>
    <row r="771">
      <c r="A771" s="112"/>
      <c r="B771" s="192"/>
      <c r="C771" s="192"/>
      <c r="D771" s="192"/>
    </row>
    <row r="772">
      <c r="A772" s="112"/>
      <c r="B772" s="192"/>
      <c r="C772" s="192"/>
      <c r="D772" s="192"/>
    </row>
    <row r="773">
      <c r="A773" s="112"/>
      <c r="B773" s="192"/>
      <c r="C773" s="192"/>
      <c r="D773" s="192"/>
    </row>
    <row r="774">
      <c r="A774" s="112"/>
      <c r="B774" s="192"/>
      <c r="C774" s="192"/>
      <c r="D774" s="192"/>
    </row>
    <row r="775">
      <c r="A775" s="112"/>
      <c r="B775" s="192"/>
      <c r="C775" s="192"/>
      <c r="D775" s="192"/>
    </row>
    <row r="776">
      <c r="A776" s="112"/>
      <c r="B776" s="192"/>
      <c r="C776" s="192"/>
      <c r="D776" s="192"/>
    </row>
    <row r="777">
      <c r="A777" s="112"/>
      <c r="B777" s="192"/>
      <c r="C777" s="192"/>
      <c r="D777" s="192"/>
    </row>
    <row r="778">
      <c r="A778" s="112"/>
      <c r="B778" s="192"/>
      <c r="C778" s="192"/>
      <c r="D778" s="192"/>
    </row>
    <row r="779">
      <c r="A779" s="112"/>
      <c r="B779" s="192"/>
      <c r="C779" s="192"/>
      <c r="D779" s="192"/>
    </row>
    <row r="780">
      <c r="A780" s="112"/>
      <c r="B780" s="192"/>
      <c r="C780" s="192"/>
      <c r="D780" s="192"/>
    </row>
    <row r="781">
      <c r="A781" s="112"/>
      <c r="B781" s="192"/>
      <c r="C781" s="192"/>
      <c r="D781" s="192"/>
    </row>
    <row r="782">
      <c r="A782" s="112"/>
      <c r="B782" s="192"/>
      <c r="C782" s="192"/>
      <c r="D782" s="192"/>
    </row>
    <row r="783">
      <c r="A783" s="112"/>
      <c r="B783" s="192"/>
      <c r="C783" s="192"/>
      <c r="D783" s="192"/>
    </row>
    <row r="784">
      <c r="A784" s="112"/>
      <c r="B784" s="192"/>
      <c r="C784" s="192"/>
      <c r="D784" s="192"/>
    </row>
    <row r="785">
      <c r="A785" s="112"/>
      <c r="B785" s="192"/>
      <c r="C785" s="192"/>
      <c r="D785" s="192"/>
    </row>
    <row r="786">
      <c r="A786" s="112"/>
      <c r="B786" s="192"/>
      <c r="C786" s="192"/>
      <c r="D786" s="192"/>
    </row>
    <row r="787">
      <c r="A787" s="112"/>
      <c r="B787" s="192"/>
      <c r="C787" s="192"/>
      <c r="D787" s="192"/>
    </row>
    <row r="788">
      <c r="A788" s="112"/>
      <c r="B788" s="192"/>
      <c r="C788" s="192"/>
      <c r="D788" s="192"/>
    </row>
    <row r="789">
      <c r="A789" s="112"/>
      <c r="B789" s="192"/>
      <c r="C789" s="192"/>
      <c r="D789" s="192"/>
    </row>
    <row r="790">
      <c r="A790" s="112"/>
      <c r="B790" s="192"/>
      <c r="C790" s="192"/>
      <c r="D790" s="192"/>
    </row>
    <row r="791">
      <c r="A791" s="112"/>
      <c r="B791" s="192"/>
      <c r="C791" s="192"/>
      <c r="D791" s="192"/>
    </row>
    <row r="792">
      <c r="A792" s="112"/>
      <c r="B792" s="192"/>
      <c r="C792" s="192"/>
      <c r="D792" s="192"/>
    </row>
    <row r="793">
      <c r="A793" s="112"/>
      <c r="B793" s="192"/>
      <c r="C793" s="192"/>
      <c r="D793" s="192"/>
    </row>
    <row r="794">
      <c r="A794" s="112"/>
      <c r="B794" s="192"/>
      <c r="C794" s="192"/>
      <c r="D794" s="192"/>
    </row>
    <row r="795">
      <c r="A795" s="112"/>
      <c r="B795" s="192"/>
      <c r="C795" s="192"/>
      <c r="D795" s="192"/>
    </row>
    <row r="796">
      <c r="A796" s="112"/>
      <c r="B796" s="192"/>
      <c r="C796" s="192"/>
      <c r="D796" s="192"/>
    </row>
    <row r="797">
      <c r="A797" s="112"/>
      <c r="B797" s="192"/>
      <c r="C797" s="192"/>
      <c r="D797" s="192"/>
    </row>
    <row r="798">
      <c r="A798" s="112"/>
      <c r="B798" s="192"/>
      <c r="C798" s="192"/>
      <c r="D798" s="192"/>
    </row>
    <row r="799">
      <c r="A799" s="112"/>
      <c r="B799" s="192"/>
      <c r="C799" s="192"/>
      <c r="D799" s="192"/>
    </row>
    <row r="800">
      <c r="A800" s="112"/>
      <c r="B800" s="192"/>
      <c r="C800" s="192"/>
      <c r="D800" s="192"/>
    </row>
    <row r="801">
      <c r="A801" s="112"/>
      <c r="B801" s="192"/>
      <c r="C801" s="192"/>
      <c r="D801" s="192"/>
    </row>
    <row r="802">
      <c r="A802" s="112"/>
      <c r="B802" s="192"/>
      <c r="C802" s="192"/>
      <c r="D802" s="192"/>
    </row>
    <row r="803">
      <c r="A803" s="112"/>
      <c r="B803" s="192"/>
      <c r="C803" s="192"/>
      <c r="D803" s="192"/>
    </row>
    <row r="804">
      <c r="A804" s="112"/>
      <c r="B804" s="192"/>
      <c r="C804" s="192"/>
      <c r="D804" s="192"/>
    </row>
    <row r="805">
      <c r="A805" s="112"/>
      <c r="B805" s="192"/>
      <c r="C805" s="192"/>
      <c r="D805" s="192"/>
    </row>
    <row r="806">
      <c r="A806" s="112"/>
      <c r="B806" s="192"/>
      <c r="C806" s="192"/>
      <c r="D806" s="192"/>
    </row>
    <row r="807">
      <c r="A807" s="112"/>
      <c r="B807" s="192"/>
      <c r="C807" s="192"/>
      <c r="D807" s="192"/>
    </row>
    <row r="808">
      <c r="A808" s="112"/>
      <c r="B808" s="192"/>
      <c r="C808" s="192"/>
      <c r="D808" s="192"/>
    </row>
    <row r="809">
      <c r="A809" s="112"/>
      <c r="B809" s="192"/>
      <c r="C809" s="192"/>
      <c r="D809" s="192"/>
    </row>
    <row r="810">
      <c r="A810" s="112"/>
      <c r="B810" s="192"/>
      <c r="C810" s="192"/>
      <c r="D810" s="192"/>
    </row>
    <row r="811">
      <c r="A811" s="112"/>
      <c r="B811" s="192"/>
      <c r="C811" s="192"/>
      <c r="D811" s="192"/>
    </row>
    <row r="812">
      <c r="A812" s="112"/>
      <c r="B812" s="192"/>
      <c r="C812" s="192"/>
      <c r="D812" s="192"/>
    </row>
    <row r="813">
      <c r="A813" s="112"/>
      <c r="B813" s="192"/>
      <c r="C813" s="192"/>
      <c r="D813" s="192"/>
    </row>
    <row r="814">
      <c r="A814" s="112"/>
      <c r="B814" s="192"/>
      <c r="C814" s="192"/>
      <c r="D814" s="192"/>
    </row>
    <row r="815">
      <c r="A815" s="112"/>
      <c r="B815" s="192"/>
      <c r="C815" s="192"/>
      <c r="D815" s="192"/>
    </row>
    <row r="816">
      <c r="A816" s="112"/>
      <c r="B816" s="192"/>
      <c r="C816" s="192"/>
      <c r="D816" s="192"/>
    </row>
    <row r="817">
      <c r="A817" s="112"/>
      <c r="B817" s="192"/>
      <c r="C817" s="192"/>
      <c r="D817" s="192"/>
    </row>
    <row r="818">
      <c r="A818" s="112"/>
      <c r="B818" s="192"/>
      <c r="C818" s="192"/>
      <c r="D818" s="192"/>
    </row>
    <row r="819">
      <c r="A819" s="112"/>
      <c r="B819" s="192"/>
      <c r="C819" s="192"/>
      <c r="D819" s="192"/>
    </row>
    <row r="820">
      <c r="A820" s="112"/>
      <c r="B820" s="192"/>
      <c r="C820" s="192"/>
      <c r="D820" s="192"/>
    </row>
    <row r="821">
      <c r="A821" s="112"/>
      <c r="B821" s="192"/>
      <c r="C821" s="192"/>
      <c r="D821" s="192"/>
    </row>
    <row r="822">
      <c r="A822" s="112"/>
      <c r="B822" s="192"/>
      <c r="C822" s="192"/>
      <c r="D822" s="192"/>
    </row>
    <row r="823">
      <c r="A823" s="112"/>
      <c r="B823" s="192"/>
      <c r="C823" s="192"/>
      <c r="D823" s="192"/>
    </row>
    <row r="824">
      <c r="A824" s="112"/>
      <c r="B824" s="192"/>
      <c r="C824" s="192"/>
      <c r="D824" s="192"/>
    </row>
    <row r="825">
      <c r="A825" s="112"/>
      <c r="B825" s="192"/>
      <c r="C825" s="192"/>
      <c r="D825" s="192"/>
    </row>
    <row r="826">
      <c r="A826" s="112"/>
      <c r="B826" s="192"/>
      <c r="C826" s="192"/>
      <c r="D826" s="192"/>
    </row>
    <row r="827">
      <c r="A827" s="112"/>
      <c r="B827" s="192"/>
      <c r="C827" s="192"/>
      <c r="D827" s="192"/>
    </row>
    <row r="828">
      <c r="A828" s="112"/>
      <c r="B828" s="192"/>
      <c r="C828" s="192"/>
      <c r="D828" s="192"/>
    </row>
    <row r="829">
      <c r="A829" s="112"/>
      <c r="B829" s="192"/>
      <c r="C829" s="192"/>
      <c r="D829" s="192"/>
    </row>
    <row r="830">
      <c r="A830" s="112"/>
      <c r="B830" s="192"/>
      <c r="C830" s="192"/>
      <c r="D830" s="192"/>
    </row>
    <row r="831">
      <c r="A831" s="112"/>
      <c r="B831" s="192"/>
      <c r="C831" s="192"/>
      <c r="D831" s="192"/>
    </row>
    <row r="832">
      <c r="A832" s="112"/>
      <c r="B832" s="192"/>
      <c r="C832" s="192"/>
      <c r="D832" s="192"/>
    </row>
    <row r="833">
      <c r="A833" s="112"/>
      <c r="B833" s="192"/>
      <c r="C833" s="192"/>
      <c r="D833" s="192"/>
    </row>
    <row r="834">
      <c r="A834" s="112"/>
      <c r="B834" s="192"/>
      <c r="C834" s="192"/>
      <c r="D834" s="192"/>
    </row>
    <row r="835">
      <c r="A835" s="112"/>
      <c r="B835" s="192"/>
      <c r="C835" s="192"/>
      <c r="D835" s="192"/>
    </row>
    <row r="836">
      <c r="A836" s="112"/>
      <c r="B836" s="192"/>
      <c r="C836" s="192"/>
      <c r="D836" s="192"/>
    </row>
    <row r="837">
      <c r="A837" s="112"/>
      <c r="B837" s="192"/>
      <c r="C837" s="192"/>
      <c r="D837" s="192"/>
    </row>
    <row r="838">
      <c r="A838" s="112"/>
      <c r="B838" s="192"/>
      <c r="C838" s="192"/>
      <c r="D838" s="192"/>
    </row>
    <row r="839">
      <c r="A839" s="112"/>
      <c r="B839" s="192"/>
      <c r="C839" s="192"/>
      <c r="D839" s="192"/>
    </row>
    <row r="840">
      <c r="A840" s="112"/>
      <c r="B840" s="192"/>
      <c r="C840" s="192"/>
      <c r="D840" s="192"/>
    </row>
    <row r="841">
      <c r="A841" s="112"/>
      <c r="B841" s="192"/>
      <c r="C841" s="192"/>
      <c r="D841" s="192"/>
    </row>
    <row r="842">
      <c r="A842" s="112"/>
      <c r="B842" s="192"/>
      <c r="C842" s="192"/>
      <c r="D842" s="192"/>
    </row>
    <row r="843">
      <c r="A843" s="112"/>
      <c r="B843" s="192"/>
      <c r="C843" s="192"/>
      <c r="D843" s="192"/>
    </row>
    <row r="844">
      <c r="A844" s="112"/>
      <c r="B844" s="192"/>
      <c r="C844" s="192"/>
      <c r="D844" s="192"/>
    </row>
    <row r="845">
      <c r="A845" s="112"/>
      <c r="B845" s="192"/>
      <c r="C845" s="192"/>
      <c r="D845" s="192"/>
    </row>
    <row r="846">
      <c r="A846" s="112"/>
      <c r="B846" s="192"/>
      <c r="C846" s="192"/>
      <c r="D846" s="192"/>
    </row>
    <row r="847">
      <c r="A847" s="112"/>
      <c r="B847" s="192"/>
      <c r="C847" s="192"/>
      <c r="D847" s="192"/>
    </row>
    <row r="848">
      <c r="A848" s="112"/>
      <c r="B848" s="192"/>
      <c r="C848" s="192"/>
      <c r="D848" s="192"/>
    </row>
    <row r="849">
      <c r="A849" s="112"/>
      <c r="B849" s="192"/>
      <c r="C849" s="192"/>
      <c r="D849" s="192"/>
    </row>
    <row r="850">
      <c r="A850" s="112"/>
      <c r="B850" s="192"/>
      <c r="C850" s="192"/>
      <c r="D850" s="192"/>
    </row>
    <row r="851">
      <c r="A851" s="112"/>
      <c r="B851" s="192"/>
      <c r="C851" s="192"/>
      <c r="D851" s="192"/>
    </row>
    <row r="852">
      <c r="A852" s="112"/>
      <c r="B852" s="192"/>
      <c r="C852" s="192"/>
      <c r="D852" s="192"/>
    </row>
    <row r="853">
      <c r="A853" s="112"/>
      <c r="B853" s="192"/>
      <c r="C853" s="192"/>
      <c r="D853" s="192"/>
    </row>
    <row r="854">
      <c r="A854" s="112"/>
      <c r="B854" s="192"/>
      <c r="C854" s="192"/>
      <c r="D854" s="192"/>
    </row>
    <row r="855">
      <c r="A855" s="112"/>
      <c r="B855" s="192"/>
      <c r="C855" s="192"/>
      <c r="D855" s="192"/>
    </row>
    <row r="856">
      <c r="A856" s="112"/>
      <c r="B856" s="192"/>
      <c r="C856" s="192"/>
      <c r="D856" s="192"/>
    </row>
    <row r="857">
      <c r="A857" s="112"/>
      <c r="B857" s="192"/>
      <c r="C857" s="192"/>
      <c r="D857" s="192"/>
    </row>
    <row r="858">
      <c r="A858" s="112"/>
      <c r="B858" s="192"/>
      <c r="C858" s="192"/>
      <c r="D858" s="192"/>
    </row>
    <row r="859">
      <c r="A859" s="112"/>
      <c r="B859" s="192"/>
      <c r="C859" s="192"/>
      <c r="D859" s="192"/>
    </row>
    <row r="860">
      <c r="A860" s="112"/>
      <c r="B860" s="192"/>
      <c r="C860" s="192"/>
      <c r="D860" s="192"/>
    </row>
    <row r="861">
      <c r="A861" s="112"/>
      <c r="B861" s="192"/>
      <c r="C861" s="192"/>
      <c r="D861" s="192"/>
    </row>
    <row r="862">
      <c r="A862" s="112"/>
      <c r="B862" s="192"/>
      <c r="C862" s="192"/>
      <c r="D862" s="192"/>
    </row>
    <row r="863">
      <c r="A863" s="112"/>
      <c r="B863" s="192"/>
      <c r="C863" s="192"/>
      <c r="D863" s="192"/>
    </row>
    <row r="864">
      <c r="A864" s="112"/>
      <c r="B864" s="192"/>
      <c r="C864" s="192"/>
      <c r="D864" s="192"/>
    </row>
    <row r="865">
      <c r="A865" s="112"/>
      <c r="B865" s="192"/>
      <c r="C865" s="192"/>
      <c r="D865" s="192"/>
    </row>
    <row r="866">
      <c r="A866" s="112"/>
      <c r="B866" s="192"/>
      <c r="C866" s="192"/>
      <c r="D866" s="192"/>
    </row>
    <row r="867">
      <c r="A867" s="112"/>
      <c r="B867" s="192"/>
      <c r="C867" s="192"/>
      <c r="D867" s="192"/>
    </row>
    <row r="868">
      <c r="A868" s="112"/>
      <c r="B868" s="192"/>
      <c r="C868" s="192"/>
      <c r="D868" s="192"/>
    </row>
    <row r="869">
      <c r="A869" s="112"/>
      <c r="B869" s="192"/>
      <c r="C869" s="192"/>
      <c r="D869" s="192"/>
    </row>
    <row r="870">
      <c r="A870" s="112"/>
      <c r="B870" s="192"/>
      <c r="C870" s="192"/>
      <c r="D870" s="192"/>
    </row>
    <row r="871">
      <c r="A871" s="112"/>
      <c r="B871" s="192"/>
      <c r="C871" s="192"/>
      <c r="D871" s="192"/>
    </row>
    <row r="872">
      <c r="A872" s="112"/>
      <c r="B872" s="192"/>
      <c r="C872" s="192"/>
      <c r="D872" s="192"/>
    </row>
    <row r="873">
      <c r="A873" s="112"/>
      <c r="B873" s="192"/>
      <c r="C873" s="192"/>
      <c r="D873" s="192"/>
    </row>
    <row r="874">
      <c r="A874" s="112"/>
      <c r="B874" s="192"/>
      <c r="C874" s="192"/>
      <c r="D874" s="192"/>
    </row>
    <row r="875">
      <c r="A875" s="112"/>
      <c r="B875" s="192"/>
      <c r="C875" s="192"/>
      <c r="D875" s="192"/>
    </row>
    <row r="876">
      <c r="A876" s="112"/>
      <c r="B876" s="192"/>
      <c r="C876" s="192"/>
      <c r="D876" s="192"/>
    </row>
    <row r="877">
      <c r="A877" s="112"/>
      <c r="B877" s="192"/>
      <c r="C877" s="192"/>
      <c r="D877" s="192"/>
    </row>
    <row r="878">
      <c r="A878" s="112"/>
      <c r="B878" s="192"/>
      <c r="C878" s="192"/>
      <c r="D878" s="192"/>
    </row>
    <row r="879">
      <c r="A879" s="112"/>
      <c r="B879" s="192"/>
      <c r="C879" s="192"/>
      <c r="D879" s="192"/>
    </row>
    <row r="880">
      <c r="A880" s="112"/>
      <c r="B880" s="192"/>
      <c r="C880" s="192"/>
      <c r="D880" s="192"/>
    </row>
    <row r="881">
      <c r="A881" s="112"/>
      <c r="B881" s="192"/>
      <c r="C881" s="192"/>
      <c r="D881" s="192"/>
    </row>
    <row r="882">
      <c r="A882" s="112"/>
      <c r="B882" s="192"/>
      <c r="C882" s="192"/>
      <c r="D882" s="192"/>
    </row>
    <row r="883">
      <c r="A883" s="112"/>
      <c r="B883" s="192"/>
      <c r="C883" s="192"/>
      <c r="D883" s="192"/>
    </row>
    <row r="884">
      <c r="A884" s="112"/>
      <c r="B884" s="192"/>
      <c r="C884" s="192"/>
      <c r="D884" s="192"/>
    </row>
    <row r="885">
      <c r="A885" s="112"/>
      <c r="B885" s="192"/>
      <c r="C885" s="192"/>
      <c r="D885" s="192"/>
    </row>
    <row r="886">
      <c r="A886" s="112"/>
      <c r="B886" s="192"/>
      <c r="C886" s="192"/>
      <c r="D886" s="192"/>
    </row>
    <row r="887">
      <c r="A887" s="112"/>
      <c r="B887" s="192"/>
      <c r="C887" s="192"/>
      <c r="D887" s="192"/>
    </row>
    <row r="888">
      <c r="A888" s="112"/>
      <c r="B888" s="192"/>
      <c r="C888" s="192"/>
      <c r="D888" s="192"/>
    </row>
    <row r="889">
      <c r="A889" s="112"/>
      <c r="B889" s="192"/>
      <c r="C889" s="192"/>
      <c r="D889" s="192"/>
    </row>
    <row r="890">
      <c r="A890" s="112"/>
      <c r="B890" s="192"/>
      <c r="C890" s="192"/>
      <c r="D890" s="192"/>
    </row>
    <row r="891">
      <c r="A891" s="112"/>
      <c r="B891" s="192"/>
      <c r="C891" s="192"/>
      <c r="D891" s="192"/>
    </row>
    <row r="892">
      <c r="A892" s="112"/>
      <c r="B892" s="192"/>
      <c r="C892" s="192"/>
      <c r="D892" s="192"/>
    </row>
    <row r="893">
      <c r="A893" s="112"/>
      <c r="B893" s="192"/>
      <c r="C893" s="192"/>
      <c r="D893" s="192"/>
    </row>
    <row r="894">
      <c r="A894" s="112"/>
      <c r="B894" s="192"/>
      <c r="C894" s="192"/>
      <c r="D894" s="192"/>
    </row>
    <row r="895">
      <c r="A895" s="112"/>
      <c r="B895" s="192"/>
      <c r="C895" s="192"/>
      <c r="D895" s="192"/>
    </row>
    <row r="896">
      <c r="A896" s="112"/>
      <c r="B896" s="192"/>
      <c r="C896" s="192"/>
      <c r="D896" s="192"/>
    </row>
    <row r="897">
      <c r="A897" s="112"/>
      <c r="B897" s="192"/>
      <c r="C897" s="192"/>
      <c r="D897" s="192"/>
    </row>
    <row r="898">
      <c r="A898" s="112"/>
      <c r="B898" s="192"/>
      <c r="C898" s="192"/>
      <c r="D898" s="192"/>
    </row>
    <row r="899">
      <c r="A899" s="112"/>
      <c r="B899" s="192"/>
      <c r="C899" s="192"/>
      <c r="D899" s="192"/>
    </row>
    <row r="900">
      <c r="A900" s="112"/>
      <c r="B900" s="192"/>
      <c r="C900" s="192"/>
      <c r="D900" s="192"/>
    </row>
    <row r="901">
      <c r="A901" s="112"/>
      <c r="B901" s="192"/>
      <c r="C901" s="192"/>
      <c r="D901" s="192"/>
    </row>
    <row r="902">
      <c r="A902" s="112"/>
      <c r="B902" s="192"/>
      <c r="C902" s="192"/>
      <c r="D902" s="192"/>
    </row>
    <row r="903">
      <c r="A903" s="112"/>
      <c r="B903" s="192"/>
      <c r="C903" s="192"/>
      <c r="D903" s="192"/>
    </row>
    <row r="904">
      <c r="A904" s="112"/>
      <c r="B904" s="192"/>
      <c r="C904" s="192"/>
      <c r="D904" s="192"/>
    </row>
    <row r="905">
      <c r="A905" s="112"/>
      <c r="B905" s="192"/>
      <c r="C905" s="192"/>
      <c r="D905" s="192"/>
    </row>
    <row r="906">
      <c r="A906" s="112"/>
      <c r="B906" s="192"/>
      <c r="C906" s="192"/>
      <c r="D906" s="192"/>
    </row>
    <row r="907">
      <c r="A907" s="112"/>
      <c r="B907" s="192"/>
      <c r="C907" s="192"/>
      <c r="D907" s="192"/>
    </row>
    <row r="908">
      <c r="A908" s="112"/>
      <c r="B908" s="192"/>
      <c r="C908" s="192"/>
      <c r="D908" s="192"/>
    </row>
    <row r="909">
      <c r="A909" s="112"/>
      <c r="B909" s="192"/>
      <c r="C909" s="192"/>
      <c r="D909" s="192"/>
    </row>
    <row r="910">
      <c r="A910" s="112"/>
      <c r="B910" s="192"/>
      <c r="C910" s="192"/>
      <c r="D910" s="192"/>
    </row>
    <row r="911">
      <c r="A911" s="112"/>
      <c r="B911" s="192"/>
      <c r="C911" s="192"/>
      <c r="D911" s="192"/>
    </row>
    <row r="912">
      <c r="A912" s="112"/>
      <c r="B912" s="192"/>
      <c r="C912" s="192"/>
      <c r="D912" s="192"/>
    </row>
    <row r="913">
      <c r="A913" s="112"/>
      <c r="B913" s="192"/>
      <c r="C913" s="192"/>
      <c r="D913" s="192"/>
    </row>
    <row r="914">
      <c r="A914" s="112"/>
      <c r="B914" s="192"/>
      <c r="C914" s="192"/>
      <c r="D914" s="192"/>
    </row>
    <row r="915">
      <c r="A915" s="112"/>
      <c r="B915" s="192"/>
      <c r="C915" s="192"/>
      <c r="D915" s="192"/>
    </row>
    <row r="916">
      <c r="A916" s="112"/>
      <c r="B916" s="192"/>
      <c r="C916" s="192"/>
      <c r="D916" s="192"/>
    </row>
    <row r="917">
      <c r="A917" s="112"/>
      <c r="B917" s="192"/>
      <c r="C917" s="192"/>
      <c r="D917" s="192"/>
    </row>
    <row r="918">
      <c r="A918" s="112"/>
      <c r="B918" s="192"/>
      <c r="C918" s="192"/>
      <c r="D918" s="192"/>
    </row>
    <row r="919">
      <c r="A919" s="112"/>
      <c r="B919" s="192"/>
      <c r="C919" s="192"/>
      <c r="D919" s="192"/>
    </row>
    <row r="920">
      <c r="A920" s="112"/>
      <c r="B920" s="192"/>
      <c r="C920" s="192"/>
      <c r="D920" s="192"/>
    </row>
    <row r="921">
      <c r="A921" s="112"/>
      <c r="B921" s="192"/>
      <c r="C921" s="192"/>
      <c r="D921" s="192"/>
    </row>
    <row r="922">
      <c r="A922" s="112"/>
      <c r="B922" s="192"/>
      <c r="C922" s="192"/>
      <c r="D922" s="192"/>
    </row>
    <row r="923">
      <c r="A923" s="112"/>
      <c r="B923" s="192"/>
      <c r="C923" s="192"/>
      <c r="D923" s="192"/>
    </row>
    <row r="924">
      <c r="A924" s="112"/>
      <c r="B924" s="192"/>
      <c r="C924" s="192"/>
      <c r="D924" s="192"/>
    </row>
    <row r="925">
      <c r="A925" s="112"/>
      <c r="B925" s="192"/>
      <c r="C925" s="192"/>
      <c r="D925" s="192"/>
    </row>
    <row r="926">
      <c r="A926" s="112"/>
      <c r="B926" s="192"/>
      <c r="C926" s="192"/>
      <c r="D926" s="192"/>
    </row>
    <row r="927">
      <c r="A927" s="112"/>
      <c r="B927" s="192"/>
      <c r="C927" s="192"/>
      <c r="D927" s="192"/>
    </row>
    <row r="928">
      <c r="A928" s="112"/>
      <c r="B928" s="192"/>
      <c r="C928" s="192"/>
      <c r="D928" s="192"/>
    </row>
    <row r="929">
      <c r="A929" s="112"/>
      <c r="B929" s="192"/>
      <c r="C929" s="192"/>
      <c r="D929" s="192"/>
    </row>
    <row r="930">
      <c r="A930" s="112"/>
      <c r="B930" s="192"/>
      <c r="C930" s="192"/>
      <c r="D930" s="192"/>
    </row>
    <row r="931">
      <c r="A931" s="112"/>
      <c r="B931" s="192"/>
      <c r="C931" s="192"/>
      <c r="D931" s="192"/>
    </row>
    <row r="932">
      <c r="A932" s="112"/>
      <c r="B932" s="192"/>
      <c r="C932" s="192"/>
      <c r="D932" s="192"/>
    </row>
    <row r="933">
      <c r="A933" s="112"/>
      <c r="B933" s="192"/>
      <c r="C933" s="192"/>
      <c r="D933" s="192"/>
    </row>
    <row r="934">
      <c r="A934" s="112"/>
      <c r="B934" s="192"/>
      <c r="C934" s="192"/>
      <c r="D934" s="192"/>
    </row>
    <row r="935">
      <c r="A935" s="112"/>
      <c r="B935" s="192"/>
      <c r="C935" s="192"/>
      <c r="D935" s="192"/>
    </row>
    <row r="936">
      <c r="A936" s="112"/>
      <c r="B936" s="192"/>
      <c r="C936" s="192"/>
      <c r="D936" s="192"/>
    </row>
    <row r="937">
      <c r="A937" s="112"/>
      <c r="B937" s="192"/>
      <c r="C937" s="192"/>
      <c r="D937" s="192"/>
    </row>
    <row r="938">
      <c r="A938" s="112"/>
      <c r="B938" s="192"/>
      <c r="C938" s="192"/>
      <c r="D938" s="192"/>
    </row>
    <row r="939">
      <c r="A939" s="112"/>
      <c r="B939" s="192"/>
      <c r="C939" s="192"/>
      <c r="D939" s="192"/>
    </row>
    <row r="940">
      <c r="A940" s="112"/>
      <c r="B940" s="192"/>
      <c r="C940" s="192"/>
      <c r="D940" s="192"/>
    </row>
    <row r="941">
      <c r="A941" s="112"/>
      <c r="B941" s="192"/>
      <c r="C941" s="192"/>
      <c r="D941" s="192"/>
    </row>
    <row r="942">
      <c r="A942" s="112"/>
      <c r="B942" s="192"/>
      <c r="C942" s="192"/>
      <c r="D942" s="192"/>
    </row>
    <row r="943">
      <c r="A943" s="112"/>
      <c r="B943" s="192"/>
      <c r="C943" s="192"/>
      <c r="D943" s="192"/>
    </row>
    <row r="944">
      <c r="A944" s="112"/>
      <c r="B944" s="192"/>
      <c r="C944" s="192"/>
      <c r="D944" s="192"/>
    </row>
    <row r="945">
      <c r="A945" s="112"/>
      <c r="B945" s="192"/>
      <c r="C945" s="192"/>
      <c r="D945" s="192"/>
    </row>
    <row r="946">
      <c r="A946" s="112"/>
      <c r="B946" s="192"/>
      <c r="C946" s="192"/>
      <c r="D946" s="192"/>
    </row>
    <row r="947">
      <c r="A947" s="112"/>
      <c r="B947" s="192"/>
      <c r="C947" s="192"/>
      <c r="D947" s="192"/>
    </row>
    <row r="948">
      <c r="A948" s="112"/>
      <c r="B948" s="192"/>
      <c r="C948" s="192"/>
      <c r="D948" s="192"/>
    </row>
    <row r="949">
      <c r="A949" s="112"/>
      <c r="B949" s="192"/>
      <c r="C949" s="192"/>
      <c r="D949" s="192"/>
    </row>
    <row r="950">
      <c r="A950" s="112"/>
      <c r="B950" s="192"/>
      <c r="C950" s="192"/>
      <c r="D950" s="192"/>
    </row>
    <row r="951">
      <c r="A951" s="112"/>
      <c r="B951" s="192"/>
      <c r="C951" s="192"/>
      <c r="D951" s="192"/>
    </row>
    <row r="952">
      <c r="A952" s="112"/>
      <c r="B952" s="192"/>
      <c r="C952" s="192"/>
      <c r="D952" s="192"/>
    </row>
    <row r="953">
      <c r="A953" s="112"/>
      <c r="B953" s="192"/>
      <c r="C953" s="192"/>
      <c r="D953" s="192"/>
    </row>
    <row r="954">
      <c r="A954" s="112"/>
      <c r="B954" s="192"/>
      <c r="C954" s="192"/>
      <c r="D954" s="192"/>
    </row>
    <row r="955">
      <c r="A955" s="112"/>
      <c r="B955" s="192"/>
      <c r="C955" s="192"/>
      <c r="D955" s="192"/>
    </row>
    <row r="956">
      <c r="A956" s="112"/>
      <c r="B956" s="192"/>
      <c r="C956" s="192"/>
      <c r="D956" s="192"/>
    </row>
    <row r="957">
      <c r="A957" s="112"/>
      <c r="B957" s="192"/>
      <c r="C957" s="192"/>
      <c r="D957" s="192"/>
    </row>
    <row r="958">
      <c r="A958" s="112"/>
      <c r="B958" s="192"/>
      <c r="C958" s="192"/>
      <c r="D958" s="192"/>
    </row>
    <row r="959">
      <c r="A959" s="112"/>
      <c r="B959" s="192"/>
      <c r="C959" s="192"/>
      <c r="D959" s="192"/>
    </row>
    <row r="960">
      <c r="A960" s="112"/>
      <c r="B960" s="192"/>
      <c r="C960" s="192"/>
      <c r="D960" s="192"/>
    </row>
    <row r="961">
      <c r="A961" s="112"/>
      <c r="B961" s="192"/>
      <c r="C961" s="192"/>
      <c r="D961" s="192"/>
    </row>
    <row r="962">
      <c r="A962" s="112"/>
      <c r="B962" s="192"/>
      <c r="C962" s="192"/>
      <c r="D962" s="192"/>
    </row>
    <row r="963">
      <c r="A963" s="112"/>
      <c r="B963" s="192"/>
      <c r="C963" s="192"/>
      <c r="D963" s="192"/>
    </row>
    <row r="964">
      <c r="A964" s="112"/>
      <c r="B964" s="192"/>
      <c r="C964" s="192"/>
      <c r="D964" s="192"/>
    </row>
    <row r="965">
      <c r="A965" s="112"/>
      <c r="B965" s="192"/>
      <c r="C965" s="192"/>
      <c r="D965" s="192"/>
    </row>
    <row r="966">
      <c r="A966" s="112"/>
      <c r="B966" s="192"/>
      <c r="C966" s="192"/>
      <c r="D966" s="192"/>
    </row>
    <row r="967">
      <c r="A967" s="112"/>
      <c r="B967" s="192"/>
      <c r="C967" s="192"/>
      <c r="D967" s="192"/>
    </row>
    <row r="968">
      <c r="A968" s="112"/>
      <c r="B968" s="192"/>
      <c r="C968" s="192"/>
      <c r="D968" s="192"/>
    </row>
    <row r="969">
      <c r="A969" s="112"/>
      <c r="B969" s="192"/>
      <c r="C969" s="192"/>
      <c r="D969" s="192"/>
    </row>
    <row r="970">
      <c r="A970" s="112"/>
      <c r="B970" s="192"/>
      <c r="C970" s="192"/>
      <c r="D970" s="192"/>
    </row>
    <row r="971">
      <c r="A971" s="112"/>
      <c r="B971" s="192"/>
      <c r="C971" s="192"/>
      <c r="D971" s="192"/>
    </row>
    <row r="972">
      <c r="A972" s="112"/>
      <c r="B972" s="192"/>
      <c r="C972" s="192"/>
      <c r="D972" s="192"/>
    </row>
    <row r="973">
      <c r="A973" s="112"/>
      <c r="B973" s="192"/>
      <c r="C973" s="192"/>
      <c r="D973" s="192"/>
    </row>
    <row r="974">
      <c r="A974" s="112"/>
      <c r="B974" s="192"/>
      <c r="C974" s="192"/>
      <c r="D974" s="192"/>
    </row>
    <row r="975">
      <c r="A975" s="112"/>
      <c r="B975" s="192"/>
      <c r="C975" s="192"/>
      <c r="D975" s="192"/>
    </row>
    <row r="976">
      <c r="A976" s="112"/>
      <c r="B976" s="192"/>
      <c r="C976" s="192"/>
      <c r="D976" s="192"/>
    </row>
    <row r="977">
      <c r="A977" s="112"/>
      <c r="B977" s="192"/>
      <c r="C977" s="192"/>
      <c r="D977" s="192"/>
    </row>
    <row r="978">
      <c r="A978" s="112"/>
      <c r="B978" s="192"/>
      <c r="C978" s="192"/>
      <c r="D978" s="192"/>
    </row>
    <row r="979">
      <c r="A979" s="112"/>
      <c r="B979" s="192"/>
      <c r="C979" s="192"/>
      <c r="D979" s="192"/>
    </row>
    <row r="980">
      <c r="A980" s="112"/>
      <c r="B980" s="192"/>
      <c r="C980" s="192"/>
      <c r="D980" s="192"/>
    </row>
    <row r="981">
      <c r="A981" s="112"/>
      <c r="B981" s="192"/>
      <c r="C981" s="192"/>
      <c r="D981" s="192"/>
    </row>
    <row r="982">
      <c r="A982" s="112"/>
      <c r="B982" s="192"/>
      <c r="C982" s="192"/>
      <c r="D982" s="192"/>
    </row>
    <row r="983">
      <c r="A983" s="112"/>
      <c r="B983" s="192"/>
      <c r="C983" s="192"/>
      <c r="D983" s="192"/>
    </row>
    <row r="984">
      <c r="A984" s="112"/>
      <c r="B984" s="192"/>
      <c r="C984" s="192"/>
      <c r="D984" s="192"/>
    </row>
    <row r="985">
      <c r="A985" s="112"/>
      <c r="B985" s="192"/>
      <c r="C985" s="192"/>
      <c r="D985" s="192"/>
    </row>
    <row r="986">
      <c r="A986" s="112"/>
      <c r="B986" s="192"/>
      <c r="C986" s="192"/>
      <c r="D986" s="192"/>
    </row>
    <row r="987">
      <c r="A987" s="112"/>
      <c r="B987" s="192"/>
      <c r="C987" s="192"/>
      <c r="D987" s="192"/>
    </row>
    <row r="988">
      <c r="A988" s="112"/>
      <c r="B988" s="192"/>
      <c r="C988" s="192"/>
      <c r="D988" s="192"/>
    </row>
    <row r="989">
      <c r="A989" s="112"/>
      <c r="B989" s="192"/>
      <c r="C989" s="192"/>
      <c r="D989" s="192"/>
    </row>
    <row r="990">
      <c r="A990" s="112"/>
      <c r="B990" s="192"/>
      <c r="C990" s="192"/>
      <c r="D990" s="192"/>
    </row>
    <row r="991">
      <c r="A991" s="112"/>
      <c r="B991" s="192"/>
      <c r="C991" s="192"/>
      <c r="D991" s="192"/>
    </row>
    <row r="992">
      <c r="A992" s="112"/>
      <c r="B992" s="192"/>
      <c r="C992" s="192"/>
      <c r="D992" s="192"/>
    </row>
    <row r="993">
      <c r="A993" s="112"/>
      <c r="B993" s="192"/>
      <c r="C993" s="192"/>
      <c r="D993" s="192"/>
    </row>
    <row r="994">
      <c r="A994" s="112"/>
      <c r="B994" s="192"/>
      <c r="C994" s="192"/>
      <c r="D994" s="192"/>
    </row>
    <row r="995">
      <c r="A995" s="112"/>
      <c r="B995" s="192"/>
      <c r="C995" s="192"/>
      <c r="D995" s="192"/>
    </row>
    <row r="996">
      <c r="A996" s="112"/>
      <c r="B996" s="192"/>
      <c r="C996" s="192"/>
      <c r="D996" s="192"/>
    </row>
    <row r="997">
      <c r="A997" s="112"/>
      <c r="B997" s="192"/>
      <c r="C997" s="192"/>
      <c r="D997" s="192"/>
    </row>
    <row r="998">
      <c r="A998" s="112"/>
      <c r="B998" s="192"/>
      <c r="C998" s="192"/>
      <c r="D998" s="192"/>
    </row>
    <row r="999">
      <c r="A999" s="112"/>
      <c r="B999" s="192"/>
      <c r="C999" s="192"/>
      <c r="D999" s="19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358"/>
      <c r="B1" s="359" t="s">
        <v>695</v>
      </c>
      <c r="C1" s="360" t="s">
        <v>696</v>
      </c>
      <c r="D1" s="361" t="s">
        <v>697</v>
      </c>
      <c r="E1" s="360" t="s">
        <v>698</v>
      </c>
      <c r="F1" s="361"/>
      <c r="G1" s="362" t="s">
        <v>699</v>
      </c>
      <c r="H1" s="363" t="s">
        <v>130</v>
      </c>
      <c r="I1" s="364" t="s">
        <v>700</v>
      </c>
      <c r="J1" s="365"/>
    </row>
    <row r="2">
      <c r="A2" s="366"/>
      <c r="B2" s="367"/>
      <c r="C2" s="368"/>
      <c r="D2" s="369"/>
      <c r="E2" s="368"/>
      <c r="F2" s="369"/>
      <c r="G2" s="369"/>
      <c r="H2" s="370"/>
      <c r="I2" s="371"/>
      <c r="J2" s="372"/>
    </row>
    <row r="3">
      <c r="A3" s="366"/>
      <c r="B3" s="367" t="s">
        <v>702</v>
      </c>
      <c r="C3" s="368" t="str">
        <f t="shared" ref="C3:G3" si="1">C5+#REF!+#REF!+#REF!+#REF!+#REF!+#REF!+#REF!+#REF!+#REF!+#REF!</f>
        <v>#REF!</v>
      </c>
      <c r="D3" s="369" t="str">
        <f t="shared" si="1"/>
        <v>#REF!</v>
      </c>
      <c r="E3" s="368" t="str">
        <f t="shared" si="1"/>
        <v>#REF!</v>
      </c>
      <c r="F3" s="369" t="str">
        <f t="shared" si="1"/>
        <v>#REF!</v>
      </c>
      <c r="G3" s="369" t="str">
        <f t="shared" si="1"/>
        <v>#REF!</v>
      </c>
      <c r="H3" s="370" t="str">
        <f>G3-D3</f>
        <v>#REF!</v>
      </c>
      <c r="I3" s="371"/>
      <c r="J3" s="372"/>
    </row>
    <row r="4">
      <c r="A4" s="366"/>
      <c r="B4" s="367"/>
      <c r="C4" s="368"/>
      <c r="D4" s="369"/>
      <c r="E4" s="368"/>
      <c r="F4" s="369"/>
      <c r="G4" s="369"/>
      <c r="H4" s="370"/>
      <c r="I4" s="371"/>
      <c r="J4" s="372"/>
    </row>
    <row r="5">
      <c r="A5" s="5">
        <v>1.0</v>
      </c>
      <c r="B5" s="6" t="s">
        <v>710</v>
      </c>
      <c r="C5" s="10">
        <f t="shared" ref="C5:H5" si="2">SUM(C7:C10)</f>
        <v>12361851.89</v>
      </c>
      <c r="D5" s="12">
        <f t="shared" si="2"/>
        <v>9806414</v>
      </c>
      <c r="E5" s="10">
        <f t="shared" si="2"/>
        <v>0</v>
      </c>
      <c r="F5" s="12">
        <f t="shared" si="2"/>
        <v>9661414</v>
      </c>
      <c r="G5" s="12">
        <f t="shared" si="2"/>
        <v>9661414</v>
      </c>
      <c r="H5" s="16">
        <f t="shared" si="2"/>
        <v>-145000</v>
      </c>
      <c r="I5" s="17"/>
      <c r="J5" s="18"/>
    </row>
    <row r="6">
      <c r="A6" s="19"/>
      <c r="B6" s="20"/>
      <c r="C6" s="21" t="s">
        <v>19</v>
      </c>
      <c r="D6" s="22">
        <f>(D5/C5)-1</f>
        <v>-0.2067196657</v>
      </c>
      <c r="E6" s="373"/>
      <c r="F6" s="23">
        <f>SUM(F7:F10)</f>
        <v>9661414</v>
      </c>
      <c r="G6" s="23"/>
      <c r="H6" s="26" t="str">
        <f>IF(H5&lt;0,"patrimônio diminuiu","patrimônio aumentou")</f>
        <v>patrimônio diminuiu</v>
      </c>
      <c r="I6" s="27"/>
      <c r="J6" s="28"/>
    </row>
    <row r="7">
      <c r="A7" s="374">
        <v>1.0</v>
      </c>
      <c r="B7" s="375" t="s">
        <v>759</v>
      </c>
      <c r="C7" s="376">
        <v>1.221685189E7</v>
      </c>
      <c r="D7" s="377">
        <f>G7</f>
        <v>9661414</v>
      </c>
      <c r="E7" s="376"/>
      <c r="F7" s="377">
        <v>9661414.0</v>
      </c>
      <c r="G7" s="377">
        <v>9661414.0</v>
      </c>
      <c r="H7" s="378">
        <f t="shared" ref="H7:H8" si="3">G7-D7</f>
        <v>0</v>
      </c>
      <c r="I7" s="379" t="s">
        <v>770</v>
      </c>
      <c r="J7" s="380"/>
    </row>
    <row r="8">
      <c r="A8" s="381" t="s">
        <v>320</v>
      </c>
      <c r="B8" s="382" t="s">
        <v>775</v>
      </c>
      <c r="C8" s="368">
        <v>145000.0</v>
      </c>
      <c r="D8" s="369">
        <f>C8</f>
        <v>145000</v>
      </c>
      <c r="E8" s="368"/>
      <c r="F8" s="369"/>
      <c r="G8" s="369">
        <v>0.0</v>
      </c>
      <c r="H8" s="384">
        <f t="shared" si="3"/>
        <v>-145000</v>
      </c>
      <c r="I8" s="385"/>
      <c r="J8" s="372"/>
    </row>
    <row r="9">
      <c r="A9" s="387" t="s">
        <v>268</v>
      </c>
      <c r="B9" s="375" t="s">
        <v>780</v>
      </c>
      <c r="C9" s="390"/>
      <c r="D9" s="393"/>
      <c r="E9" s="390"/>
      <c r="F9" s="393"/>
      <c r="G9" s="393"/>
      <c r="H9" s="378"/>
      <c r="I9" s="379"/>
      <c r="J9" s="398"/>
    </row>
    <row r="10">
      <c r="A10" s="399"/>
      <c r="B10" s="86"/>
      <c r="C10" s="134"/>
      <c r="D10" s="135"/>
      <c r="E10" s="134"/>
      <c r="F10" s="135"/>
      <c r="G10" s="135"/>
      <c r="H10" s="138"/>
      <c r="I10" s="139"/>
      <c r="J10" s="140"/>
    </row>
    <row r="11">
      <c r="A11" s="400"/>
      <c r="B11" s="401"/>
      <c r="C11" s="402"/>
      <c r="D11" s="403"/>
      <c r="E11" s="404"/>
      <c r="F11" s="405"/>
      <c r="G11" s="406"/>
      <c r="H11" s="407"/>
      <c r="I11" s="404"/>
      <c r="J11" s="408"/>
    </row>
    <row r="12">
      <c r="A12" s="409"/>
      <c r="B12" s="410"/>
      <c r="C12" s="411"/>
      <c r="D12" s="412"/>
      <c r="E12" s="413"/>
      <c r="F12" s="414"/>
      <c r="G12" s="415"/>
      <c r="H12" s="416"/>
      <c r="I12" s="413"/>
      <c r="J12" s="417"/>
    </row>
    <row r="13">
      <c r="A13" s="400"/>
      <c r="B13" s="401"/>
      <c r="C13" s="402"/>
      <c r="D13" s="403"/>
      <c r="E13" s="404"/>
      <c r="F13" s="405"/>
      <c r="G13" s="406"/>
      <c r="H13" s="407"/>
      <c r="I13" s="404"/>
      <c r="J13" s="408"/>
    </row>
    <row r="14">
      <c r="A14" s="409"/>
      <c r="B14" s="410"/>
      <c r="C14" s="411"/>
      <c r="D14" s="412"/>
      <c r="E14" s="413"/>
      <c r="F14" s="414"/>
      <c r="G14" s="415"/>
      <c r="H14" s="416"/>
      <c r="I14" s="413"/>
      <c r="J14" s="417"/>
    </row>
    <row r="15">
      <c r="A15" s="400"/>
      <c r="B15" s="401"/>
      <c r="C15" s="402"/>
      <c r="D15" s="403"/>
      <c r="E15" s="404"/>
      <c r="F15" s="405"/>
      <c r="G15" s="406"/>
      <c r="H15" s="407"/>
      <c r="I15" s="404"/>
      <c r="J15" s="408"/>
    </row>
    <row r="16">
      <c r="A16" s="409"/>
      <c r="B16" s="410"/>
      <c r="C16" s="411"/>
      <c r="D16" s="412"/>
      <c r="E16" s="413"/>
      <c r="F16" s="414"/>
      <c r="G16" s="415"/>
      <c r="H16" s="416"/>
      <c r="I16" s="413"/>
      <c r="J16" s="417"/>
    </row>
    <row r="17">
      <c r="A17" s="400"/>
      <c r="B17" s="401"/>
      <c r="C17" s="402"/>
      <c r="D17" s="403"/>
      <c r="E17" s="404"/>
      <c r="F17" s="405"/>
      <c r="G17" s="406"/>
      <c r="H17" s="407"/>
      <c r="I17" s="404"/>
      <c r="J17" s="408"/>
    </row>
    <row r="18">
      <c r="A18" s="409"/>
      <c r="B18" s="410"/>
      <c r="C18" s="411"/>
      <c r="D18" s="412"/>
      <c r="E18" s="413"/>
      <c r="F18" s="414"/>
      <c r="G18" s="415"/>
      <c r="H18" s="416"/>
      <c r="I18" s="413"/>
      <c r="J18" s="417"/>
    </row>
    <row r="19">
      <c r="A19" s="400"/>
      <c r="B19" s="401"/>
      <c r="C19" s="402"/>
      <c r="D19" s="403"/>
      <c r="E19" s="404"/>
      <c r="F19" s="405"/>
      <c r="G19" s="406"/>
      <c r="H19" s="407"/>
      <c r="I19" s="404"/>
      <c r="J19" s="408"/>
    </row>
    <row r="20">
      <c r="A20" s="409"/>
      <c r="B20" s="410"/>
      <c r="C20" s="411"/>
      <c r="D20" s="412"/>
      <c r="E20" s="413"/>
      <c r="F20" s="414"/>
      <c r="G20" s="415"/>
      <c r="H20" s="416"/>
      <c r="I20" s="413"/>
      <c r="J20" s="417"/>
    </row>
    <row r="21">
      <c r="A21" s="400"/>
      <c r="B21" s="401"/>
      <c r="C21" s="402"/>
      <c r="D21" s="403"/>
      <c r="E21" s="404"/>
      <c r="F21" s="405"/>
      <c r="G21" s="406"/>
      <c r="H21" s="407"/>
      <c r="I21" s="404"/>
      <c r="J21" s="408"/>
    </row>
    <row r="22">
      <c r="A22" s="409"/>
      <c r="B22" s="410"/>
      <c r="C22" s="411"/>
      <c r="D22" s="412"/>
      <c r="E22" s="413"/>
      <c r="F22" s="414"/>
      <c r="G22" s="415"/>
      <c r="H22" s="416"/>
      <c r="I22" s="413"/>
      <c r="J22" s="417"/>
    </row>
    <row r="23">
      <c r="A23" s="400"/>
      <c r="B23" s="401"/>
      <c r="C23" s="402"/>
      <c r="D23" s="403"/>
      <c r="E23" s="404"/>
      <c r="F23" s="405"/>
      <c r="G23" s="406"/>
      <c r="H23" s="407"/>
      <c r="I23" s="404"/>
      <c r="J23" s="408"/>
    </row>
  </sheetData>
  <autoFilter ref="$A$1:$J$23"/>
  <conditionalFormatting sqref="D1:D23">
    <cfRule type="cellIs" dxfId="4" priority="1" operator="lessThan">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358"/>
      <c r="B1" s="359" t="s">
        <v>695</v>
      </c>
      <c r="C1" s="360" t="s">
        <v>696</v>
      </c>
      <c r="D1" s="361" t="s">
        <v>697</v>
      </c>
      <c r="E1" s="360" t="s">
        <v>698</v>
      </c>
      <c r="F1" s="361"/>
      <c r="G1" s="362" t="s">
        <v>699</v>
      </c>
      <c r="H1" s="363" t="s">
        <v>130</v>
      </c>
      <c r="I1" s="364" t="s">
        <v>700</v>
      </c>
      <c r="J1" s="365"/>
    </row>
    <row r="2">
      <c r="A2" s="5">
        <v>2.0</v>
      </c>
      <c r="B2" s="6" t="s">
        <v>784</v>
      </c>
      <c r="C2" s="10">
        <f t="shared" ref="C2:H2" si="1">C4</f>
        <v>116600</v>
      </c>
      <c r="D2" s="12">
        <f t="shared" si="1"/>
        <v>116600</v>
      </c>
      <c r="E2" s="10" t="str">
        <f t="shared" si="1"/>
        <v/>
      </c>
      <c r="F2" s="12" t="str">
        <f t="shared" si="1"/>
        <v/>
      </c>
      <c r="G2" s="12">
        <f t="shared" si="1"/>
        <v>0</v>
      </c>
      <c r="H2" s="16">
        <f t="shared" si="1"/>
        <v>-116600</v>
      </c>
      <c r="I2" s="17"/>
      <c r="J2" s="18"/>
    </row>
    <row r="3">
      <c r="A3" s="19"/>
      <c r="B3" s="20"/>
      <c r="C3" s="21"/>
      <c r="D3" s="22"/>
      <c r="E3" s="373"/>
      <c r="F3" s="23">
        <f>SUM(F4:F6)</f>
        <v>0</v>
      </c>
      <c r="G3" s="23"/>
      <c r="H3" s="26" t="str">
        <f>IF(H2&lt;0,"patrimônio diminuiu","patrimônio aumentou")</f>
        <v>patrimônio diminuiu</v>
      </c>
      <c r="I3" s="27"/>
      <c r="J3" s="28"/>
    </row>
    <row r="4">
      <c r="A4" s="418" t="s">
        <v>320</v>
      </c>
      <c r="B4" s="375" t="s">
        <v>785</v>
      </c>
      <c r="C4" s="376">
        <v>116600.0</v>
      </c>
      <c r="D4" s="377">
        <v>116600.0</v>
      </c>
      <c r="E4" s="376"/>
      <c r="F4" s="377"/>
      <c r="G4" s="377">
        <v>0.0</v>
      </c>
      <c r="H4" s="419">
        <f>G4-D4</f>
        <v>-116600</v>
      </c>
      <c r="I4" s="420"/>
      <c r="J4" s="421"/>
    </row>
    <row r="5">
      <c r="A5" s="422"/>
      <c r="B5" s="423" t="s">
        <v>787</v>
      </c>
      <c r="C5" s="424">
        <v>0.0</v>
      </c>
      <c r="D5" s="425">
        <v>0.0</v>
      </c>
      <c r="E5" s="424"/>
      <c r="F5" s="425"/>
      <c r="G5" s="425">
        <v>0.0</v>
      </c>
      <c r="H5" s="426"/>
      <c r="I5" s="427" t="s">
        <v>791</v>
      </c>
      <c r="J5" s="428"/>
    </row>
    <row r="6">
      <c r="A6" s="429"/>
      <c r="B6" s="430"/>
      <c r="C6" s="432"/>
      <c r="D6" s="433"/>
      <c r="E6" s="432"/>
      <c r="F6" s="433"/>
      <c r="G6" s="433"/>
      <c r="H6" s="437"/>
      <c r="I6" s="439"/>
      <c r="J6" s="441"/>
    </row>
    <row r="7">
      <c r="A7" s="400"/>
      <c r="B7" s="401"/>
      <c r="C7" s="402"/>
      <c r="D7" s="403"/>
      <c r="E7" s="404"/>
      <c r="F7" s="405"/>
      <c r="G7" s="406"/>
      <c r="H7" s="407"/>
      <c r="I7" s="404"/>
      <c r="J7" s="408"/>
    </row>
    <row r="8">
      <c r="A8" s="409"/>
      <c r="B8" s="410"/>
      <c r="C8" s="411"/>
      <c r="D8" s="412"/>
      <c r="E8" s="413"/>
      <c r="F8" s="414"/>
      <c r="G8" s="415"/>
      <c r="H8" s="416"/>
      <c r="I8" s="413"/>
      <c r="J8" s="417"/>
    </row>
    <row r="9">
      <c r="A9" s="400"/>
      <c r="B9" s="401"/>
      <c r="C9" s="402"/>
      <c r="D9" s="403"/>
      <c r="E9" s="404"/>
      <c r="F9" s="405"/>
      <c r="G9" s="406"/>
      <c r="H9" s="407"/>
      <c r="I9" s="404"/>
      <c r="J9" s="408"/>
    </row>
    <row r="10">
      <c r="A10" s="409"/>
      <c r="B10" s="410"/>
      <c r="C10" s="411"/>
      <c r="D10" s="412"/>
      <c r="E10" s="413"/>
      <c r="F10" s="414"/>
      <c r="G10" s="415"/>
      <c r="H10" s="416"/>
      <c r="I10" s="413"/>
      <c r="J10" s="417"/>
    </row>
    <row r="11">
      <c r="A11" s="400"/>
      <c r="B11" s="401"/>
      <c r="C11" s="402"/>
      <c r="D11" s="403"/>
      <c r="E11" s="404"/>
      <c r="F11" s="405"/>
      <c r="G11" s="406"/>
      <c r="H11" s="407"/>
      <c r="I11" s="404"/>
      <c r="J11" s="408"/>
    </row>
    <row r="12">
      <c r="A12" s="409"/>
      <c r="B12" s="410"/>
      <c r="C12" s="411"/>
      <c r="D12" s="412"/>
      <c r="E12" s="413"/>
      <c r="F12" s="414"/>
      <c r="G12" s="415"/>
      <c r="H12" s="416"/>
      <c r="I12" s="413"/>
      <c r="J12" s="417"/>
    </row>
    <row r="13">
      <c r="A13" s="400"/>
      <c r="B13" s="401"/>
      <c r="C13" s="402"/>
      <c r="D13" s="403"/>
      <c r="E13" s="404"/>
      <c r="F13" s="405"/>
      <c r="G13" s="406"/>
      <c r="H13" s="407"/>
      <c r="I13" s="404"/>
      <c r="J13" s="408"/>
    </row>
    <row r="14">
      <c r="A14" s="409"/>
      <c r="B14" s="410"/>
      <c r="C14" s="411"/>
      <c r="D14" s="412"/>
      <c r="E14" s="413"/>
      <c r="F14" s="414"/>
      <c r="G14" s="415"/>
      <c r="H14" s="416"/>
      <c r="I14" s="413"/>
      <c r="J14" s="417"/>
    </row>
    <row r="15">
      <c r="A15" s="400"/>
      <c r="B15" s="401"/>
      <c r="C15" s="402"/>
      <c r="D15" s="403"/>
      <c r="E15" s="404"/>
      <c r="F15" s="405"/>
      <c r="G15" s="406"/>
      <c r="H15" s="407"/>
      <c r="I15" s="404"/>
      <c r="J15" s="408"/>
    </row>
    <row r="16">
      <c r="A16" s="409"/>
      <c r="B16" s="410"/>
      <c r="C16" s="411"/>
      <c r="D16" s="412"/>
      <c r="E16" s="413"/>
      <c r="F16" s="414"/>
      <c r="G16" s="415"/>
      <c r="H16" s="416"/>
      <c r="I16" s="413"/>
      <c r="J16" s="417"/>
    </row>
    <row r="17">
      <c r="A17" s="400"/>
      <c r="B17" s="401"/>
      <c r="C17" s="402"/>
      <c r="D17" s="403"/>
      <c r="E17" s="404"/>
      <c r="F17" s="405"/>
      <c r="G17" s="406"/>
      <c r="H17" s="407"/>
      <c r="I17" s="404"/>
      <c r="J17" s="408"/>
    </row>
    <row r="18">
      <c r="A18" s="409"/>
      <c r="B18" s="410"/>
      <c r="C18" s="411"/>
      <c r="D18" s="412"/>
      <c r="E18" s="413"/>
      <c r="F18" s="414"/>
      <c r="G18" s="415"/>
      <c r="H18" s="416"/>
      <c r="I18" s="413"/>
      <c r="J18" s="417"/>
    </row>
    <row r="19">
      <c r="A19" s="400"/>
      <c r="B19" s="401"/>
      <c r="C19" s="402"/>
      <c r="D19" s="403"/>
      <c r="E19" s="404"/>
      <c r="F19" s="405"/>
      <c r="G19" s="406"/>
      <c r="H19" s="407"/>
      <c r="I19" s="404"/>
      <c r="J19" s="408"/>
    </row>
    <row r="20">
      <c r="A20" s="409"/>
      <c r="B20" s="410"/>
      <c r="C20" s="411"/>
      <c r="D20" s="412"/>
      <c r="E20" s="413"/>
      <c r="F20" s="414"/>
      <c r="G20" s="415"/>
      <c r="H20" s="416"/>
      <c r="I20" s="413"/>
      <c r="J20" s="417"/>
    </row>
  </sheetData>
  <autoFilter ref="$A$1:$J$20"/>
  <conditionalFormatting sqref="D1:D20">
    <cfRule type="cellIs" dxfId="4" priority="1" operator="lessThan">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358"/>
      <c r="B1" s="359" t="s">
        <v>695</v>
      </c>
      <c r="C1" s="360" t="s">
        <v>696</v>
      </c>
      <c r="D1" s="361" t="s">
        <v>697</v>
      </c>
      <c r="E1" s="360" t="s">
        <v>698</v>
      </c>
      <c r="F1" s="361"/>
      <c r="G1" s="362" t="s">
        <v>699</v>
      </c>
      <c r="H1" s="363" t="s">
        <v>130</v>
      </c>
      <c r="I1" s="364" t="s">
        <v>700</v>
      </c>
      <c r="J1" s="365"/>
    </row>
    <row r="2">
      <c r="A2" s="5">
        <v>4.0</v>
      </c>
      <c r="B2" s="6" t="s">
        <v>814</v>
      </c>
      <c r="C2" s="10">
        <f t="shared" ref="C2:H2" si="1">SUM(C4:C8)</f>
        <v>391000</v>
      </c>
      <c r="D2" s="12">
        <f t="shared" si="1"/>
        <v>408000</v>
      </c>
      <c r="E2" s="10">
        <f t="shared" si="1"/>
        <v>0</v>
      </c>
      <c r="F2" s="12">
        <f t="shared" si="1"/>
        <v>315000</v>
      </c>
      <c r="G2" s="12">
        <f t="shared" si="1"/>
        <v>315000</v>
      </c>
      <c r="H2" s="16">
        <f t="shared" si="1"/>
        <v>-93000</v>
      </c>
      <c r="I2" s="17"/>
      <c r="J2" s="18"/>
    </row>
    <row r="3">
      <c r="A3" s="19"/>
      <c r="B3" s="20"/>
      <c r="C3" s="21" t="s">
        <v>19</v>
      </c>
      <c r="D3" s="22">
        <f>(D2/C2)-1</f>
        <v>0.04347826087</v>
      </c>
      <c r="E3" s="373"/>
      <c r="F3" s="23">
        <f>SUM(F4:F9)</f>
        <v>315000</v>
      </c>
      <c r="G3" s="23"/>
      <c r="H3" s="26" t="str">
        <f>IF(H2&lt;0,"patrimônio diminuiu","patrimônio aumentou")</f>
        <v>patrimônio diminuiu</v>
      </c>
      <c r="I3" s="27"/>
      <c r="J3" s="28"/>
    </row>
    <row r="4">
      <c r="A4" s="418">
        <v>1.0</v>
      </c>
      <c r="B4" s="375" t="s">
        <v>819</v>
      </c>
      <c r="C4" s="376">
        <v>200000.0</v>
      </c>
      <c r="D4" s="377">
        <v>200000.0</v>
      </c>
      <c r="E4" s="376"/>
      <c r="F4" s="377">
        <v>200000.0</v>
      </c>
      <c r="G4" s="377">
        <v>200000.0</v>
      </c>
      <c r="H4" s="442">
        <f t="shared" ref="H4:H8" si="2">G4-D4</f>
        <v>0</v>
      </c>
      <c r="I4" s="443"/>
      <c r="J4" s="380"/>
    </row>
    <row r="5">
      <c r="A5" s="444">
        <v>2.0</v>
      </c>
      <c r="B5" s="382" t="s">
        <v>825</v>
      </c>
      <c r="C5" s="370">
        <v>60000.0</v>
      </c>
      <c r="D5" s="445">
        <v>70000.0</v>
      </c>
      <c r="E5" s="370"/>
      <c r="F5" s="445">
        <v>70000.0</v>
      </c>
      <c r="G5" s="445">
        <v>70000.0</v>
      </c>
      <c r="H5" s="304">
        <f t="shared" si="2"/>
        <v>0</v>
      </c>
      <c r="I5" s="446"/>
      <c r="J5" s="447"/>
    </row>
    <row r="6">
      <c r="A6" s="418">
        <v>3.0</v>
      </c>
      <c r="B6" s="375" t="s">
        <v>827</v>
      </c>
      <c r="C6" s="376">
        <v>38000.0</v>
      </c>
      <c r="D6" s="377">
        <v>45000.0</v>
      </c>
      <c r="E6" s="376"/>
      <c r="F6" s="377">
        <v>45000.0</v>
      </c>
      <c r="G6" s="377">
        <v>45000.0</v>
      </c>
      <c r="H6" s="442">
        <f t="shared" si="2"/>
        <v>0</v>
      </c>
      <c r="I6" s="443"/>
      <c r="J6" s="380"/>
    </row>
    <row r="7">
      <c r="A7" s="444" t="s">
        <v>320</v>
      </c>
      <c r="B7" s="382" t="s">
        <v>829</v>
      </c>
      <c r="C7" s="370">
        <v>93000.0</v>
      </c>
      <c r="D7" s="445">
        <v>93000.0</v>
      </c>
      <c r="E7" s="370"/>
      <c r="F7" s="445"/>
      <c r="G7" s="445">
        <v>0.0</v>
      </c>
      <c r="H7" s="304">
        <f t="shared" si="2"/>
        <v>-93000</v>
      </c>
      <c r="I7" s="446"/>
      <c r="J7" s="447"/>
    </row>
    <row r="8">
      <c r="A8" s="418" t="s">
        <v>268</v>
      </c>
      <c r="B8" s="375" t="s">
        <v>830</v>
      </c>
      <c r="C8" s="376"/>
      <c r="D8" s="377"/>
      <c r="E8" s="376"/>
      <c r="F8" s="377"/>
      <c r="G8" s="377"/>
      <c r="H8" s="442">
        <f t="shared" si="2"/>
        <v>0</v>
      </c>
      <c r="I8" s="443"/>
      <c r="J8" s="380"/>
    </row>
    <row r="9">
      <c r="A9" s="448"/>
      <c r="B9" s="449"/>
      <c r="C9" s="450"/>
      <c r="D9" s="451"/>
      <c r="E9" s="450"/>
      <c r="F9" s="451"/>
      <c r="G9" s="451"/>
      <c r="H9" s="452"/>
      <c r="I9" s="453"/>
      <c r="J9" s="454"/>
    </row>
    <row r="10">
      <c r="A10" s="400"/>
      <c r="B10" s="401"/>
      <c r="C10" s="402"/>
      <c r="D10" s="403"/>
      <c r="E10" s="404"/>
      <c r="F10" s="405"/>
      <c r="G10" s="406"/>
      <c r="H10" s="407"/>
      <c r="I10" s="404"/>
      <c r="J10" s="408"/>
    </row>
    <row r="11">
      <c r="A11" s="409"/>
      <c r="B11" s="410"/>
      <c r="C11" s="411"/>
      <c r="D11" s="412"/>
      <c r="E11" s="413"/>
      <c r="F11" s="414"/>
      <c r="G11" s="415"/>
      <c r="H11" s="416"/>
      <c r="I11" s="413"/>
      <c r="J11" s="417"/>
    </row>
    <row r="12">
      <c r="A12" s="400"/>
      <c r="B12" s="401"/>
      <c r="C12" s="402"/>
      <c r="D12" s="403"/>
      <c r="E12" s="404"/>
      <c r="F12" s="405"/>
      <c r="G12" s="406"/>
      <c r="H12" s="407"/>
      <c r="I12" s="404"/>
      <c r="J12" s="408"/>
    </row>
    <row r="13">
      <c r="A13" s="409"/>
      <c r="B13" s="410"/>
      <c r="C13" s="411"/>
      <c r="D13" s="412"/>
      <c r="E13" s="413"/>
      <c r="F13" s="414"/>
      <c r="G13" s="415"/>
      <c r="H13" s="416"/>
      <c r="I13" s="413"/>
      <c r="J13" s="417"/>
    </row>
    <row r="14">
      <c r="A14" s="400"/>
      <c r="B14" s="401"/>
      <c r="C14" s="402"/>
      <c r="D14" s="403"/>
      <c r="E14" s="404"/>
      <c r="F14" s="405"/>
      <c r="G14" s="406"/>
      <c r="H14" s="407"/>
      <c r="I14" s="404"/>
      <c r="J14" s="408"/>
    </row>
    <row r="15">
      <c r="A15" s="409"/>
      <c r="B15" s="410"/>
      <c r="C15" s="411"/>
      <c r="D15" s="412"/>
      <c r="E15" s="413"/>
      <c r="F15" s="414"/>
      <c r="G15" s="415"/>
      <c r="H15" s="416"/>
      <c r="I15" s="413"/>
      <c r="J15" s="417"/>
    </row>
    <row r="16">
      <c r="A16" s="400"/>
      <c r="B16" s="401"/>
      <c r="C16" s="402"/>
      <c r="D16" s="403"/>
      <c r="E16" s="404"/>
      <c r="F16" s="405"/>
      <c r="G16" s="406"/>
      <c r="H16" s="407"/>
      <c r="I16" s="404"/>
      <c r="J16" s="408"/>
    </row>
    <row r="17">
      <c r="A17" s="409"/>
      <c r="B17" s="410"/>
      <c r="C17" s="411"/>
      <c r="D17" s="412"/>
      <c r="E17" s="413"/>
      <c r="F17" s="414"/>
      <c r="G17" s="415"/>
      <c r="H17" s="416"/>
      <c r="I17" s="413"/>
      <c r="J17" s="417"/>
    </row>
    <row r="18">
      <c r="A18" s="400"/>
      <c r="B18" s="401"/>
      <c r="C18" s="402"/>
      <c r="D18" s="403"/>
      <c r="E18" s="404"/>
      <c r="F18" s="405"/>
      <c r="G18" s="406"/>
      <c r="H18" s="407"/>
      <c r="I18" s="404"/>
      <c r="J18" s="408"/>
    </row>
    <row r="19">
      <c r="A19" s="409"/>
      <c r="B19" s="410"/>
      <c r="C19" s="411"/>
      <c r="D19" s="412"/>
      <c r="E19" s="413"/>
      <c r="F19" s="414"/>
      <c r="G19" s="415"/>
      <c r="H19" s="416"/>
      <c r="I19" s="413"/>
      <c r="J19" s="417"/>
    </row>
    <row r="20">
      <c r="A20" s="400"/>
      <c r="B20" s="401"/>
      <c r="C20" s="402"/>
      <c r="D20" s="403"/>
      <c r="E20" s="404"/>
      <c r="F20" s="405"/>
      <c r="G20" s="406"/>
      <c r="H20" s="407"/>
      <c r="I20" s="404"/>
      <c r="J20" s="408"/>
    </row>
    <row r="21">
      <c r="A21" s="409"/>
      <c r="B21" s="410"/>
      <c r="C21" s="411"/>
      <c r="D21" s="412"/>
      <c r="E21" s="413"/>
      <c r="F21" s="414"/>
      <c r="G21" s="415"/>
      <c r="H21" s="416"/>
      <c r="I21" s="413"/>
      <c r="J21" s="417"/>
    </row>
    <row r="22">
      <c r="A22" s="400"/>
      <c r="B22" s="401"/>
      <c r="C22" s="402"/>
      <c r="D22" s="403"/>
      <c r="E22" s="404"/>
      <c r="F22" s="405"/>
      <c r="G22" s="406"/>
      <c r="H22" s="407"/>
      <c r="I22" s="404"/>
      <c r="J22" s="408"/>
    </row>
    <row r="23">
      <c r="A23" s="409"/>
      <c r="B23" s="410"/>
      <c r="C23" s="411"/>
      <c r="D23" s="412"/>
      <c r="E23" s="413"/>
      <c r="F23" s="414"/>
      <c r="G23" s="415"/>
      <c r="H23" s="416"/>
      <c r="I23" s="413"/>
      <c r="J23" s="417"/>
    </row>
  </sheetData>
  <autoFilter ref="$A$1:$J$23"/>
  <conditionalFormatting sqref="D1:D23">
    <cfRule type="cellIs" dxfId="4" priority="1" operator="lessThan">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8" width="19.13"/>
    <col customWidth="1" min="9" max="9" width="21.63"/>
    <col customWidth="1" min="10" max="10" width="85.88"/>
    <col customWidth="1" min="11" max="11" width="25.13"/>
  </cols>
  <sheetData>
    <row r="1">
      <c r="A1" s="358"/>
      <c r="B1" s="359" t="s">
        <v>695</v>
      </c>
      <c r="C1" s="360" t="s">
        <v>696</v>
      </c>
      <c r="D1" s="361" t="s">
        <v>697</v>
      </c>
      <c r="E1" s="360" t="s">
        <v>698</v>
      </c>
      <c r="F1" s="361"/>
      <c r="G1" s="362" t="s">
        <v>699</v>
      </c>
      <c r="H1" s="455" t="s">
        <v>868</v>
      </c>
      <c r="I1" s="363" t="s">
        <v>130</v>
      </c>
      <c r="J1" s="364" t="s">
        <v>700</v>
      </c>
      <c r="K1" s="365"/>
    </row>
    <row r="2">
      <c r="A2" s="5">
        <v>5.0</v>
      </c>
      <c r="B2" s="6" t="s">
        <v>871</v>
      </c>
      <c r="C2" s="10">
        <f t="shared" ref="C2:G2" si="1">C4+C13+C15+C17+C24+C35+C39+C41</f>
        <v>48730897.83</v>
      </c>
      <c r="D2" s="12">
        <f t="shared" si="1"/>
        <v>75444029.5</v>
      </c>
      <c r="E2" s="10">
        <f t="shared" si="1"/>
        <v>0</v>
      </c>
      <c r="F2" s="12">
        <f t="shared" si="1"/>
        <v>22198515</v>
      </c>
      <c r="G2" s="12">
        <f t="shared" si="1"/>
        <v>75410201</v>
      </c>
      <c r="H2" s="13">
        <f>SUM(H3:H42)</f>
        <v>50914157.5</v>
      </c>
      <c r="I2" s="16">
        <f>I4+I13+I15+I17+I24+I35+I39+I41</f>
        <v>-33828.5</v>
      </c>
      <c r="J2" s="17"/>
      <c r="K2" s="18"/>
    </row>
    <row r="3" ht="16.5" customHeight="1">
      <c r="A3" s="19"/>
      <c r="B3" s="20"/>
      <c r="C3" s="21" t="s">
        <v>19</v>
      </c>
      <c r="D3" s="22">
        <f>(D2/C2)-1</f>
        <v>0.5481764724</v>
      </c>
      <c r="E3" s="373"/>
      <c r="F3" s="23">
        <f>SUM(F4:F9)</f>
        <v>0</v>
      </c>
      <c r="G3" s="23"/>
      <c r="H3" s="24"/>
      <c r="I3" s="26" t="str">
        <f>IF(I2&lt;0,"patrimônio diminuiu","patrimônio aumentou")</f>
        <v>patrimônio diminuiu</v>
      </c>
      <c r="J3" s="27"/>
      <c r="K3" s="28"/>
    </row>
    <row r="4">
      <c r="A4" s="48">
        <v>1.0</v>
      </c>
      <c r="B4" s="49" t="s">
        <v>877</v>
      </c>
      <c r="C4" s="50">
        <f t="shared" ref="C4:G4" si="2">SUM(C6:C12)</f>
        <v>17475786.03</v>
      </c>
      <c r="D4" s="52">
        <f t="shared" si="2"/>
        <v>13504243.5</v>
      </c>
      <c r="E4" s="456">
        <f t="shared" si="2"/>
        <v>0</v>
      </c>
      <c r="F4" s="457">
        <f t="shared" si="2"/>
        <v>0</v>
      </c>
      <c r="G4" s="52">
        <f t="shared" si="2"/>
        <v>13504243.5</v>
      </c>
      <c r="H4" s="55"/>
      <c r="I4" s="58"/>
      <c r="J4" s="59" t="s">
        <v>880</v>
      </c>
      <c r="K4" s="60"/>
    </row>
    <row r="5">
      <c r="A5" s="63"/>
      <c r="B5" s="66"/>
      <c r="C5" s="458" t="s">
        <v>19</v>
      </c>
      <c r="D5" s="459">
        <f>(D4/C4)-1</f>
        <v>-0.2272597366</v>
      </c>
      <c r="E5" s="460"/>
      <c r="F5" s="461"/>
      <c r="G5" s="76"/>
      <c r="H5" s="462"/>
      <c r="I5" s="463"/>
      <c r="J5" s="79"/>
      <c r="K5" s="82"/>
    </row>
    <row r="6">
      <c r="A6" s="465" t="s">
        <v>892</v>
      </c>
      <c r="B6" s="375" t="s">
        <v>893</v>
      </c>
      <c r="C6" s="376"/>
      <c r="D6" s="377"/>
      <c r="E6" s="376"/>
      <c r="F6" s="377"/>
      <c r="G6" s="377"/>
      <c r="H6" s="466"/>
      <c r="I6" s="442"/>
      <c r="J6" s="467"/>
      <c r="K6" s="421"/>
    </row>
    <row r="7">
      <c r="A7" s="468" t="s">
        <v>894</v>
      </c>
      <c r="B7" s="382" t="s">
        <v>895</v>
      </c>
      <c r="C7" s="370">
        <v>5760000.0</v>
      </c>
      <c r="D7" s="445">
        <f t="shared" ref="D7:D13" si="3">G7</f>
        <v>4320000</v>
      </c>
      <c r="E7" s="370"/>
      <c r="F7" s="445"/>
      <c r="G7" s="445">
        <v>4320000.0</v>
      </c>
      <c r="H7" s="469"/>
      <c r="I7" s="304">
        <f t="shared" ref="I7:I13" si="4">G7-D7</f>
        <v>0</v>
      </c>
      <c r="J7" s="305"/>
      <c r="K7" s="470"/>
    </row>
    <row r="8">
      <c r="A8" s="465" t="s">
        <v>896</v>
      </c>
      <c r="B8" s="375" t="s">
        <v>897</v>
      </c>
      <c r="C8" s="376">
        <v>4394343.6</v>
      </c>
      <c r="D8" s="377">
        <f t="shared" si="3"/>
        <v>3845155.2</v>
      </c>
      <c r="E8" s="376"/>
      <c r="F8" s="377"/>
      <c r="G8" s="377">
        <v>3845155.2</v>
      </c>
      <c r="H8" s="466"/>
      <c r="I8" s="442">
        <f t="shared" si="4"/>
        <v>0</v>
      </c>
      <c r="J8" s="471" t="s">
        <v>898</v>
      </c>
      <c r="K8" s="421"/>
    </row>
    <row r="9">
      <c r="A9" s="468" t="s">
        <v>899</v>
      </c>
      <c r="B9" s="382" t="s">
        <v>900</v>
      </c>
      <c r="C9" s="370">
        <v>717799.5</v>
      </c>
      <c r="D9" s="445">
        <f t="shared" si="3"/>
        <v>574239.6</v>
      </c>
      <c r="E9" s="370"/>
      <c r="F9" s="445"/>
      <c r="G9" s="445">
        <v>574239.6</v>
      </c>
      <c r="H9" s="469"/>
      <c r="I9" s="304">
        <f t="shared" si="4"/>
        <v>0</v>
      </c>
      <c r="J9" s="472" t="s">
        <v>901</v>
      </c>
      <c r="K9" s="470"/>
    </row>
    <row r="10">
      <c r="A10" s="465" t="s">
        <v>902</v>
      </c>
      <c r="B10" s="375" t="s">
        <v>903</v>
      </c>
      <c r="C10" s="376">
        <v>2400000.0</v>
      </c>
      <c r="D10" s="377">
        <f t="shared" si="3"/>
        <v>1728000</v>
      </c>
      <c r="E10" s="376"/>
      <c r="F10" s="377"/>
      <c r="G10" s="377">
        <v>1728000.0</v>
      </c>
      <c r="H10" s="466"/>
      <c r="I10" s="442">
        <f t="shared" si="4"/>
        <v>0</v>
      </c>
      <c r="J10" s="467"/>
      <c r="K10" s="421"/>
    </row>
    <row r="11">
      <c r="A11" s="468" t="s">
        <v>905</v>
      </c>
      <c r="B11" s="382" t="s">
        <v>906</v>
      </c>
      <c r="C11" s="370">
        <v>1500000.0</v>
      </c>
      <c r="D11" s="445">
        <f t="shared" si="3"/>
        <v>1200000</v>
      </c>
      <c r="E11" s="370"/>
      <c r="F11" s="445"/>
      <c r="G11" s="445">
        <v>1200000.0</v>
      </c>
      <c r="H11" s="469"/>
      <c r="I11" s="304">
        <f t="shared" si="4"/>
        <v>0</v>
      </c>
      <c r="J11" s="305"/>
      <c r="K11" s="470"/>
    </row>
    <row r="12">
      <c r="A12" s="465" t="s">
        <v>907</v>
      </c>
      <c r="B12" s="375" t="s">
        <v>908</v>
      </c>
      <c r="C12" s="376">
        <v>2703642.93</v>
      </c>
      <c r="D12" s="377">
        <f t="shared" si="3"/>
        <v>1836848.7</v>
      </c>
      <c r="E12" s="376"/>
      <c r="F12" s="377"/>
      <c r="G12" s="377">
        <v>1836848.7</v>
      </c>
      <c r="H12" s="466"/>
      <c r="I12" s="442">
        <f t="shared" si="4"/>
        <v>0</v>
      </c>
      <c r="J12" s="471" t="s">
        <v>909</v>
      </c>
      <c r="K12" s="421"/>
    </row>
    <row r="13">
      <c r="A13" s="48">
        <v>2.0</v>
      </c>
      <c r="B13" s="49" t="s">
        <v>911</v>
      </c>
      <c r="C13" s="50">
        <v>1.08E7</v>
      </c>
      <c r="D13" s="52">
        <f t="shared" si="3"/>
        <v>8100000</v>
      </c>
      <c r="E13" s="456"/>
      <c r="F13" s="457">
        <v>8100000.0</v>
      </c>
      <c r="G13" s="52">
        <v>8100000.0</v>
      </c>
      <c r="H13" s="55"/>
      <c r="I13" s="58">
        <f t="shared" si="4"/>
        <v>0</v>
      </c>
      <c r="J13" s="59"/>
      <c r="K13" s="60"/>
    </row>
    <row r="14">
      <c r="A14" s="63"/>
      <c r="B14" s="66"/>
      <c r="C14" s="458" t="s">
        <v>19</v>
      </c>
      <c r="D14" s="459">
        <f>(D13/C13)-1</f>
        <v>-0.25</v>
      </c>
      <c r="E14" s="460"/>
      <c r="F14" s="461"/>
      <c r="G14" s="76"/>
      <c r="H14" s="462"/>
      <c r="I14" s="463"/>
      <c r="J14" s="79"/>
      <c r="K14" s="82"/>
    </row>
    <row r="15">
      <c r="A15" s="48">
        <v>3.0</v>
      </c>
      <c r="B15" s="49" t="s">
        <v>924</v>
      </c>
      <c r="C15" s="50">
        <v>2250000.0</v>
      </c>
      <c r="D15" s="52">
        <f>G15</f>
        <v>2500000</v>
      </c>
      <c r="E15" s="456"/>
      <c r="F15" s="457">
        <v>2500000.0</v>
      </c>
      <c r="G15" s="52">
        <v>2500000.0</v>
      </c>
      <c r="H15" s="55"/>
      <c r="I15" s="58">
        <f>G15-D15</f>
        <v>0</v>
      </c>
      <c r="J15" s="59"/>
      <c r="K15" s="60"/>
    </row>
    <row r="16">
      <c r="A16" s="63"/>
      <c r="B16" s="66"/>
      <c r="C16" s="458" t="s">
        <v>19</v>
      </c>
      <c r="D16" s="459">
        <f>(D15/C15)-1</f>
        <v>0.1111111111</v>
      </c>
      <c r="E16" s="460"/>
      <c r="F16" s="461"/>
      <c r="G16" s="76"/>
      <c r="H16" s="462"/>
      <c r="I16" s="463"/>
      <c r="J16" s="79"/>
      <c r="K16" s="82"/>
    </row>
    <row r="17">
      <c r="A17" s="48">
        <v>4.0</v>
      </c>
      <c r="B17" s="49" t="s">
        <v>925</v>
      </c>
      <c r="C17" s="50">
        <f t="shared" ref="C17:D17" si="5">SUM(C19:C23)</f>
        <v>3879091.8</v>
      </c>
      <c r="D17" s="52">
        <f t="shared" si="5"/>
        <v>5294686</v>
      </c>
      <c r="E17" s="456"/>
      <c r="F17" s="457">
        <v>5560857.5</v>
      </c>
      <c r="G17" s="52">
        <f>SUM(G19:G23)</f>
        <v>5560857.5</v>
      </c>
      <c r="H17" s="55">
        <v>5560857.5</v>
      </c>
      <c r="I17" s="58">
        <f>G17-D17</f>
        <v>266171.5</v>
      </c>
      <c r="J17" s="59"/>
      <c r="K17" s="60"/>
    </row>
    <row r="18">
      <c r="A18" s="63"/>
      <c r="B18" s="66"/>
      <c r="C18" s="458" t="s">
        <v>19</v>
      </c>
      <c r="D18" s="459">
        <f>(D17/C17)-1</f>
        <v>0.3649292858</v>
      </c>
      <c r="E18" s="460"/>
      <c r="F18" s="461"/>
      <c r="G18" s="76"/>
      <c r="H18" s="462"/>
      <c r="I18" s="463"/>
      <c r="J18" s="79"/>
      <c r="K18" s="82"/>
    </row>
    <row r="19">
      <c r="A19" s="468" t="s">
        <v>932</v>
      </c>
      <c r="B19" s="382" t="s">
        <v>934</v>
      </c>
      <c r="C19" s="370">
        <v>2820000.0</v>
      </c>
      <c r="D19" s="445">
        <f t="shared" ref="D19:D22" si="6">G19</f>
        <v>4230000</v>
      </c>
      <c r="E19" s="370"/>
      <c r="F19" s="445"/>
      <c r="G19" s="445">
        <v>4230000.0</v>
      </c>
      <c r="H19" s="469"/>
      <c r="I19" s="384"/>
      <c r="J19" s="472"/>
      <c r="K19" s="470"/>
    </row>
    <row r="20">
      <c r="A20" s="465" t="s">
        <v>939</v>
      </c>
      <c r="B20" s="375" t="s">
        <v>940</v>
      </c>
      <c r="C20" s="376">
        <v>664686.0</v>
      </c>
      <c r="D20" s="377">
        <f t="shared" si="6"/>
        <v>664686</v>
      </c>
      <c r="E20" s="376"/>
      <c r="F20" s="377"/>
      <c r="G20" s="377">
        <v>664686.0</v>
      </c>
      <c r="H20" s="466"/>
      <c r="I20" s="378"/>
      <c r="J20" s="471" t="s">
        <v>942</v>
      </c>
      <c r="K20" s="421"/>
    </row>
    <row r="21">
      <c r="A21" s="468" t="s">
        <v>943</v>
      </c>
      <c r="B21" s="382" t="s">
        <v>944</v>
      </c>
      <c r="C21" s="370">
        <v>150000.0</v>
      </c>
      <c r="D21" s="445">
        <f t="shared" si="6"/>
        <v>150000</v>
      </c>
      <c r="E21" s="370"/>
      <c r="F21" s="445"/>
      <c r="G21" s="445">
        <v>150000.0</v>
      </c>
      <c r="H21" s="469"/>
      <c r="I21" s="384"/>
      <c r="J21" s="472"/>
      <c r="K21" s="470"/>
    </row>
    <row r="22">
      <c r="A22" s="465" t="s">
        <v>947</v>
      </c>
      <c r="B22" s="375" t="s">
        <v>949</v>
      </c>
      <c r="C22" s="376">
        <v>244405.8</v>
      </c>
      <c r="D22" s="377">
        <f t="shared" si="6"/>
        <v>250000</v>
      </c>
      <c r="E22" s="376"/>
      <c r="F22" s="377"/>
      <c r="G22" s="377">
        <v>250000.0</v>
      </c>
      <c r="H22" s="466"/>
      <c r="I22" s="378"/>
      <c r="J22" s="471"/>
      <c r="K22" s="421"/>
    </row>
    <row r="23">
      <c r="A23" s="468" t="s">
        <v>951</v>
      </c>
      <c r="B23" s="382" t="s">
        <v>953</v>
      </c>
      <c r="C23" s="370">
        <v>0.0</v>
      </c>
      <c r="D23" s="445">
        <v>0.0</v>
      </c>
      <c r="E23" s="370"/>
      <c r="F23" s="445"/>
      <c r="G23" s="445">
        <v>266171.5</v>
      </c>
      <c r="H23" s="469"/>
      <c r="I23" s="384"/>
      <c r="J23" s="472"/>
      <c r="K23" s="470"/>
    </row>
    <row r="24">
      <c r="A24" s="473">
        <v>5.0</v>
      </c>
      <c r="B24" s="474" t="s">
        <v>315</v>
      </c>
      <c r="C24" s="475">
        <f t="shared" ref="C24:D24" si="7">C27+C30+C33</f>
        <v>13588520</v>
      </c>
      <c r="D24" s="476">
        <f t="shared" si="7"/>
        <v>44828300</v>
      </c>
      <c r="E24" s="477"/>
      <c r="F24" s="478">
        <v>5560857.5</v>
      </c>
      <c r="G24" s="476">
        <f>G27+G30+G33</f>
        <v>44828300</v>
      </c>
      <c r="H24" s="479">
        <v>4.48283E7</v>
      </c>
      <c r="I24" s="480">
        <f>G24-D24</f>
        <v>0</v>
      </c>
      <c r="J24" s="481"/>
      <c r="K24" s="482"/>
    </row>
    <row r="25">
      <c r="A25" s="483"/>
      <c r="B25" s="484"/>
      <c r="C25" s="485" t="s">
        <v>19</v>
      </c>
      <c r="D25" s="486">
        <f>(D24/C24)-1</f>
        <v>2.298983259</v>
      </c>
      <c r="E25" s="487"/>
      <c r="F25" s="488"/>
      <c r="G25" s="489"/>
      <c r="H25" s="490"/>
      <c r="I25" s="491"/>
      <c r="J25" s="492"/>
      <c r="K25" s="493"/>
    </row>
    <row r="26">
      <c r="A26" s="429" t="s">
        <v>980</v>
      </c>
      <c r="B26" s="430" t="s">
        <v>981</v>
      </c>
      <c r="C26" s="432"/>
      <c r="D26" s="433"/>
      <c r="E26" s="432"/>
      <c r="F26" s="433">
        <v>5.29789E7</v>
      </c>
      <c r="G26" s="433"/>
      <c r="H26" s="494"/>
      <c r="I26" s="495"/>
      <c r="J26" s="496" t="s">
        <v>983</v>
      </c>
      <c r="K26" s="497"/>
    </row>
    <row r="27">
      <c r="A27" s="498" t="s">
        <v>984</v>
      </c>
      <c r="B27" s="499" t="s">
        <v>986</v>
      </c>
      <c r="C27" s="500">
        <f t="shared" ref="C27:D27" si="8">C28+C29</f>
        <v>8492000</v>
      </c>
      <c r="D27" s="501">
        <f t="shared" si="8"/>
        <v>31460000</v>
      </c>
      <c r="E27" s="500"/>
      <c r="F27" s="501"/>
      <c r="G27" s="501">
        <f>G28+G29</f>
        <v>31460000</v>
      </c>
      <c r="H27" s="502"/>
      <c r="I27" s="503"/>
      <c r="J27" s="504"/>
      <c r="K27" s="505"/>
    </row>
    <row r="28">
      <c r="A28" s="465" t="s">
        <v>994</v>
      </c>
      <c r="B28" s="375" t="s">
        <v>996</v>
      </c>
      <c r="C28" s="376">
        <f>100*44000</f>
        <v>4400000</v>
      </c>
      <c r="D28" s="377">
        <f t="shared" ref="D28:D29" si="9">G28</f>
        <v>11000000</v>
      </c>
      <c r="E28" s="376"/>
      <c r="F28" s="377"/>
      <c r="G28" s="377">
        <f>110000*100</f>
        <v>11000000</v>
      </c>
      <c r="H28" s="466"/>
      <c r="I28" s="378"/>
      <c r="J28" s="496"/>
      <c r="K28" s="421"/>
    </row>
    <row r="29">
      <c r="A29" s="468" t="s">
        <v>1008</v>
      </c>
      <c r="B29" s="382" t="s">
        <v>1011</v>
      </c>
      <c r="C29" s="370">
        <f>186*22000</f>
        <v>4092000</v>
      </c>
      <c r="D29" s="445">
        <f t="shared" si="9"/>
        <v>20460000</v>
      </c>
      <c r="E29" s="370"/>
      <c r="F29" s="445"/>
      <c r="G29" s="445">
        <f>186*110000</f>
        <v>20460000</v>
      </c>
      <c r="H29" s="469"/>
      <c r="I29" s="384"/>
      <c r="J29" s="506"/>
      <c r="K29" s="470"/>
    </row>
    <row r="30">
      <c r="A30" s="498" t="s">
        <v>1022</v>
      </c>
      <c r="B30" s="499" t="s">
        <v>1023</v>
      </c>
      <c r="C30" s="500">
        <f t="shared" ref="C30:D30" si="10">C31+C32</f>
        <v>2257200</v>
      </c>
      <c r="D30" s="501">
        <f t="shared" si="10"/>
        <v>6270000</v>
      </c>
      <c r="E30" s="500"/>
      <c r="F30" s="501"/>
      <c r="G30" s="501">
        <f>G31+G32</f>
        <v>6270000</v>
      </c>
      <c r="H30" s="502"/>
      <c r="I30" s="503"/>
      <c r="J30" s="504"/>
      <c r="K30" s="505"/>
    </row>
    <row r="31">
      <c r="A31" s="468" t="s">
        <v>1036</v>
      </c>
      <c r="B31" s="382" t="s">
        <v>1037</v>
      </c>
      <c r="C31" s="370">
        <f>45.6*44000</f>
        <v>2006400</v>
      </c>
      <c r="D31" s="445">
        <f t="shared" ref="D31:D32" si="11">G31</f>
        <v>5016000</v>
      </c>
      <c r="E31" s="370"/>
      <c r="F31" s="445"/>
      <c r="G31" s="445">
        <f>45.6*110000</f>
        <v>5016000</v>
      </c>
      <c r="H31" s="469"/>
      <c r="I31" s="384"/>
      <c r="J31" s="506"/>
      <c r="K31" s="447"/>
    </row>
    <row r="32">
      <c r="A32" s="465" t="s">
        <v>1050</v>
      </c>
      <c r="B32" s="375" t="s">
        <v>1052</v>
      </c>
      <c r="C32" s="376">
        <f>11.4*22000</f>
        <v>250800</v>
      </c>
      <c r="D32" s="377">
        <f t="shared" si="11"/>
        <v>1254000</v>
      </c>
      <c r="E32" s="376"/>
      <c r="F32" s="377"/>
      <c r="G32" s="377">
        <f>11.4*110000</f>
        <v>1254000</v>
      </c>
      <c r="H32" s="466"/>
      <c r="I32" s="378"/>
      <c r="J32" s="496"/>
      <c r="K32" s="380"/>
    </row>
    <row r="33">
      <c r="A33" s="498" t="s">
        <v>1062</v>
      </c>
      <c r="B33" s="499" t="s">
        <v>1063</v>
      </c>
      <c r="C33" s="500">
        <f t="shared" ref="C33:D33" si="12">C34</f>
        <v>2839320</v>
      </c>
      <c r="D33" s="501">
        <f t="shared" si="12"/>
        <v>7098300</v>
      </c>
      <c r="E33" s="500"/>
      <c r="F33" s="501"/>
      <c r="G33" s="501">
        <f>G34</f>
        <v>7098300</v>
      </c>
      <c r="H33" s="502"/>
      <c r="I33" s="503"/>
      <c r="J33" s="504"/>
      <c r="K33" s="505"/>
    </row>
    <row r="34">
      <c r="A34" s="465" t="s">
        <v>1072</v>
      </c>
      <c r="B34" s="375" t="s">
        <v>1073</v>
      </c>
      <c r="C34" s="376">
        <f>(148-83.47)*44000</f>
        <v>2839320</v>
      </c>
      <c r="D34" s="377">
        <f>G34</f>
        <v>7098300</v>
      </c>
      <c r="E34" s="376"/>
      <c r="F34" s="377"/>
      <c r="G34" s="377">
        <f>110000*64.53</f>
        <v>7098300</v>
      </c>
      <c r="H34" s="466"/>
      <c r="I34" s="378"/>
      <c r="J34" s="496"/>
      <c r="K34" s="380"/>
    </row>
    <row r="35">
      <c r="A35" s="48">
        <v>6.0</v>
      </c>
      <c r="B35" s="49" t="s">
        <v>1087</v>
      </c>
      <c r="C35" s="50">
        <f t="shared" ref="C35:D35" si="13">C37+C38</f>
        <v>476000</v>
      </c>
      <c r="D35" s="52">
        <f t="shared" si="13"/>
        <v>740000</v>
      </c>
      <c r="E35" s="456"/>
      <c r="F35" s="457"/>
      <c r="G35" s="52">
        <f>G37</f>
        <v>440000</v>
      </c>
      <c r="H35" s="55">
        <v>440000.0</v>
      </c>
      <c r="I35" s="58">
        <f>SUM(I37:I38)</f>
        <v>-300000</v>
      </c>
      <c r="J35" s="59"/>
      <c r="K35" s="60"/>
    </row>
    <row r="36">
      <c r="A36" s="63"/>
      <c r="B36" s="66"/>
      <c r="C36" s="458" t="s">
        <v>19</v>
      </c>
      <c r="D36" s="459">
        <f>(D35/C35)-1</f>
        <v>0.5546218487</v>
      </c>
      <c r="E36" s="460"/>
      <c r="F36" s="461"/>
      <c r="G36" s="76"/>
      <c r="H36" s="462"/>
      <c r="I36" s="463"/>
      <c r="J36" s="79"/>
      <c r="K36" s="82"/>
    </row>
    <row r="37">
      <c r="A37" s="468" t="s">
        <v>1110</v>
      </c>
      <c r="B37" s="382" t="s">
        <v>1113</v>
      </c>
      <c r="C37" s="370">
        <f>4*44000</f>
        <v>176000</v>
      </c>
      <c r="D37" s="445">
        <f>G37</f>
        <v>440000</v>
      </c>
      <c r="E37" s="370"/>
      <c r="F37" s="445">
        <v>520000.0</v>
      </c>
      <c r="G37" s="445">
        <v>440000.0</v>
      </c>
      <c r="H37" s="469"/>
      <c r="I37" s="384">
        <f t="shared" ref="I37:I39" si="14">G37-D37</f>
        <v>0</v>
      </c>
      <c r="J37" s="506" t="s">
        <v>983</v>
      </c>
      <c r="K37" s="447"/>
    </row>
    <row r="38">
      <c r="A38" s="465" t="s">
        <v>1127</v>
      </c>
      <c r="B38" s="375" t="s">
        <v>1128</v>
      </c>
      <c r="C38" s="376">
        <v>300000.0</v>
      </c>
      <c r="D38" s="377">
        <v>300000.0</v>
      </c>
      <c r="E38" s="376"/>
      <c r="F38" s="377"/>
      <c r="G38" s="377">
        <v>0.0</v>
      </c>
      <c r="H38" s="466"/>
      <c r="I38" s="442">
        <f t="shared" si="14"/>
        <v>-300000</v>
      </c>
      <c r="J38" s="443"/>
      <c r="K38" s="380"/>
    </row>
    <row r="39">
      <c r="A39" s="48">
        <v>7.0</v>
      </c>
      <c r="B39" s="49" t="s">
        <v>1133</v>
      </c>
      <c r="C39" s="50">
        <v>226500.0</v>
      </c>
      <c r="D39" s="52">
        <f>G39</f>
        <v>422800</v>
      </c>
      <c r="E39" s="456"/>
      <c r="F39" s="457">
        <v>422800.0</v>
      </c>
      <c r="G39" s="52">
        <v>422800.0</v>
      </c>
      <c r="H39" s="55"/>
      <c r="I39" s="58">
        <f t="shared" si="14"/>
        <v>0</v>
      </c>
      <c r="J39" s="59"/>
      <c r="K39" s="60"/>
    </row>
    <row r="40">
      <c r="A40" s="63"/>
      <c r="B40" s="66"/>
      <c r="C40" s="458" t="s">
        <v>19</v>
      </c>
      <c r="D40" s="459">
        <f>(D39/C39)-1</f>
        <v>0.8666666667</v>
      </c>
      <c r="E40" s="460"/>
      <c r="F40" s="461"/>
      <c r="G40" s="76"/>
      <c r="H40" s="462"/>
      <c r="I40" s="463"/>
      <c r="J40" s="79"/>
      <c r="K40" s="82"/>
    </row>
    <row r="41">
      <c r="A41" s="48">
        <v>8.0</v>
      </c>
      <c r="B41" s="49" t="s">
        <v>1137</v>
      </c>
      <c r="C41" s="50">
        <v>35000.0</v>
      </c>
      <c r="D41" s="52">
        <f>G41</f>
        <v>54000</v>
      </c>
      <c r="E41" s="456"/>
      <c r="F41" s="457">
        <v>54000.0</v>
      </c>
      <c r="G41" s="52">
        <v>54000.0</v>
      </c>
      <c r="H41" s="55">
        <v>85000.0</v>
      </c>
      <c r="I41" s="58">
        <f>G41-D41</f>
        <v>0</v>
      </c>
      <c r="J41" s="59"/>
      <c r="K41" s="60"/>
    </row>
    <row r="42">
      <c r="A42" s="63"/>
      <c r="B42" s="66"/>
      <c r="C42" s="458" t="s">
        <v>19</v>
      </c>
      <c r="D42" s="459">
        <f>(D41/C41)-1</f>
        <v>0.5428571429</v>
      </c>
      <c r="E42" s="460"/>
      <c r="F42" s="461"/>
      <c r="G42" s="76"/>
      <c r="H42" s="462"/>
      <c r="I42" s="463"/>
      <c r="J42" s="79"/>
      <c r="K42" s="82"/>
    </row>
    <row r="43">
      <c r="A43" s="444"/>
      <c r="B43" s="509" t="s">
        <v>700</v>
      </c>
      <c r="C43" s="370"/>
      <c r="D43" s="445"/>
      <c r="E43" s="370"/>
      <c r="F43" s="445"/>
      <c r="G43" s="445"/>
      <c r="H43" s="469"/>
      <c r="I43" s="304"/>
      <c r="J43" s="472" t="s">
        <v>1148</v>
      </c>
      <c r="K43" s="470"/>
    </row>
    <row r="44">
      <c r="A44" s="512"/>
      <c r="B44" s="513" t="s">
        <v>1150</v>
      </c>
      <c r="C44" s="514">
        <f t="shared" ref="C44:G44" si="15">C45+C46+C47+C48+C49+C50+C51</f>
        <v>11320570</v>
      </c>
      <c r="D44" s="515">
        <f t="shared" si="15"/>
        <v>4484840</v>
      </c>
      <c r="E44" s="514">
        <f t="shared" si="15"/>
        <v>0</v>
      </c>
      <c r="F44" s="515">
        <f t="shared" si="15"/>
        <v>0</v>
      </c>
      <c r="G44" s="515">
        <f t="shared" si="15"/>
        <v>13932840</v>
      </c>
      <c r="H44" s="516"/>
      <c r="I44" s="517">
        <f>I45+I46+I47+I48+I49+I50+I51</f>
        <v>0</v>
      </c>
      <c r="J44" s="518"/>
      <c r="K44" s="519"/>
    </row>
    <row r="45">
      <c r="A45" s="409"/>
      <c r="B45" s="410" t="s">
        <v>1160</v>
      </c>
      <c r="C45" s="411">
        <v>6835730.0</v>
      </c>
      <c r="D45" s="412"/>
      <c r="E45" s="413"/>
      <c r="F45" s="414"/>
      <c r="G45" s="415">
        <v>9448000.0</v>
      </c>
      <c r="H45" s="520"/>
      <c r="I45" s="416"/>
      <c r="J45" s="413"/>
      <c r="K45" s="417"/>
    </row>
    <row r="46">
      <c r="A46" s="521"/>
      <c r="B46" s="401" t="s">
        <v>1164</v>
      </c>
      <c r="C46" s="523">
        <v>510000.0</v>
      </c>
      <c r="D46" s="406">
        <v>510000.0</v>
      </c>
      <c r="E46" s="404"/>
      <c r="F46" s="405"/>
      <c r="G46" s="406">
        <v>510000.0</v>
      </c>
      <c r="H46" s="522"/>
      <c r="I46" s="407"/>
      <c r="J46" s="404"/>
      <c r="K46" s="408"/>
    </row>
    <row r="47">
      <c r="A47" s="409"/>
      <c r="B47" s="410" t="s">
        <v>1169</v>
      </c>
      <c r="C47" s="524">
        <v>2100000.0</v>
      </c>
      <c r="D47" s="415">
        <v>2100000.0</v>
      </c>
      <c r="E47" s="525"/>
      <c r="F47" s="526"/>
      <c r="G47" s="415">
        <v>2100000.0</v>
      </c>
      <c r="H47" s="520"/>
      <c r="I47" s="527"/>
      <c r="J47" s="525"/>
      <c r="K47" s="528"/>
    </row>
    <row r="48">
      <c r="A48" s="400"/>
      <c r="B48" s="401" t="s">
        <v>1173</v>
      </c>
      <c r="C48" s="402">
        <v>107800.0</v>
      </c>
      <c r="D48" s="406">
        <v>107800.0</v>
      </c>
      <c r="E48" s="529"/>
      <c r="F48" s="530"/>
      <c r="G48" s="406">
        <v>107800.0</v>
      </c>
      <c r="H48" s="522"/>
      <c r="I48" s="531"/>
      <c r="J48" s="529"/>
      <c r="K48" s="532"/>
    </row>
    <row r="49">
      <c r="A49" s="409"/>
      <c r="B49" s="410" t="s">
        <v>1175</v>
      </c>
      <c r="C49" s="411">
        <v>220000.0</v>
      </c>
      <c r="D49" s="415">
        <v>220000.0</v>
      </c>
      <c r="E49" s="525"/>
      <c r="F49" s="526"/>
      <c r="G49" s="415">
        <v>220000.0</v>
      </c>
      <c r="H49" s="520"/>
      <c r="I49" s="527"/>
      <c r="J49" s="525"/>
      <c r="K49" s="528"/>
    </row>
    <row r="50">
      <c r="A50" s="400"/>
      <c r="B50" s="401" t="s">
        <v>1176</v>
      </c>
      <c r="C50" s="402">
        <v>575520.0</v>
      </c>
      <c r="D50" s="403">
        <f t="shared" ref="D50:D51" si="16">C50</f>
        <v>575520</v>
      </c>
      <c r="E50" s="529"/>
      <c r="F50" s="530"/>
      <c r="G50" s="403">
        <f t="shared" ref="G50:G51" si="17">D50</f>
        <v>575520</v>
      </c>
      <c r="H50" s="533"/>
      <c r="I50" s="534"/>
      <c r="J50" s="529"/>
      <c r="K50" s="532"/>
    </row>
    <row r="51">
      <c r="A51" s="409"/>
      <c r="B51" s="410" t="s">
        <v>1177</v>
      </c>
      <c r="C51" s="411">
        <v>971520.0</v>
      </c>
      <c r="D51" s="412">
        <f t="shared" si="16"/>
        <v>971520</v>
      </c>
      <c r="E51" s="525"/>
      <c r="F51" s="526"/>
      <c r="G51" s="412">
        <f t="shared" si="17"/>
        <v>971520</v>
      </c>
      <c r="H51" s="535"/>
      <c r="I51" s="527"/>
      <c r="J51" s="525"/>
      <c r="K51" s="528"/>
    </row>
    <row r="52">
      <c r="A52" s="400"/>
      <c r="B52" s="401"/>
      <c r="C52" s="402"/>
      <c r="D52" s="403"/>
      <c r="E52" s="404"/>
      <c r="F52" s="405"/>
      <c r="G52" s="406"/>
      <c r="H52" s="522"/>
      <c r="I52" s="407"/>
      <c r="J52" s="404"/>
      <c r="K52" s="408"/>
    </row>
    <row r="53">
      <c r="A53" s="409"/>
      <c r="B53" s="410"/>
      <c r="C53" s="411"/>
      <c r="D53" s="412"/>
      <c r="E53" s="413"/>
      <c r="F53" s="414"/>
      <c r="G53" s="415"/>
      <c r="H53" s="520"/>
      <c r="I53" s="416"/>
      <c r="J53" s="413"/>
      <c r="K53" s="417"/>
    </row>
    <row r="54">
      <c r="A54" s="400"/>
      <c r="B54" s="401"/>
      <c r="C54" s="402"/>
      <c r="D54" s="403"/>
      <c r="E54" s="404"/>
      <c r="F54" s="405"/>
      <c r="G54" s="406"/>
      <c r="H54" s="522"/>
      <c r="I54" s="407"/>
      <c r="J54" s="404"/>
      <c r="K54" s="408"/>
    </row>
    <row r="55">
      <c r="A55" s="409"/>
      <c r="B55" s="410"/>
      <c r="C55" s="411"/>
      <c r="D55" s="412"/>
      <c r="E55" s="413"/>
      <c r="F55" s="414"/>
      <c r="G55" s="415"/>
      <c r="H55" s="520"/>
      <c r="I55" s="416"/>
      <c r="J55" s="413"/>
      <c r="K55" s="417"/>
    </row>
    <row r="56">
      <c r="A56" s="400"/>
      <c r="B56" s="401"/>
      <c r="C56" s="402"/>
      <c r="D56" s="403"/>
      <c r="E56" s="404"/>
      <c r="F56" s="405"/>
      <c r="G56" s="406"/>
      <c r="H56" s="522"/>
      <c r="I56" s="407"/>
      <c r="J56" s="404"/>
      <c r="K56" s="408"/>
    </row>
    <row r="57">
      <c r="A57" s="409"/>
      <c r="B57" s="410"/>
      <c r="C57" s="411"/>
      <c r="D57" s="412"/>
      <c r="E57" s="413"/>
      <c r="F57" s="414"/>
      <c r="G57" s="415"/>
      <c r="H57" s="520"/>
      <c r="I57" s="416"/>
      <c r="J57" s="413"/>
      <c r="K57" s="417"/>
    </row>
    <row r="58">
      <c r="A58" s="400"/>
      <c r="B58" s="401"/>
      <c r="C58" s="402"/>
      <c r="D58" s="403"/>
      <c r="E58" s="404"/>
      <c r="F58" s="405"/>
      <c r="G58" s="406"/>
      <c r="H58" s="522"/>
      <c r="I58" s="407"/>
      <c r="J58" s="404"/>
      <c r="K58" s="408"/>
    </row>
    <row r="59">
      <c r="A59" s="409"/>
      <c r="B59" s="410"/>
      <c r="C59" s="411"/>
      <c r="D59" s="412"/>
      <c r="E59" s="413"/>
      <c r="F59" s="414"/>
      <c r="G59" s="415"/>
      <c r="H59" s="520"/>
      <c r="I59" s="416"/>
      <c r="J59" s="413"/>
      <c r="K59" s="417"/>
    </row>
    <row r="60">
      <c r="A60" s="400"/>
      <c r="B60" s="401"/>
      <c r="C60" s="402"/>
      <c r="D60" s="403"/>
      <c r="E60" s="404"/>
      <c r="F60" s="405"/>
      <c r="G60" s="406"/>
      <c r="H60" s="522"/>
      <c r="I60" s="407"/>
      <c r="J60" s="404"/>
      <c r="K60" s="408"/>
    </row>
    <row r="61">
      <c r="A61" s="409"/>
      <c r="B61" s="410"/>
      <c r="C61" s="411"/>
      <c r="D61" s="412"/>
      <c r="E61" s="413"/>
      <c r="F61" s="414"/>
      <c r="G61" s="415"/>
      <c r="H61" s="520"/>
      <c r="I61" s="416"/>
      <c r="J61" s="413"/>
      <c r="K61" s="417"/>
    </row>
    <row r="62">
      <c r="A62" s="400"/>
      <c r="B62" s="401"/>
      <c r="C62" s="402"/>
      <c r="D62" s="403"/>
      <c r="E62" s="404"/>
      <c r="F62" s="405"/>
      <c r="G62" s="406"/>
      <c r="H62" s="522"/>
      <c r="I62" s="407"/>
      <c r="J62" s="404"/>
      <c r="K62" s="408"/>
    </row>
    <row r="63">
      <c r="A63" s="409"/>
      <c r="B63" s="410"/>
      <c r="C63" s="411"/>
      <c r="D63" s="412"/>
      <c r="E63" s="413"/>
      <c r="F63" s="414"/>
      <c r="G63" s="415"/>
      <c r="H63" s="520"/>
      <c r="I63" s="416"/>
      <c r="J63" s="413"/>
      <c r="K63" s="417"/>
    </row>
    <row r="64">
      <c r="A64" s="400"/>
      <c r="B64" s="401"/>
      <c r="C64" s="402"/>
      <c r="D64" s="403"/>
      <c r="E64" s="404"/>
      <c r="F64" s="405"/>
      <c r="G64" s="406"/>
      <c r="H64" s="522"/>
      <c r="I64" s="407"/>
      <c r="J64" s="404"/>
      <c r="K64" s="408"/>
    </row>
    <row r="65">
      <c r="A65" s="409"/>
      <c r="B65" s="410"/>
      <c r="C65" s="411"/>
      <c r="D65" s="412"/>
      <c r="E65" s="413"/>
      <c r="F65" s="414"/>
      <c r="G65" s="415"/>
      <c r="H65" s="520"/>
      <c r="I65" s="416"/>
      <c r="J65" s="413"/>
      <c r="K65" s="417"/>
    </row>
    <row r="66">
      <c r="A66" s="400"/>
      <c r="B66" s="401"/>
      <c r="C66" s="402"/>
      <c r="D66" s="403"/>
      <c r="E66" s="404"/>
      <c r="F66" s="405"/>
      <c r="G66" s="406"/>
      <c r="H66" s="522"/>
      <c r="I66" s="407"/>
      <c r="J66" s="404"/>
      <c r="K66" s="408"/>
    </row>
    <row r="67">
      <c r="A67" s="409"/>
      <c r="B67" s="410"/>
      <c r="C67" s="411"/>
      <c r="D67" s="412"/>
      <c r="E67" s="413"/>
      <c r="F67" s="414"/>
      <c r="G67" s="415"/>
      <c r="H67" s="520"/>
      <c r="I67" s="416"/>
      <c r="J67" s="413"/>
      <c r="K67" s="417"/>
    </row>
  </sheetData>
  <autoFilter ref="$A$1:$K$67"/>
  <conditionalFormatting sqref="D1:D67">
    <cfRule type="cellIs" dxfId="4" priority="1" operator="lessThan">
      <formula>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8" width="19.13"/>
    <col customWidth="1" min="9" max="9" width="21.63"/>
    <col customWidth="1" min="10" max="10" width="85.88"/>
    <col customWidth="1" min="11" max="11" width="25.13"/>
  </cols>
  <sheetData>
    <row r="1">
      <c r="A1" s="358"/>
      <c r="B1" s="359" t="s">
        <v>695</v>
      </c>
      <c r="C1" s="360" t="s">
        <v>696</v>
      </c>
      <c r="D1" s="361" t="s">
        <v>697</v>
      </c>
      <c r="E1" s="360" t="s">
        <v>698</v>
      </c>
      <c r="F1" s="361"/>
      <c r="G1" s="362" t="s">
        <v>699</v>
      </c>
      <c r="H1" s="455" t="s">
        <v>868</v>
      </c>
      <c r="I1" s="363" t="s">
        <v>130</v>
      </c>
      <c r="J1" s="364" t="s">
        <v>700</v>
      </c>
      <c r="K1" s="365"/>
    </row>
    <row r="2">
      <c r="A2" s="5">
        <v>6.0</v>
      </c>
      <c r="B2" s="6" t="s">
        <v>968</v>
      </c>
      <c r="C2" s="10">
        <f t="shared" ref="C2:G2" si="1">C4+C12</f>
        <v>49484243.2</v>
      </c>
      <c r="D2" s="12">
        <f t="shared" si="1"/>
        <v>56576823.2</v>
      </c>
      <c r="E2" s="10">
        <f t="shared" si="1"/>
        <v>0</v>
      </c>
      <c r="F2" s="12">
        <f t="shared" si="1"/>
        <v>61790460</v>
      </c>
      <c r="G2" s="12">
        <f t="shared" si="1"/>
        <v>58076823.2</v>
      </c>
      <c r="H2" s="13">
        <f>SUM(H3:H34)</f>
        <v>1880000</v>
      </c>
      <c r="I2" s="16">
        <f>I4+I12</f>
        <v>1500000</v>
      </c>
      <c r="J2" s="17"/>
      <c r="K2" s="18"/>
    </row>
    <row r="3">
      <c r="A3" s="19"/>
      <c r="B3" s="20"/>
      <c r="C3" s="21" t="s">
        <v>19</v>
      </c>
      <c r="D3" s="22">
        <f>(D2/C2)-1</f>
        <v>0.1433300692</v>
      </c>
      <c r="E3" s="373"/>
      <c r="F3" s="23">
        <f>SUM(F4:F18)</f>
        <v>63630460</v>
      </c>
      <c r="G3" s="23"/>
      <c r="H3" s="24"/>
      <c r="I3" s="26" t="str">
        <f>IF(I2&lt;0,"patrimônio diminuiu","patrimônio aumentou")</f>
        <v>patrimônio aumentou</v>
      </c>
      <c r="J3" s="27"/>
      <c r="K3" s="28"/>
    </row>
    <row r="4">
      <c r="A4" s="48">
        <v>1.0</v>
      </c>
      <c r="B4" s="49" t="s">
        <v>982</v>
      </c>
      <c r="C4" s="50">
        <f t="shared" ref="C4:D4" si="2">SUM(C6:C11)</f>
        <v>45274243.2</v>
      </c>
      <c r="D4" s="52">
        <f t="shared" si="2"/>
        <v>49606823.2</v>
      </c>
      <c r="E4" s="456"/>
      <c r="F4" s="457">
        <v>5.332046E7</v>
      </c>
      <c r="G4" s="52">
        <f>SUM(G6:G11)</f>
        <v>49606823.2</v>
      </c>
      <c r="H4" s="55"/>
      <c r="I4" s="58">
        <f>G4-D4</f>
        <v>0</v>
      </c>
      <c r="J4" s="59"/>
      <c r="K4" s="60"/>
    </row>
    <row r="5">
      <c r="A5" s="63"/>
      <c r="B5" s="66"/>
      <c r="C5" s="458" t="s">
        <v>19</v>
      </c>
      <c r="D5" s="459">
        <f>(D4/C4)-1</f>
        <v>0.0956963539</v>
      </c>
      <c r="E5" s="460"/>
      <c r="F5" s="461"/>
      <c r="G5" s="76"/>
      <c r="H5" s="462"/>
      <c r="I5" s="463"/>
      <c r="J5" s="79"/>
      <c r="K5" s="82"/>
    </row>
    <row r="6">
      <c r="A6" s="418">
        <v>1.1</v>
      </c>
      <c r="B6" s="375" t="s">
        <v>999</v>
      </c>
      <c r="C6" s="376">
        <v>3800000.0</v>
      </c>
      <c r="D6" s="377">
        <f t="shared" ref="D6:D11" si="3">G6</f>
        <v>6900000</v>
      </c>
      <c r="E6" s="376"/>
      <c r="F6" s="377"/>
      <c r="G6" s="377">
        <v>6900000.0</v>
      </c>
      <c r="H6" s="466"/>
      <c r="I6" s="442">
        <f t="shared" ref="I6:I11" si="4">G6-D6</f>
        <v>0</v>
      </c>
      <c r="J6" s="443"/>
      <c r="K6" s="380"/>
    </row>
    <row r="7">
      <c r="A7" s="444">
        <v>1.2</v>
      </c>
      <c r="B7" s="382" t="s">
        <v>1012</v>
      </c>
      <c r="C7" s="370">
        <v>1800000.0</v>
      </c>
      <c r="D7" s="445">
        <f t="shared" si="3"/>
        <v>1512000</v>
      </c>
      <c r="E7" s="370"/>
      <c r="F7" s="445"/>
      <c r="G7" s="445">
        <v>1512000.0</v>
      </c>
      <c r="H7" s="469"/>
      <c r="I7" s="304">
        <f t="shared" si="4"/>
        <v>0</v>
      </c>
      <c r="J7" s="446"/>
      <c r="K7" s="447"/>
    </row>
    <row r="8">
      <c r="A8" s="418">
        <v>1.3</v>
      </c>
      <c r="B8" s="375" t="s">
        <v>1019</v>
      </c>
      <c r="C8" s="376">
        <v>3024000.0</v>
      </c>
      <c r="D8" s="377">
        <f t="shared" si="3"/>
        <v>2592000</v>
      </c>
      <c r="E8" s="376"/>
      <c r="F8" s="377"/>
      <c r="G8" s="377">
        <v>2592000.0</v>
      </c>
      <c r="H8" s="466"/>
      <c r="I8" s="442">
        <f t="shared" si="4"/>
        <v>0</v>
      </c>
      <c r="J8" s="443"/>
      <c r="K8" s="380"/>
    </row>
    <row r="9">
      <c r="A9" s="444">
        <v>1.4</v>
      </c>
      <c r="B9" s="382" t="s">
        <v>1028</v>
      </c>
      <c r="C9" s="370">
        <v>2.0679264E7</v>
      </c>
      <c r="D9" s="445">
        <f t="shared" si="3"/>
        <v>26632368</v>
      </c>
      <c r="E9" s="370"/>
      <c r="F9" s="445"/>
      <c r="G9" s="445">
        <v>2.6632368E7</v>
      </c>
      <c r="H9" s="469"/>
      <c r="I9" s="304">
        <f t="shared" si="4"/>
        <v>0</v>
      </c>
      <c r="J9" s="446"/>
      <c r="K9" s="447"/>
    </row>
    <row r="10">
      <c r="A10" s="418">
        <v>1.5</v>
      </c>
      <c r="B10" s="375" t="s">
        <v>1035</v>
      </c>
      <c r="C10" s="376">
        <v>6400000.0</v>
      </c>
      <c r="D10" s="377">
        <f t="shared" si="3"/>
        <v>6400000</v>
      </c>
      <c r="E10" s="376"/>
      <c r="F10" s="377"/>
      <c r="G10" s="377">
        <v>6400000.0</v>
      </c>
      <c r="H10" s="466"/>
      <c r="I10" s="442">
        <f t="shared" si="4"/>
        <v>0</v>
      </c>
      <c r="J10" s="443"/>
      <c r="K10" s="380"/>
    </row>
    <row r="11">
      <c r="A11" s="444">
        <v>1.6</v>
      </c>
      <c r="B11" s="382" t="s">
        <v>1044</v>
      </c>
      <c r="C11" s="370">
        <v>9570979.2</v>
      </c>
      <c r="D11" s="445">
        <f t="shared" si="3"/>
        <v>5570455.2</v>
      </c>
      <c r="E11" s="370"/>
      <c r="F11" s="445"/>
      <c r="G11" s="445">
        <v>5570455.2</v>
      </c>
      <c r="H11" s="469"/>
      <c r="I11" s="304">
        <f t="shared" si="4"/>
        <v>0</v>
      </c>
      <c r="J11" s="446"/>
      <c r="K11" s="447"/>
    </row>
    <row r="12">
      <c r="A12" s="141"/>
      <c r="B12" s="142" t="s">
        <v>1055</v>
      </c>
      <c r="C12" s="143">
        <f t="shared" ref="C12:G12" si="5">SUM(C14:C34)</f>
        <v>4210000</v>
      </c>
      <c r="D12" s="144">
        <f t="shared" si="5"/>
        <v>6970000</v>
      </c>
      <c r="E12" s="507">
        <f t="shared" si="5"/>
        <v>0</v>
      </c>
      <c r="F12" s="508">
        <f t="shared" si="5"/>
        <v>8470000</v>
      </c>
      <c r="G12" s="144">
        <f t="shared" si="5"/>
        <v>8470000</v>
      </c>
      <c r="H12" s="145"/>
      <c r="I12" s="147">
        <f>SUM(I14:I34)</f>
        <v>1500000</v>
      </c>
      <c r="J12" s="148"/>
      <c r="K12" s="149"/>
    </row>
    <row r="13">
      <c r="A13" s="63"/>
      <c r="B13" s="66"/>
      <c r="C13" s="458" t="s">
        <v>19</v>
      </c>
      <c r="D13" s="459">
        <f>(D12/C12)-1</f>
        <v>0.6555819477</v>
      </c>
      <c r="E13" s="460"/>
      <c r="F13" s="461"/>
      <c r="G13" s="76"/>
      <c r="H13" s="462"/>
      <c r="I13" s="463"/>
      <c r="J13" s="79"/>
      <c r="K13" s="82"/>
    </row>
    <row r="14">
      <c r="A14" s="418">
        <v>2.0</v>
      </c>
      <c r="B14" s="375" t="s">
        <v>1084</v>
      </c>
      <c r="C14" s="376">
        <v>250000.0</v>
      </c>
      <c r="D14" s="377">
        <f t="shared" ref="D14:D28" si="6">G14</f>
        <v>400000</v>
      </c>
      <c r="E14" s="376"/>
      <c r="F14" s="377">
        <v>400000.0</v>
      </c>
      <c r="G14" s="377">
        <v>400000.0</v>
      </c>
      <c r="H14" s="466">
        <v>400000.0</v>
      </c>
      <c r="I14" s="442">
        <f t="shared" ref="I14:I34" si="7">G14-D14</f>
        <v>0</v>
      </c>
      <c r="J14" s="443"/>
      <c r="K14" s="380"/>
    </row>
    <row r="15">
      <c r="A15" s="444">
        <v>3.0</v>
      </c>
      <c r="B15" s="382" t="s">
        <v>1092</v>
      </c>
      <c r="C15" s="370">
        <v>180000.0</v>
      </c>
      <c r="D15" s="445">
        <f t="shared" si="6"/>
        <v>360000</v>
      </c>
      <c r="E15" s="370"/>
      <c r="F15" s="445">
        <v>360000.0</v>
      </c>
      <c r="G15" s="445">
        <v>360000.0</v>
      </c>
      <c r="H15" s="469"/>
      <c r="I15" s="304">
        <f t="shared" si="7"/>
        <v>0</v>
      </c>
      <c r="J15" s="446"/>
      <c r="K15" s="447"/>
    </row>
    <row r="16">
      <c r="A16" s="418">
        <v>4.0</v>
      </c>
      <c r="B16" s="375" t="s">
        <v>1097</v>
      </c>
      <c r="C16" s="376">
        <v>180000.0</v>
      </c>
      <c r="D16" s="377">
        <f t="shared" si="6"/>
        <v>360000</v>
      </c>
      <c r="E16" s="376"/>
      <c r="F16" s="377">
        <v>360000.0</v>
      </c>
      <c r="G16" s="377">
        <v>360000.0</v>
      </c>
      <c r="H16" s="466"/>
      <c r="I16" s="442">
        <f t="shared" si="7"/>
        <v>0</v>
      </c>
      <c r="J16" s="443"/>
      <c r="K16" s="380"/>
    </row>
    <row r="17">
      <c r="A17" s="444">
        <v>5.0</v>
      </c>
      <c r="B17" s="382" t="s">
        <v>1104</v>
      </c>
      <c r="C17" s="370">
        <v>180000.0</v>
      </c>
      <c r="D17" s="445">
        <f t="shared" si="6"/>
        <v>360000</v>
      </c>
      <c r="E17" s="370"/>
      <c r="F17" s="445">
        <v>360000.0</v>
      </c>
      <c r="G17" s="445">
        <v>360000.0</v>
      </c>
      <c r="H17" s="469"/>
      <c r="I17" s="304">
        <f t="shared" si="7"/>
        <v>0</v>
      </c>
      <c r="J17" s="446"/>
      <c r="K17" s="447"/>
    </row>
    <row r="18">
      <c r="A18" s="418">
        <v>6.0</v>
      </c>
      <c r="B18" s="375" t="s">
        <v>1109</v>
      </c>
      <c r="C18" s="376">
        <v>180000.0</v>
      </c>
      <c r="D18" s="377">
        <f t="shared" si="6"/>
        <v>360000</v>
      </c>
      <c r="E18" s="376"/>
      <c r="F18" s="377">
        <v>360000.0</v>
      </c>
      <c r="G18" s="377">
        <v>360000.0</v>
      </c>
      <c r="H18" s="466"/>
      <c r="I18" s="442">
        <f t="shared" si="7"/>
        <v>0</v>
      </c>
      <c r="J18" s="443"/>
      <c r="K18" s="380"/>
    </row>
    <row r="19">
      <c r="A19" s="444">
        <v>7.0</v>
      </c>
      <c r="B19" s="382" t="s">
        <v>1116</v>
      </c>
      <c r="C19" s="370">
        <v>180000.0</v>
      </c>
      <c r="D19" s="445">
        <f t="shared" si="6"/>
        <v>360000</v>
      </c>
      <c r="E19" s="370"/>
      <c r="F19" s="445">
        <v>360000.0</v>
      </c>
      <c r="G19" s="445">
        <v>360000.0</v>
      </c>
      <c r="H19" s="469"/>
      <c r="I19" s="304">
        <f t="shared" si="7"/>
        <v>0</v>
      </c>
      <c r="J19" s="446"/>
      <c r="K19" s="447"/>
    </row>
    <row r="20">
      <c r="A20" s="418">
        <v>8.0</v>
      </c>
      <c r="B20" s="375" t="s">
        <v>1121</v>
      </c>
      <c r="C20" s="376">
        <v>180000.0</v>
      </c>
      <c r="D20" s="377">
        <f t="shared" si="6"/>
        <v>360000</v>
      </c>
      <c r="E20" s="376"/>
      <c r="F20" s="377">
        <v>360000.0</v>
      </c>
      <c r="G20" s="377">
        <v>360000.0</v>
      </c>
      <c r="H20" s="466"/>
      <c r="I20" s="442">
        <f t="shared" si="7"/>
        <v>0</v>
      </c>
      <c r="J20" s="443"/>
      <c r="K20" s="380"/>
    </row>
    <row r="21">
      <c r="A21" s="444">
        <v>9.0</v>
      </c>
      <c r="B21" s="382" t="s">
        <v>1124</v>
      </c>
      <c r="C21" s="370">
        <v>180000.0</v>
      </c>
      <c r="D21" s="445">
        <f t="shared" si="6"/>
        <v>360000</v>
      </c>
      <c r="E21" s="370"/>
      <c r="F21" s="445">
        <v>360000.0</v>
      </c>
      <c r="G21" s="445">
        <v>360000.0</v>
      </c>
      <c r="H21" s="469"/>
      <c r="I21" s="304">
        <f t="shared" si="7"/>
        <v>0</v>
      </c>
      <c r="J21" s="446"/>
      <c r="K21" s="447"/>
    </row>
    <row r="22">
      <c r="A22" s="418">
        <v>10.0</v>
      </c>
      <c r="B22" s="375" t="s">
        <v>1131</v>
      </c>
      <c r="C22" s="376">
        <v>180000.0</v>
      </c>
      <c r="D22" s="377">
        <f t="shared" si="6"/>
        <v>360000</v>
      </c>
      <c r="E22" s="376"/>
      <c r="F22" s="377">
        <v>360000.0</v>
      </c>
      <c r="G22" s="377">
        <v>360000.0</v>
      </c>
      <c r="H22" s="466"/>
      <c r="I22" s="442">
        <f t="shared" si="7"/>
        <v>0</v>
      </c>
      <c r="J22" s="443"/>
      <c r="K22" s="380"/>
    </row>
    <row r="23">
      <c r="A23" s="444">
        <v>11.0</v>
      </c>
      <c r="B23" s="382" t="s">
        <v>1134</v>
      </c>
      <c r="C23" s="370">
        <v>220000.0</v>
      </c>
      <c r="D23" s="445">
        <f t="shared" si="6"/>
        <v>390000</v>
      </c>
      <c r="E23" s="370"/>
      <c r="F23" s="445">
        <v>390000.0</v>
      </c>
      <c r="G23" s="445">
        <v>390000.0</v>
      </c>
      <c r="H23" s="469">
        <v>390000.0</v>
      </c>
      <c r="I23" s="304">
        <f t="shared" si="7"/>
        <v>0</v>
      </c>
      <c r="J23" s="446"/>
      <c r="K23" s="447"/>
    </row>
    <row r="24">
      <c r="A24" s="418">
        <v>12.0</v>
      </c>
      <c r="B24" s="375" t="s">
        <v>1135</v>
      </c>
      <c r="C24" s="376">
        <v>220000.0</v>
      </c>
      <c r="D24" s="377">
        <f t="shared" si="6"/>
        <v>390000</v>
      </c>
      <c r="E24" s="376"/>
      <c r="F24" s="377">
        <v>390000.0</v>
      </c>
      <c r="G24" s="377">
        <v>390000.0</v>
      </c>
      <c r="H24" s="466">
        <v>390000.0</v>
      </c>
      <c r="I24" s="442">
        <f t="shared" si="7"/>
        <v>0</v>
      </c>
      <c r="J24" s="443"/>
      <c r="K24" s="380"/>
    </row>
    <row r="25">
      <c r="A25" s="444">
        <v>13.0</v>
      </c>
      <c r="B25" s="382" t="s">
        <v>1136</v>
      </c>
      <c r="C25" s="370">
        <v>220000.0</v>
      </c>
      <c r="D25" s="445">
        <f t="shared" si="6"/>
        <v>390000</v>
      </c>
      <c r="E25" s="370"/>
      <c r="F25" s="445">
        <v>390000.0</v>
      </c>
      <c r="G25" s="445">
        <v>390000.0</v>
      </c>
      <c r="H25" s="469"/>
      <c r="I25" s="304">
        <f t="shared" si="7"/>
        <v>0</v>
      </c>
      <c r="J25" s="446"/>
      <c r="K25" s="447"/>
    </row>
    <row r="26">
      <c r="A26" s="418">
        <v>14.0</v>
      </c>
      <c r="B26" s="375" t="s">
        <v>1138</v>
      </c>
      <c r="C26" s="376">
        <v>220000.0</v>
      </c>
      <c r="D26" s="377">
        <f t="shared" si="6"/>
        <v>390000</v>
      </c>
      <c r="E26" s="376"/>
      <c r="F26" s="377">
        <v>390000.0</v>
      </c>
      <c r="G26" s="377">
        <v>390000.0</v>
      </c>
      <c r="H26" s="466"/>
      <c r="I26" s="442">
        <f t="shared" si="7"/>
        <v>0</v>
      </c>
      <c r="J26" s="443"/>
      <c r="K26" s="380"/>
    </row>
    <row r="27">
      <c r="A27" s="444">
        <v>15.0</v>
      </c>
      <c r="B27" s="382" t="s">
        <v>1140</v>
      </c>
      <c r="C27" s="370">
        <v>220000.0</v>
      </c>
      <c r="D27" s="445">
        <f t="shared" si="6"/>
        <v>390000</v>
      </c>
      <c r="E27" s="370"/>
      <c r="F27" s="445">
        <v>390000.0</v>
      </c>
      <c r="G27" s="445">
        <v>390000.0</v>
      </c>
      <c r="H27" s="469"/>
      <c r="I27" s="304">
        <f t="shared" si="7"/>
        <v>0</v>
      </c>
      <c r="J27" s="446"/>
      <c r="K27" s="447"/>
    </row>
    <row r="28">
      <c r="A28" s="418">
        <v>16.0</v>
      </c>
      <c r="B28" s="375" t="s">
        <v>1143</v>
      </c>
      <c r="C28" s="376">
        <v>220000.0</v>
      </c>
      <c r="D28" s="377">
        <f t="shared" si="6"/>
        <v>390000</v>
      </c>
      <c r="E28" s="376"/>
      <c r="F28" s="377">
        <v>390000.0</v>
      </c>
      <c r="G28" s="377">
        <v>390000.0</v>
      </c>
      <c r="H28" s="466"/>
      <c r="I28" s="442">
        <f t="shared" si="7"/>
        <v>0</v>
      </c>
      <c r="J28" s="443"/>
      <c r="K28" s="380"/>
    </row>
    <row r="29">
      <c r="A29" s="444">
        <v>17.0</v>
      </c>
      <c r="B29" s="382" t="s">
        <v>1145</v>
      </c>
      <c r="C29" s="370">
        <v>0.0</v>
      </c>
      <c r="D29" s="445">
        <v>0.0</v>
      </c>
      <c r="E29" s="370"/>
      <c r="F29" s="445">
        <v>390000.0</v>
      </c>
      <c r="G29" s="445">
        <v>390000.0</v>
      </c>
      <c r="H29" s="469"/>
      <c r="I29" s="304">
        <f t="shared" si="7"/>
        <v>390000</v>
      </c>
      <c r="J29" s="446"/>
      <c r="K29" s="447"/>
    </row>
    <row r="30">
      <c r="A30" s="418">
        <v>18.0</v>
      </c>
      <c r="B30" s="375" t="s">
        <v>1147</v>
      </c>
      <c r="C30" s="376">
        <v>200000.0</v>
      </c>
      <c r="D30" s="377">
        <f>G30</f>
        <v>350000</v>
      </c>
      <c r="E30" s="376"/>
      <c r="F30" s="377">
        <v>350000.0</v>
      </c>
      <c r="G30" s="377">
        <v>350000.0</v>
      </c>
      <c r="H30" s="466">
        <v>350000.0</v>
      </c>
      <c r="I30" s="442">
        <f t="shared" si="7"/>
        <v>0</v>
      </c>
      <c r="J30" s="443"/>
      <c r="K30" s="380"/>
    </row>
    <row r="31">
      <c r="A31" s="444">
        <v>19.0</v>
      </c>
      <c r="B31" s="382" t="s">
        <v>1149</v>
      </c>
      <c r="C31" s="370">
        <v>0.0</v>
      </c>
      <c r="D31" s="445">
        <v>0.0</v>
      </c>
      <c r="E31" s="370"/>
      <c r="F31" s="445">
        <v>350000.0</v>
      </c>
      <c r="G31" s="445">
        <v>350000.0</v>
      </c>
      <c r="H31" s="469">
        <v>350000.0</v>
      </c>
      <c r="I31" s="304">
        <f t="shared" si="7"/>
        <v>350000</v>
      </c>
      <c r="J31" s="446"/>
      <c r="K31" s="447"/>
    </row>
    <row r="32">
      <c r="A32" s="418">
        <v>20.0</v>
      </c>
      <c r="B32" s="375" t="s">
        <v>1151</v>
      </c>
      <c r="C32" s="376">
        <v>1000000.0</v>
      </c>
      <c r="D32" s="377">
        <f>G32</f>
        <v>1000000</v>
      </c>
      <c r="E32" s="376"/>
      <c r="F32" s="377">
        <v>1000000.0</v>
      </c>
      <c r="G32" s="377">
        <v>1000000.0</v>
      </c>
      <c r="H32" s="466"/>
      <c r="I32" s="442">
        <f t="shared" si="7"/>
        <v>0</v>
      </c>
      <c r="J32" s="443"/>
      <c r="K32" s="380"/>
    </row>
    <row r="33">
      <c r="A33" s="444">
        <v>21.0</v>
      </c>
      <c r="B33" s="382" t="s">
        <v>1152</v>
      </c>
      <c r="C33" s="370">
        <v>0.0</v>
      </c>
      <c r="D33" s="445">
        <v>0.0</v>
      </c>
      <c r="E33" s="370"/>
      <c r="F33" s="445">
        <v>380000.0</v>
      </c>
      <c r="G33" s="445">
        <v>380000.0</v>
      </c>
      <c r="H33" s="469"/>
      <c r="I33" s="304">
        <f t="shared" si="7"/>
        <v>380000</v>
      </c>
      <c r="J33" s="446"/>
      <c r="K33" s="447"/>
    </row>
    <row r="34">
      <c r="A34" s="418">
        <v>22.0</v>
      </c>
      <c r="B34" s="375" t="s">
        <v>1154</v>
      </c>
      <c r="C34" s="376">
        <v>0.0</v>
      </c>
      <c r="D34" s="377">
        <v>0.0</v>
      </c>
      <c r="E34" s="376"/>
      <c r="F34" s="377">
        <v>380000.0</v>
      </c>
      <c r="G34" s="377">
        <v>380000.0</v>
      </c>
      <c r="H34" s="466"/>
      <c r="I34" s="442">
        <f t="shared" si="7"/>
        <v>380000</v>
      </c>
      <c r="J34" s="443"/>
      <c r="K34" s="380"/>
    </row>
    <row r="35">
      <c r="A35" s="444" t="s">
        <v>268</v>
      </c>
      <c r="B35" s="382" t="s">
        <v>1157</v>
      </c>
      <c r="C35" s="370"/>
      <c r="D35" s="445"/>
      <c r="E35" s="370"/>
      <c r="F35" s="445"/>
      <c r="G35" s="445"/>
      <c r="H35" s="469"/>
      <c r="I35" s="304"/>
      <c r="J35" s="446"/>
      <c r="K35" s="447"/>
    </row>
    <row r="36">
      <c r="A36" s="400"/>
      <c r="B36" s="401"/>
      <c r="C36" s="402"/>
      <c r="D36" s="403"/>
      <c r="E36" s="404"/>
      <c r="F36" s="405"/>
      <c r="G36" s="406"/>
      <c r="H36" s="522"/>
      <c r="I36" s="407"/>
      <c r="J36" s="404"/>
      <c r="K36" s="408"/>
    </row>
    <row r="37">
      <c r="A37" s="409"/>
      <c r="B37" s="410"/>
      <c r="C37" s="411"/>
      <c r="D37" s="412"/>
      <c r="E37" s="413"/>
      <c r="F37" s="414"/>
      <c r="G37" s="415"/>
      <c r="H37" s="520"/>
      <c r="I37" s="416"/>
      <c r="J37" s="413"/>
      <c r="K37" s="417"/>
    </row>
    <row r="38">
      <c r="A38" s="400"/>
      <c r="B38" s="401"/>
      <c r="C38" s="402"/>
      <c r="D38" s="403"/>
      <c r="E38" s="404"/>
      <c r="F38" s="405"/>
      <c r="G38" s="406"/>
      <c r="H38" s="522"/>
      <c r="I38" s="407"/>
      <c r="J38" s="404"/>
      <c r="K38" s="408"/>
    </row>
    <row r="39">
      <c r="A39" s="409"/>
      <c r="B39" s="410"/>
      <c r="C39" s="411"/>
      <c r="D39" s="412"/>
      <c r="E39" s="413"/>
      <c r="F39" s="414"/>
      <c r="G39" s="415"/>
      <c r="H39" s="520"/>
      <c r="I39" s="416"/>
      <c r="J39" s="413"/>
      <c r="K39" s="417"/>
    </row>
    <row r="40">
      <c r="A40" s="400"/>
      <c r="B40" s="401"/>
      <c r="C40" s="402"/>
      <c r="D40" s="403"/>
      <c r="E40" s="404"/>
      <c r="F40" s="405"/>
      <c r="G40" s="406"/>
      <c r="H40" s="522"/>
      <c r="I40" s="407"/>
      <c r="J40" s="404"/>
      <c r="K40" s="408"/>
    </row>
    <row r="41">
      <c r="A41" s="409"/>
      <c r="B41" s="410"/>
      <c r="C41" s="411"/>
      <c r="D41" s="412"/>
      <c r="E41" s="413"/>
      <c r="F41" s="414"/>
      <c r="G41" s="415"/>
      <c r="H41" s="520"/>
      <c r="I41" s="416"/>
      <c r="J41" s="413"/>
      <c r="K41" s="417"/>
    </row>
    <row r="42">
      <c r="A42" s="400"/>
      <c r="B42" s="401"/>
      <c r="C42" s="402"/>
      <c r="D42" s="403"/>
      <c r="E42" s="404"/>
      <c r="F42" s="405"/>
      <c r="G42" s="406"/>
      <c r="H42" s="522"/>
      <c r="I42" s="407"/>
      <c r="J42" s="404"/>
      <c r="K42" s="408"/>
    </row>
    <row r="43">
      <c r="A43" s="409"/>
      <c r="B43" s="410"/>
      <c r="C43" s="411"/>
      <c r="D43" s="412"/>
      <c r="E43" s="413"/>
      <c r="F43" s="414"/>
      <c r="G43" s="415"/>
      <c r="H43" s="520"/>
      <c r="I43" s="416"/>
      <c r="J43" s="413"/>
      <c r="K43" s="417"/>
    </row>
    <row r="44">
      <c r="A44" s="400"/>
      <c r="B44" s="401"/>
      <c r="C44" s="402"/>
      <c r="D44" s="403"/>
      <c r="E44" s="404"/>
      <c r="F44" s="405"/>
      <c r="G44" s="406"/>
      <c r="H44" s="522"/>
      <c r="I44" s="407"/>
      <c r="J44" s="404"/>
      <c r="K44" s="408"/>
    </row>
    <row r="45">
      <c r="A45" s="409"/>
      <c r="B45" s="410"/>
      <c r="C45" s="411"/>
      <c r="D45" s="412"/>
      <c r="E45" s="413"/>
      <c r="F45" s="414"/>
      <c r="G45" s="415"/>
      <c r="H45" s="520"/>
      <c r="I45" s="416"/>
      <c r="J45" s="413"/>
      <c r="K45" s="417"/>
    </row>
    <row r="46">
      <c r="A46" s="400"/>
      <c r="B46" s="401"/>
      <c r="C46" s="402"/>
      <c r="D46" s="403"/>
      <c r="E46" s="404"/>
      <c r="F46" s="405"/>
      <c r="G46" s="406"/>
      <c r="H46" s="522"/>
      <c r="I46" s="407"/>
      <c r="J46" s="404"/>
      <c r="K46" s="408"/>
    </row>
    <row r="47">
      <c r="A47" s="409"/>
      <c r="B47" s="410"/>
      <c r="C47" s="411"/>
      <c r="D47" s="412"/>
      <c r="E47" s="413"/>
      <c r="F47" s="414"/>
      <c r="G47" s="415"/>
      <c r="H47" s="520"/>
      <c r="I47" s="416"/>
      <c r="J47" s="413"/>
      <c r="K47" s="417"/>
    </row>
    <row r="48">
      <c r="A48" s="400"/>
      <c r="B48" s="401"/>
      <c r="C48" s="402"/>
      <c r="D48" s="403"/>
      <c r="E48" s="404"/>
      <c r="F48" s="405"/>
      <c r="G48" s="406"/>
      <c r="H48" s="522"/>
      <c r="I48" s="407"/>
      <c r="J48" s="404"/>
      <c r="K48" s="408"/>
    </row>
    <row r="49">
      <c r="A49" s="409"/>
      <c r="B49" s="410"/>
      <c r="C49" s="411"/>
      <c r="D49" s="412"/>
      <c r="E49" s="413"/>
      <c r="F49" s="414"/>
      <c r="G49" s="415"/>
      <c r="H49" s="520"/>
      <c r="I49" s="416"/>
      <c r="J49" s="413"/>
      <c r="K49" s="417"/>
    </row>
    <row r="50">
      <c r="A50" s="400"/>
      <c r="B50" s="401"/>
      <c r="C50" s="402"/>
      <c r="D50" s="403"/>
      <c r="E50" s="404"/>
      <c r="F50" s="405"/>
      <c r="G50" s="406"/>
      <c r="H50" s="522"/>
      <c r="I50" s="407"/>
      <c r="J50" s="404"/>
      <c r="K50" s="408"/>
    </row>
    <row r="51">
      <c r="A51" s="409"/>
      <c r="B51" s="410"/>
      <c r="C51" s="411"/>
      <c r="D51" s="412"/>
      <c r="E51" s="413"/>
      <c r="F51" s="414"/>
      <c r="G51" s="415"/>
      <c r="H51" s="520"/>
      <c r="I51" s="416"/>
      <c r="J51" s="413"/>
      <c r="K51" s="417"/>
    </row>
  </sheetData>
  <autoFilter ref="$A$1:$K$51"/>
  <conditionalFormatting sqref="D1:D51">
    <cfRule type="cellIs" dxfId="4" priority="1" operator="lessThan">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8" width="19.13"/>
    <col customWidth="1" min="9" max="9" width="21.63"/>
    <col customWidth="1" min="10" max="10" width="85.88"/>
    <col customWidth="1" min="11" max="11" width="25.13"/>
  </cols>
  <sheetData>
    <row r="1" collapsed="1">
      <c r="A1" s="358"/>
      <c r="B1" s="359" t="s">
        <v>695</v>
      </c>
      <c r="C1" s="360" t="s">
        <v>696</v>
      </c>
      <c r="D1" s="361" t="s">
        <v>697</v>
      </c>
      <c r="E1" s="360" t="s">
        <v>698</v>
      </c>
      <c r="F1" s="361"/>
      <c r="G1" s="362" t="s">
        <v>699</v>
      </c>
      <c r="H1" s="455" t="s">
        <v>868</v>
      </c>
      <c r="I1" s="363" t="s">
        <v>130</v>
      </c>
      <c r="J1" s="364" t="s">
        <v>700</v>
      </c>
      <c r="K1" s="365"/>
    </row>
    <row r="2" hidden="1" outlineLevel="1">
      <c r="A2" s="48">
        <v>1.0</v>
      </c>
      <c r="B2" s="49" t="s">
        <v>982</v>
      </c>
      <c r="C2" s="50">
        <f t="shared" ref="C2:D2" si="1">SUM(C4:C9)</f>
        <v>45274243.2</v>
      </c>
      <c r="D2" s="52">
        <f t="shared" si="1"/>
        <v>49606823.2</v>
      </c>
      <c r="E2" s="456"/>
      <c r="F2" s="457">
        <v>5.332046E7</v>
      </c>
      <c r="G2" s="52">
        <f>SUM(G4:G9)</f>
        <v>49606823.2</v>
      </c>
      <c r="H2" s="55"/>
      <c r="I2" s="58">
        <f>G2-D2</f>
        <v>0</v>
      </c>
      <c r="J2" s="59"/>
      <c r="K2" s="60"/>
    </row>
    <row r="3" hidden="1" outlineLevel="1">
      <c r="A3" s="63"/>
      <c r="B3" s="66"/>
      <c r="C3" s="458" t="s">
        <v>19</v>
      </c>
      <c r="D3" s="459">
        <f>(D2/C2)-1</f>
        <v>0.0956963539</v>
      </c>
      <c r="E3" s="460"/>
      <c r="F3" s="461"/>
      <c r="G3" s="76"/>
      <c r="H3" s="462"/>
      <c r="I3" s="463"/>
      <c r="J3" s="79"/>
      <c r="K3" s="82"/>
    </row>
    <row r="4" hidden="1" outlineLevel="1">
      <c r="A4" s="418">
        <v>1.1</v>
      </c>
      <c r="B4" s="375" t="s">
        <v>999</v>
      </c>
      <c r="C4" s="376">
        <v>3800000.0</v>
      </c>
      <c r="D4" s="377">
        <f t="shared" ref="D4:D9" si="2">G4</f>
        <v>6900000</v>
      </c>
      <c r="E4" s="376"/>
      <c r="F4" s="377"/>
      <c r="G4" s="377">
        <v>6900000.0</v>
      </c>
      <c r="H4" s="466"/>
      <c r="I4" s="442">
        <f t="shared" ref="I4:I9" si="3">G4-D4</f>
        <v>0</v>
      </c>
      <c r="J4" s="443"/>
      <c r="K4" s="380"/>
    </row>
    <row r="5" hidden="1" outlineLevel="1">
      <c r="A5" s="444">
        <v>1.2</v>
      </c>
      <c r="B5" s="382" t="s">
        <v>1012</v>
      </c>
      <c r="C5" s="370">
        <v>1800000.0</v>
      </c>
      <c r="D5" s="445">
        <f t="shared" si="2"/>
        <v>1512000</v>
      </c>
      <c r="E5" s="370"/>
      <c r="F5" s="445"/>
      <c r="G5" s="445">
        <v>1512000.0</v>
      </c>
      <c r="H5" s="469"/>
      <c r="I5" s="304">
        <f t="shared" si="3"/>
        <v>0</v>
      </c>
      <c r="J5" s="446"/>
      <c r="K5" s="447"/>
    </row>
    <row r="6" hidden="1" outlineLevel="1">
      <c r="A6" s="418">
        <v>1.3</v>
      </c>
      <c r="B6" s="375" t="s">
        <v>1019</v>
      </c>
      <c r="C6" s="376">
        <v>3024000.0</v>
      </c>
      <c r="D6" s="377">
        <f t="shared" si="2"/>
        <v>2592000</v>
      </c>
      <c r="E6" s="376"/>
      <c r="F6" s="377"/>
      <c r="G6" s="377">
        <v>2592000.0</v>
      </c>
      <c r="H6" s="466"/>
      <c r="I6" s="442">
        <f t="shared" si="3"/>
        <v>0</v>
      </c>
      <c r="J6" s="443"/>
      <c r="K6" s="380"/>
    </row>
    <row r="7" hidden="1" outlineLevel="1">
      <c r="A7" s="444">
        <v>1.4</v>
      </c>
      <c r="B7" s="382" t="s">
        <v>1028</v>
      </c>
      <c r="C7" s="370">
        <v>2.0679264E7</v>
      </c>
      <c r="D7" s="445">
        <f t="shared" si="2"/>
        <v>26632368</v>
      </c>
      <c r="E7" s="370"/>
      <c r="F7" s="445"/>
      <c r="G7" s="445">
        <v>2.6632368E7</v>
      </c>
      <c r="H7" s="469"/>
      <c r="I7" s="304">
        <f t="shared" si="3"/>
        <v>0</v>
      </c>
      <c r="J7" s="446"/>
      <c r="K7" s="447"/>
    </row>
    <row r="8" hidden="1" outlineLevel="1">
      <c r="A8" s="418">
        <v>1.5</v>
      </c>
      <c r="B8" s="375" t="s">
        <v>1035</v>
      </c>
      <c r="C8" s="376">
        <v>6400000.0</v>
      </c>
      <c r="D8" s="377">
        <f t="shared" si="2"/>
        <v>6400000</v>
      </c>
      <c r="E8" s="376"/>
      <c r="F8" s="377"/>
      <c r="G8" s="377">
        <v>6400000.0</v>
      </c>
      <c r="H8" s="466"/>
      <c r="I8" s="442">
        <f t="shared" si="3"/>
        <v>0</v>
      </c>
      <c r="J8" s="443"/>
      <c r="K8" s="380"/>
    </row>
    <row r="9" hidden="1" outlineLevel="1">
      <c r="A9" s="444">
        <v>1.6</v>
      </c>
      <c r="B9" s="382" t="s">
        <v>1044</v>
      </c>
      <c r="C9" s="370">
        <v>9570979.2</v>
      </c>
      <c r="D9" s="445">
        <f t="shared" si="2"/>
        <v>5570455.2</v>
      </c>
      <c r="E9" s="370"/>
      <c r="F9" s="445"/>
      <c r="G9" s="445">
        <v>5570455.2</v>
      </c>
      <c r="H9" s="469"/>
      <c r="I9" s="304">
        <f t="shared" si="3"/>
        <v>0</v>
      </c>
      <c r="J9" s="446"/>
      <c r="K9" s="447"/>
    </row>
    <row r="10" hidden="1" outlineLevel="1">
      <c r="A10" s="141"/>
      <c r="B10" s="142" t="s">
        <v>1055</v>
      </c>
      <c r="C10" s="143">
        <f t="shared" ref="C10:G10" si="4">SUM(C12:C32)</f>
        <v>4210000</v>
      </c>
      <c r="D10" s="144">
        <f t="shared" si="4"/>
        <v>6970000</v>
      </c>
      <c r="E10" s="507">
        <f t="shared" si="4"/>
        <v>0</v>
      </c>
      <c r="F10" s="508">
        <f t="shared" si="4"/>
        <v>8470000</v>
      </c>
      <c r="G10" s="144">
        <f t="shared" si="4"/>
        <v>8470000</v>
      </c>
      <c r="H10" s="145"/>
      <c r="I10" s="147">
        <f>SUM(I12:I32)</f>
        <v>1500000</v>
      </c>
      <c r="J10" s="148"/>
      <c r="K10" s="149"/>
    </row>
    <row r="11" hidden="1" outlineLevel="1">
      <c r="A11" s="63"/>
      <c r="B11" s="66"/>
      <c r="C11" s="458" t="s">
        <v>19</v>
      </c>
      <c r="D11" s="459">
        <f>(D10/C10)-1</f>
        <v>0.6555819477</v>
      </c>
      <c r="E11" s="460"/>
      <c r="F11" s="461"/>
      <c r="G11" s="76"/>
      <c r="H11" s="462"/>
      <c r="I11" s="463"/>
      <c r="J11" s="79"/>
      <c r="K11" s="82"/>
    </row>
    <row r="12" hidden="1" outlineLevel="1">
      <c r="A12" s="418">
        <v>2.0</v>
      </c>
      <c r="B12" s="375" t="s">
        <v>1261</v>
      </c>
      <c r="C12" s="376">
        <v>250000.0</v>
      </c>
      <c r="D12" s="377">
        <f t="shared" ref="D12:D26" si="5">G12</f>
        <v>400000</v>
      </c>
      <c r="E12" s="376"/>
      <c r="F12" s="377">
        <v>400000.0</v>
      </c>
      <c r="G12" s="377">
        <v>400000.0</v>
      </c>
      <c r="H12" s="466"/>
      <c r="I12" s="442">
        <f t="shared" ref="I12:I32" si="6">G12-D12</f>
        <v>0</v>
      </c>
      <c r="J12" s="443"/>
      <c r="K12" s="380"/>
    </row>
    <row r="13" hidden="1" outlineLevel="1">
      <c r="A13" s="444">
        <v>3.0</v>
      </c>
      <c r="B13" s="382" t="s">
        <v>1268</v>
      </c>
      <c r="C13" s="370">
        <v>180000.0</v>
      </c>
      <c r="D13" s="445">
        <f t="shared" si="5"/>
        <v>360000</v>
      </c>
      <c r="E13" s="370"/>
      <c r="F13" s="445">
        <v>360000.0</v>
      </c>
      <c r="G13" s="445">
        <v>360000.0</v>
      </c>
      <c r="H13" s="469"/>
      <c r="I13" s="304">
        <f t="shared" si="6"/>
        <v>0</v>
      </c>
      <c r="J13" s="446"/>
      <c r="K13" s="447"/>
    </row>
    <row r="14" hidden="1" outlineLevel="1">
      <c r="A14" s="418">
        <v>4.0</v>
      </c>
      <c r="B14" s="375" t="s">
        <v>1273</v>
      </c>
      <c r="C14" s="376">
        <v>180000.0</v>
      </c>
      <c r="D14" s="377">
        <f t="shared" si="5"/>
        <v>360000</v>
      </c>
      <c r="E14" s="376"/>
      <c r="F14" s="377">
        <v>360000.0</v>
      </c>
      <c r="G14" s="377">
        <v>360000.0</v>
      </c>
      <c r="H14" s="466"/>
      <c r="I14" s="442">
        <f t="shared" si="6"/>
        <v>0</v>
      </c>
      <c r="J14" s="443"/>
      <c r="K14" s="380"/>
    </row>
    <row r="15" hidden="1" outlineLevel="1">
      <c r="A15" s="444">
        <v>5.0</v>
      </c>
      <c r="B15" s="382" t="s">
        <v>1279</v>
      </c>
      <c r="C15" s="370">
        <v>180000.0</v>
      </c>
      <c r="D15" s="445">
        <f t="shared" si="5"/>
        <v>360000</v>
      </c>
      <c r="E15" s="370"/>
      <c r="F15" s="445">
        <v>360000.0</v>
      </c>
      <c r="G15" s="445">
        <v>360000.0</v>
      </c>
      <c r="H15" s="469"/>
      <c r="I15" s="304">
        <f t="shared" si="6"/>
        <v>0</v>
      </c>
      <c r="J15" s="446"/>
      <c r="K15" s="447"/>
    </row>
    <row r="16" hidden="1" outlineLevel="1">
      <c r="A16" s="418">
        <v>6.0</v>
      </c>
      <c r="B16" s="375" t="s">
        <v>1281</v>
      </c>
      <c r="C16" s="376">
        <v>180000.0</v>
      </c>
      <c r="D16" s="377">
        <f t="shared" si="5"/>
        <v>360000</v>
      </c>
      <c r="E16" s="376"/>
      <c r="F16" s="377">
        <v>360000.0</v>
      </c>
      <c r="G16" s="377">
        <v>360000.0</v>
      </c>
      <c r="H16" s="466"/>
      <c r="I16" s="442">
        <f t="shared" si="6"/>
        <v>0</v>
      </c>
      <c r="J16" s="443"/>
      <c r="K16" s="380"/>
    </row>
    <row r="17" hidden="1" outlineLevel="1">
      <c r="A17" s="444">
        <v>7.0</v>
      </c>
      <c r="B17" s="382" t="s">
        <v>1283</v>
      </c>
      <c r="C17" s="370">
        <v>180000.0</v>
      </c>
      <c r="D17" s="445">
        <f t="shared" si="5"/>
        <v>360000</v>
      </c>
      <c r="E17" s="370"/>
      <c r="F17" s="445">
        <v>360000.0</v>
      </c>
      <c r="G17" s="445">
        <v>360000.0</v>
      </c>
      <c r="H17" s="469"/>
      <c r="I17" s="304">
        <f t="shared" si="6"/>
        <v>0</v>
      </c>
      <c r="J17" s="446"/>
      <c r="K17" s="447"/>
    </row>
    <row r="18" hidden="1" outlineLevel="1">
      <c r="A18" s="418">
        <v>8.0</v>
      </c>
      <c r="B18" s="375" t="s">
        <v>1284</v>
      </c>
      <c r="C18" s="376">
        <v>180000.0</v>
      </c>
      <c r="D18" s="377">
        <f t="shared" si="5"/>
        <v>360000</v>
      </c>
      <c r="E18" s="376"/>
      <c r="F18" s="377">
        <v>360000.0</v>
      </c>
      <c r="G18" s="377">
        <v>360000.0</v>
      </c>
      <c r="H18" s="466"/>
      <c r="I18" s="442">
        <f t="shared" si="6"/>
        <v>0</v>
      </c>
      <c r="J18" s="443"/>
      <c r="K18" s="380"/>
    </row>
    <row r="19" hidden="1" outlineLevel="1">
      <c r="A19" s="444">
        <v>9.0</v>
      </c>
      <c r="B19" s="382" t="s">
        <v>1285</v>
      </c>
      <c r="C19" s="370">
        <v>180000.0</v>
      </c>
      <c r="D19" s="445">
        <f t="shared" si="5"/>
        <v>360000</v>
      </c>
      <c r="E19" s="370"/>
      <c r="F19" s="445">
        <v>360000.0</v>
      </c>
      <c r="G19" s="445">
        <v>360000.0</v>
      </c>
      <c r="H19" s="469"/>
      <c r="I19" s="304">
        <f t="shared" si="6"/>
        <v>0</v>
      </c>
      <c r="J19" s="446"/>
      <c r="K19" s="447"/>
    </row>
    <row r="20" hidden="1" outlineLevel="1">
      <c r="A20" s="418">
        <v>10.0</v>
      </c>
      <c r="B20" s="375" t="s">
        <v>1287</v>
      </c>
      <c r="C20" s="376">
        <v>180000.0</v>
      </c>
      <c r="D20" s="377">
        <f t="shared" si="5"/>
        <v>360000</v>
      </c>
      <c r="E20" s="376"/>
      <c r="F20" s="377">
        <v>360000.0</v>
      </c>
      <c r="G20" s="377">
        <v>360000.0</v>
      </c>
      <c r="H20" s="466"/>
      <c r="I20" s="442">
        <f t="shared" si="6"/>
        <v>0</v>
      </c>
      <c r="J20" s="443"/>
      <c r="K20" s="380"/>
    </row>
    <row r="21" hidden="1" outlineLevel="1">
      <c r="A21" s="444">
        <v>11.0</v>
      </c>
      <c r="B21" s="382" t="s">
        <v>1289</v>
      </c>
      <c r="C21" s="370">
        <v>220000.0</v>
      </c>
      <c r="D21" s="445">
        <f t="shared" si="5"/>
        <v>390000</v>
      </c>
      <c r="E21" s="370"/>
      <c r="F21" s="445">
        <v>390000.0</v>
      </c>
      <c r="G21" s="445">
        <v>390000.0</v>
      </c>
      <c r="H21" s="469"/>
      <c r="I21" s="304">
        <f t="shared" si="6"/>
        <v>0</v>
      </c>
      <c r="J21" s="446"/>
      <c r="K21" s="447"/>
    </row>
    <row r="22" hidden="1" outlineLevel="1">
      <c r="A22" s="418">
        <v>12.0</v>
      </c>
      <c r="B22" s="375" t="s">
        <v>1292</v>
      </c>
      <c r="C22" s="376">
        <v>220000.0</v>
      </c>
      <c r="D22" s="377">
        <f t="shared" si="5"/>
        <v>390000</v>
      </c>
      <c r="E22" s="376"/>
      <c r="F22" s="377">
        <v>390000.0</v>
      </c>
      <c r="G22" s="377">
        <v>390000.0</v>
      </c>
      <c r="H22" s="466"/>
      <c r="I22" s="442">
        <f t="shared" si="6"/>
        <v>0</v>
      </c>
      <c r="J22" s="443"/>
      <c r="K22" s="380"/>
    </row>
    <row r="23" hidden="1" outlineLevel="1">
      <c r="A23" s="444">
        <v>13.0</v>
      </c>
      <c r="B23" s="382" t="s">
        <v>1296</v>
      </c>
      <c r="C23" s="370">
        <v>220000.0</v>
      </c>
      <c r="D23" s="445">
        <f t="shared" si="5"/>
        <v>390000</v>
      </c>
      <c r="E23" s="370"/>
      <c r="F23" s="445">
        <v>390000.0</v>
      </c>
      <c r="G23" s="445">
        <v>390000.0</v>
      </c>
      <c r="H23" s="469"/>
      <c r="I23" s="304">
        <f t="shared" si="6"/>
        <v>0</v>
      </c>
      <c r="J23" s="446"/>
      <c r="K23" s="447"/>
    </row>
    <row r="24" hidden="1" outlineLevel="1">
      <c r="A24" s="418">
        <v>14.0</v>
      </c>
      <c r="B24" s="375" t="s">
        <v>1297</v>
      </c>
      <c r="C24" s="376">
        <v>220000.0</v>
      </c>
      <c r="D24" s="377">
        <f t="shared" si="5"/>
        <v>390000</v>
      </c>
      <c r="E24" s="376"/>
      <c r="F24" s="377">
        <v>390000.0</v>
      </c>
      <c r="G24" s="377">
        <v>390000.0</v>
      </c>
      <c r="H24" s="466"/>
      <c r="I24" s="442">
        <f t="shared" si="6"/>
        <v>0</v>
      </c>
      <c r="J24" s="443"/>
      <c r="K24" s="380"/>
    </row>
    <row r="25" hidden="1" outlineLevel="1">
      <c r="A25" s="444">
        <v>15.0</v>
      </c>
      <c r="B25" s="382" t="s">
        <v>1301</v>
      </c>
      <c r="C25" s="370">
        <v>220000.0</v>
      </c>
      <c r="D25" s="445">
        <f t="shared" si="5"/>
        <v>390000</v>
      </c>
      <c r="E25" s="370"/>
      <c r="F25" s="445">
        <v>390000.0</v>
      </c>
      <c r="G25" s="445">
        <v>390000.0</v>
      </c>
      <c r="H25" s="469"/>
      <c r="I25" s="304">
        <f t="shared" si="6"/>
        <v>0</v>
      </c>
      <c r="J25" s="446"/>
      <c r="K25" s="447"/>
    </row>
    <row r="26" hidden="1" outlineLevel="1">
      <c r="A26" s="418">
        <v>16.0</v>
      </c>
      <c r="B26" s="375" t="s">
        <v>1302</v>
      </c>
      <c r="C26" s="376">
        <v>220000.0</v>
      </c>
      <c r="D26" s="377">
        <f t="shared" si="5"/>
        <v>390000</v>
      </c>
      <c r="E26" s="376"/>
      <c r="F26" s="377">
        <v>390000.0</v>
      </c>
      <c r="G26" s="377">
        <v>390000.0</v>
      </c>
      <c r="H26" s="466"/>
      <c r="I26" s="442">
        <f t="shared" si="6"/>
        <v>0</v>
      </c>
      <c r="J26" s="443"/>
      <c r="K26" s="380"/>
    </row>
    <row r="27" hidden="1" outlineLevel="1">
      <c r="A27" s="444">
        <v>17.0</v>
      </c>
      <c r="B27" s="382" t="s">
        <v>1304</v>
      </c>
      <c r="C27" s="370">
        <v>0.0</v>
      </c>
      <c r="D27" s="445">
        <v>0.0</v>
      </c>
      <c r="E27" s="370"/>
      <c r="F27" s="445">
        <v>390000.0</v>
      </c>
      <c r="G27" s="445">
        <v>390000.0</v>
      </c>
      <c r="H27" s="469"/>
      <c r="I27" s="304">
        <f t="shared" si="6"/>
        <v>390000</v>
      </c>
      <c r="J27" s="446"/>
      <c r="K27" s="447"/>
    </row>
    <row r="28" hidden="1" outlineLevel="1">
      <c r="A28" s="418">
        <v>18.0</v>
      </c>
      <c r="B28" s="375" t="s">
        <v>1306</v>
      </c>
      <c r="C28" s="376">
        <v>200000.0</v>
      </c>
      <c r="D28" s="377">
        <f>G28</f>
        <v>350000</v>
      </c>
      <c r="E28" s="376"/>
      <c r="F28" s="377">
        <v>350000.0</v>
      </c>
      <c r="G28" s="377">
        <v>350000.0</v>
      </c>
      <c r="H28" s="466"/>
      <c r="I28" s="442">
        <f t="shared" si="6"/>
        <v>0</v>
      </c>
      <c r="J28" s="443"/>
      <c r="K28" s="380"/>
    </row>
    <row r="29" hidden="1" outlineLevel="1">
      <c r="A29" s="444">
        <v>19.0</v>
      </c>
      <c r="B29" s="382" t="s">
        <v>1309</v>
      </c>
      <c r="C29" s="370">
        <v>0.0</v>
      </c>
      <c r="D29" s="445">
        <v>0.0</v>
      </c>
      <c r="E29" s="370"/>
      <c r="F29" s="445">
        <v>350000.0</v>
      </c>
      <c r="G29" s="445">
        <v>350000.0</v>
      </c>
      <c r="H29" s="469"/>
      <c r="I29" s="304">
        <f t="shared" si="6"/>
        <v>350000</v>
      </c>
      <c r="J29" s="446"/>
      <c r="K29" s="447"/>
    </row>
    <row r="30" hidden="1" outlineLevel="1">
      <c r="A30" s="418">
        <v>20.0</v>
      </c>
      <c r="B30" s="375" t="s">
        <v>1151</v>
      </c>
      <c r="C30" s="376">
        <v>1000000.0</v>
      </c>
      <c r="D30" s="377">
        <f>G30</f>
        <v>1000000</v>
      </c>
      <c r="E30" s="376"/>
      <c r="F30" s="377">
        <v>1000000.0</v>
      </c>
      <c r="G30" s="377">
        <v>1000000.0</v>
      </c>
      <c r="H30" s="466"/>
      <c r="I30" s="442">
        <f t="shared" si="6"/>
        <v>0</v>
      </c>
      <c r="J30" s="443"/>
      <c r="K30" s="380"/>
    </row>
    <row r="31" hidden="1" outlineLevel="1">
      <c r="A31" s="444">
        <v>21.0</v>
      </c>
      <c r="B31" s="382" t="s">
        <v>1314</v>
      </c>
      <c r="C31" s="370">
        <v>0.0</v>
      </c>
      <c r="D31" s="445">
        <v>0.0</v>
      </c>
      <c r="E31" s="370"/>
      <c r="F31" s="445">
        <v>380000.0</v>
      </c>
      <c r="G31" s="445">
        <v>380000.0</v>
      </c>
      <c r="H31" s="469"/>
      <c r="I31" s="304">
        <f t="shared" si="6"/>
        <v>380000</v>
      </c>
      <c r="J31" s="446"/>
      <c r="K31" s="447"/>
    </row>
    <row r="32" hidden="1" outlineLevel="1">
      <c r="A32" s="418">
        <v>22.0</v>
      </c>
      <c r="B32" s="375" t="s">
        <v>1318</v>
      </c>
      <c r="C32" s="376">
        <v>0.0</v>
      </c>
      <c r="D32" s="377">
        <v>0.0</v>
      </c>
      <c r="E32" s="376"/>
      <c r="F32" s="377">
        <v>380000.0</v>
      </c>
      <c r="G32" s="377">
        <v>380000.0</v>
      </c>
      <c r="H32" s="466"/>
      <c r="I32" s="442">
        <f t="shared" si="6"/>
        <v>380000</v>
      </c>
      <c r="J32" s="443"/>
      <c r="K32" s="380"/>
    </row>
    <row r="33" hidden="1" outlineLevel="1">
      <c r="A33" s="444" t="s">
        <v>268</v>
      </c>
      <c r="B33" s="382" t="s">
        <v>1157</v>
      </c>
      <c r="C33" s="370"/>
      <c r="D33" s="445"/>
      <c r="E33" s="370"/>
      <c r="F33" s="445"/>
      <c r="G33" s="445"/>
      <c r="H33" s="469"/>
      <c r="I33" s="304"/>
      <c r="J33" s="446"/>
      <c r="K33" s="447"/>
    </row>
    <row r="34" hidden="1" outlineLevel="1">
      <c r="A34" s="429"/>
      <c r="B34" s="430"/>
      <c r="C34" s="432"/>
      <c r="D34" s="433"/>
      <c r="E34" s="432"/>
      <c r="F34" s="433"/>
      <c r="G34" s="433"/>
      <c r="H34" s="494"/>
      <c r="I34" s="437"/>
      <c r="J34" s="552"/>
      <c r="K34" s="497"/>
    </row>
    <row r="35">
      <c r="A35" s="5">
        <v>7.0</v>
      </c>
      <c r="B35" s="6" t="s">
        <v>1324</v>
      </c>
      <c r="C35" s="10">
        <f t="shared" ref="C35:G35" si="7">SUM(C37:C43)</f>
        <v>2338000</v>
      </c>
      <c r="D35" s="12">
        <f t="shared" si="7"/>
        <v>2698000</v>
      </c>
      <c r="E35" s="10">
        <f t="shared" si="7"/>
        <v>0</v>
      </c>
      <c r="F35" s="12">
        <f t="shared" si="7"/>
        <v>2698000</v>
      </c>
      <c r="G35" s="12">
        <f t="shared" si="7"/>
        <v>2698000</v>
      </c>
      <c r="H35" s="13">
        <f>SUM(H36:H43)</f>
        <v>70000</v>
      </c>
      <c r="I35" s="16">
        <f>SUM(I37:I43)</f>
        <v>0</v>
      </c>
      <c r="J35" s="17"/>
      <c r="K35" s="18"/>
    </row>
    <row r="36">
      <c r="A36" s="19"/>
      <c r="B36" s="20"/>
      <c r="C36" s="21" t="s">
        <v>19</v>
      </c>
      <c r="D36" s="22">
        <f>(D35/C35)-1</f>
        <v>0.1539777588</v>
      </c>
      <c r="E36" s="373"/>
      <c r="F36" s="23">
        <f>SUM(F37:F42)</f>
        <v>2628000</v>
      </c>
      <c r="G36" s="23"/>
      <c r="H36" s="24"/>
      <c r="I36" s="26" t="s">
        <v>1345</v>
      </c>
      <c r="J36" s="27"/>
      <c r="K36" s="28"/>
    </row>
    <row r="37">
      <c r="A37" s="418">
        <v>1.0</v>
      </c>
      <c r="B37" s="375" t="s">
        <v>1347</v>
      </c>
      <c r="C37" s="376">
        <v>120000.0</v>
      </c>
      <c r="D37" s="377">
        <f t="shared" ref="D37:D42" si="8">G37</f>
        <v>210000</v>
      </c>
      <c r="E37" s="376"/>
      <c r="F37" s="377">
        <v>210000.0</v>
      </c>
      <c r="G37" s="377">
        <v>210000.0</v>
      </c>
      <c r="H37" s="466"/>
      <c r="I37" s="442">
        <f t="shared" ref="I37:I43" si="9">G37-D37</f>
        <v>0</v>
      </c>
      <c r="J37" s="443"/>
      <c r="K37" s="380"/>
    </row>
    <row r="38">
      <c r="A38" s="444">
        <v>2.0</v>
      </c>
      <c r="B38" s="382" t="s">
        <v>1353</v>
      </c>
      <c r="C38" s="370">
        <v>150000.0</v>
      </c>
      <c r="D38" s="445">
        <f t="shared" si="8"/>
        <v>150000</v>
      </c>
      <c r="E38" s="370"/>
      <c r="F38" s="445">
        <v>150000.0</v>
      </c>
      <c r="G38" s="445">
        <v>150000.0</v>
      </c>
      <c r="H38" s="469"/>
      <c r="I38" s="304">
        <f t="shared" si="9"/>
        <v>0</v>
      </c>
      <c r="J38" s="446"/>
      <c r="K38" s="447"/>
    </row>
    <row r="39">
      <c r="A39" s="418">
        <v>3.0</v>
      </c>
      <c r="B39" s="375" t="s">
        <v>1354</v>
      </c>
      <c r="C39" s="376">
        <v>1700000.0</v>
      </c>
      <c r="D39" s="377">
        <f t="shared" si="8"/>
        <v>1900000</v>
      </c>
      <c r="E39" s="376"/>
      <c r="F39" s="377">
        <v>1900000.0</v>
      </c>
      <c r="G39" s="377">
        <v>1900000.0</v>
      </c>
      <c r="H39" s="466"/>
      <c r="I39" s="442">
        <f t="shared" si="9"/>
        <v>0</v>
      </c>
      <c r="J39" s="443"/>
      <c r="K39" s="380"/>
    </row>
    <row r="40">
      <c r="A40" s="444">
        <v>4.0</v>
      </c>
      <c r="B40" s="382" t="s">
        <v>1356</v>
      </c>
      <c r="C40" s="370">
        <v>300000.0</v>
      </c>
      <c r="D40" s="445">
        <f t="shared" si="8"/>
        <v>300000</v>
      </c>
      <c r="E40" s="370"/>
      <c r="F40" s="445">
        <v>300000.0</v>
      </c>
      <c r="G40" s="445">
        <v>300000.0</v>
      </c>
      <c r="H40" s="469"/>
      <c r="I40" s="304">
        <f t="shared" si="9"/>
        <v>0</v>
      </c>
      <c r="J40" s="446"/>
      <c r="K40" s="447"/>
    </row>
    <row r="41">
      <c r="A41" s="418">
        <v>5.0</v>
      </c>
      <c r="B41" s="375" t="s">
        <v>1360</v>
      </c>
      <c r="C41" s="376">
        <v>20000.0</v>
      </c>
      <c r="D41" s="377">
        <f t="shared" si="8"/>
        <v>40000</v>
      </c>
      <c r="E41" s="376"/>
      <c r="F41" s="377">
        <v>40000.0</v>
      </c>
      <c r="G41" s="377">
        <v>40000.0</v>
      </c>
      <c r="H41" s="466"/>
      <c r="I41" s="442">
        <f t="shared" si="9"/>
        <v>0</v>
      </c>
      <c r="J41" s="443"/>
      <c r="K41" s="380"/>
    </row>
    <row r="42">
      <c r="A42" s="444">
        <v>6.0</v>
      </c>
      <c r="B42" s="382" t="s">
        <v>1363</v>
      </c>
      <c r="C42" s="370">
        <v>28000.0</v>
      </c>
      <c r="D42" s="445">
        <f t="shared" si="8"/>
        <v>28000</v>
      </c>
      <c r="E42" s="370"/>
      <c r="F42" s="445">
        <v>28000.0</v>
      </c>
      <c r="G42" s="445">
        <v>28000.0</v>
      </c>
      <c r="H42" s="469"/>
      <c r="I42" s="304">
        <f t="shared" si="9"/>
        <v>0</v>
      </c>
      <c r="J42" s="446"/>
      <c r="K42" s="447"/>
    </row>
    <row r="43">
      <c r="A43" s="418">
        <v>7.0</v>
      </c>
      <c r="B43" s="375" t="s">
        <v>1367</v>
      </c>
      <c r="C43" s="376">
        <v>20000.0</v>
      </c>
      <c r="D43" s="377">
        <v>70000.0</v>
      </c>
      <c r="E43" s="376"/>
      <c r="F43" s="377">
        <v>70000.0</v>
      </c>
      <c r="G43" s="377">
        <v>70000.0</v>
      </c>
      <c r="H43" s="466">
        <v>70000.0</v>
      </c>
      <c r="I43" s="442">
        <f t="shared" si="9"/>
        <v>0</v>
      </c>
      <c r="J43" s="443"/>
      <c r="K43" s="380"/>
    </row>
    <row r="44">
      <c r="A44" s="444" t="s">
        <v>268</v>
      </c>
      <c r="B44" s="382" t="s">
        <v>1371</v>
      </c>
      <c r="C44" s="370"/>
      <c r="D44" s="445"/>
      <c r="E44" s="370"/>
      <c r="F44" s="445"/>
      <c r="G44" s="445"/>
      <c r="H44" s="469"/>
      <c r="I44" s="304"/>
      <c r="J44" s="446"/>
      <c r="K44" s="447"/>
    </row>
    <row r="45">
      <c r="A45" s="429"/>
      <c r="B45" s="430"/>
      <c r="C45" s="432"/>
      <c r="D45" s="433"/>
      <c r="E45" s="432"/>
      <c r="F45" s="433"/>
      <c r="G45" s="433"/>
      <c r="H45" s="494"/>
      <c r="I45" s="437"/>
      <c r="J45" s="552"/>
      <c r="K45" s="497"/>
    </row>
    <row r="46">
      <c r="A46" s="400"/>
      <c r="B46" s="401"/>
      <c r="C46" s="402"/>
      <c r="D46" s="403"/>
      <c r="E46" s="404"/>
      <c r="F46" s="405"/>
      <c r="G46" s="406"/>
      <c r="H46" s="522"/>
      <c r="I46" s="407"/>
      <c r="J46" s="404"/>
      <c r="K46" s="408"/>
    </row>
    <row r="47">
      <c r="A47" s="409"/>
      <c r="B47" s="410"/>
      <c r="C47" s="411"/>
      <c r="D47" s="412"/>
      <c r="E47" s="413"/>
      <c r="F47" s="414"/>
      <c r="G47" s="415"/>
      <c r="H47" s="520"/>
      <c r="I47" s="416"/>
      <c r="J47" s="413"/>
      <c r="K47" s="417"/>
    </row>
    <row r="48">
      <c r="A48" s="400"/>
      <c r="B48" s="401"/>
      <c r="C48" s="402"/>
      <c r="D48" s="403"/>
      <c r="E48" s="404"/>
      <c r="F48" s="405"/>
      <c r="G48" s="406"/>
      <c r="H48" s="522"/>
      <c r="I48" s="407"/>
      <c r="J48" s="404"/>
      <c r="K48" s="408"/>
    </row>
    <row r="49">
      <c r="A49" s="409"/>
      <c r="B49" s="410"/>
      <c r="C49" s="411"/>
      <c r="D49" s="412"/>
      <c r="E49" s="413"/>
      <c r="F49" s="414"/>
      <c r="G49" s="415"/>
      <c r="H49" s="520"/>
      <c r="I49" s="416"/>
      <c r="J49" s="413"/>
      <c r="K49" s="417"/>
    </row>
    <row r="50">
      <c r="A50" s="400"/>
      <c r="B50" s="401"/>
      <c r="C50" s="402"/>
      <c r="D50" s="403"/>
      <c r="E50" s="404"/>
      <c r="F50" s="405"/>
      <c r="G50" s="406"/>
      <c r="H50" s="522"/>
      <c r="I50" s="407"/>
      <c r="J50" s="404"/>
      <c r="K50" s="408"/>
    </row>
    <row r="51">
      <c r="A51" s="409"/>
      <c r="B51" s="410"/>
      <c r="C51" s="411"/>
      <c r="D51" s="412"/>
      <c r="E51" s="413"/>
      <c r="F51" s="414"/>
      <c r="G51" s="415"/>
      <c r="H51" s="520"/>
      <c r="I51" s="416"/>
      <c r="J51" s="413"/>
      <c r="K51" s="417"/>
    </row>
    <row r="52">
      <c r="A52" s="400"/>
      <c r="B52" s="401"/>
      <c r="C52" s="402"/>
      <c r="D52" s="403"/>
      <c r="E52" s="404"/>
      <c r="F52" s="405"/>
      <c r="G52" s="406"/>
      <c r="H52" s="522"/>
      <c r="I52" s="407"/>
      <c r="J52" s="404"/>
      <c r="K52" s="408"/>
    </row>
    <row r="53">
      <c r="A53" s="409"/>
      <c r="B53" s="410"/>
      <c r="C53" s="411"/>
      <c r="D53" s="412"/>
      <c r="E53" s="413"/>
      <c r="F53" s="414"/>
      <c r="G53" s="415"/>
      <c r="H53" s="520"/>
      <c r="I53" s="416"/>
      <c r="J53" s="413"/>
      <c r="K53" s="417"/>
    </row>
    <row r="54">
      <c r="A54" s="400"/>
      <c r="B54" s="401"/>
      <c r="C54" s="402"/>
      <c r="D54" s="403"/>
      <c r="E54" s="404"/>
      <c r="F54" s="405"/>
      <c r="G54" s="406"/>
      <c r="H54" s="522"/>
      <c r="I54" s="407"/>
      <c r="J54" s="404"/>
      <c r="K54" s="408"/>
    </row>
    <row r="55">
      <c r="A55" s="409"/>
      <c r="B55" s="410"/>
      <c r="C55" s="411"/>
      <c r="D55" s="412"/>
      <c r="E55" s="413"/>
      <c r="F55" s="414"/>
      <c r="G55" s="415"/>
      <c r="H55" s="520"/>
      <c r="I55" s="416"/>
      <c r="J55" s="413"/>
      <c r="K55" s="417"/>
    </row>
    <row r="56">
      <c r="A56" s="400"/>
      <c r="B56" s="401"/>
      <c r="C56" s="402"/>
      <c r="D56" s="403"/>
      <c r="E56" s="404"/>
      <c r="F56" s="405"/>
      <c r="G56" s="406"/>
      <c r="H56" s="522"/>
      <c r="I56" s="407"/>
      <c r="J56" s="404"/>
      <c r="K56" s="408"/>
    </row>
    <row r="57">
      <c r="A57" s="409"/>
      <c r="B57" s="410"/>
      <c r="C57" s="411"/>
      <c r="D57" s="412"/>
      <c r="E57" s="413"/>
      <c r="F57" s="414"/>
      <c r="G57" s="415"/>
      <c r="H57" s="520"/>
      <c r="I57" s="416"/>
      <c r="J57" s="413"/>
      <c r="K57" s="417"/>
    </row>
    <row r="58">
      <c r="A58" s="400"/>
      <c r="B58" s="401"/>
      <c r="C58" s="402"/>
      <c r="D58" s="403"/>
      <c r="E58" s="404"/>
      <c r="F58" s="405"/>
      <c r="G58" s="406"/>
      <c r="H58" s="522"/>
      <c r="I58" s="407"/>
      <c r="J58" s="404"/>
      <c r="K58" s="408"/>
    </row>
    <row r="59">
      <c r="A59" s="409"/>
      <c r="B59" s="410"/>
      <c r="C59" s="411"/>
      <c r="D59" s="412"/>
      <c r="E59" s="413"/>
      <c r="F59" s="414"/>
      <c r="G59" s="415"/>
      <c r="H59" s="520"/>
      <c r="I59" s="416"/>
      <c r="J59" s="413"/>
      <c r="K59" s="417"/>
    </row>
  </sheetData>
  <autoFilter ref="$A$1:$K$59"/>
  <conditionalFormatting sqref="D1:D59">
    <cfRule type="cellIs" dxfId="4" priority="1" operator="lessThan">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358"/>
      <c r="B1" s="359" t="s">
        <v>695</v>
      </c>
      <c r="C1" s="360" t="s">
        <v>696</v>
      </c>
      <c r="D1" s="361" t="s">
        <v>697</v>
      </c>
      <c r="E1" s="360" t="s">
        <v>698</v>
      </c>
      <c r="F1" s="361"/>
      <c r="G1" s="362" t="s">
        <v>699</v>
      </c>
      <c r="H1" s="363" t="s">
        <v>130</v>
      </c>
      <c r="I1" s="364" t="s">
        <v>700</v>
      </c>
      <c r="J1" s="365"/>
    </row>
    <row r="2">
      <c r="A2" s="5">
        <v>8.0</v>
      </c>
      <c r="B2" s="6" t="s">
        <v>1230</v>
      </c>
      <c r="C2" s="10">
        <f t="shared" ref="C2:H2" si="1">SUM(C4:C18)</f>
        <v>12285998.84</v>
      </c>
      <c r="D2" s="12">
        <f t="shared" si="1"/>
        <v>16553986</v>
      </c>
      <c r="E2" s="10">
        <f t="shared" si="1"/>
        <v>0</v>
      </c>
      <c r="F2" s="12">
        <f t="shared" si="1"/>
        <v>16374986</v>
      </c>
      <c r="G2" s="12">
        <f t="shared" si="1"/>
        <v>16374986</v>
      </c>
      <c r="H2" s="16">
        <f t="shared" si="1"/>
        <v>-179000</v>
      </c>
      <c r="I2" s="17"/>
      <c r="J2" s="18"/>
    </row>
    <row r="3">
      <c r="A3" s="19"/>
      <c r="B3" s="20"/>
      <c r="C3" s="21" t="s">
        <v>19</v>
      </c>
      <c r="D3" s="22">
        <f>(D2/C2)-1</f>
        <v>0.3473862578</v>
      </c>
      <c r="E3" s="373"/>
      <c r="F3" s="23">
        <f>SUM(F4:F9)</f>
        <v>11924986</v>
      </c>
      <c r="G3" s="23"/>
      <c r="H3" s="26" t="str">
        <f>IF(H2&lt;0,"patrimônio diminuiu","patrimônio aumentou")</f>
        <v>patrimônio diminuiu</v>
      </c>
      <c r="I3" s="27"/>
      <c r="J3" s="28"/>
    </row>
    <row r="4">
      <c r="A4" s="418">
        <v>1.0</v>
      </c>
      <c r="B4" s="375" t="s">
        <v>1234</v>
      </c>
      <c r="C4" s="376">
        <v>8637186.0</v>
      </c>
      <c r="D4" s="377">
        <f t="shared" ref="D4:D16" si="2">G4</f>
        <v>8637186</v>
      </c>
      <c r="E4" s="376"/>
      <c r="F4" s="377">
        <v>8637186.0</v>
      </c>
      <c r="G4" s="377">
        <v>8637186.0</v>
      </c>
      <c r="H4" s="442">
        <f t="shared" ref="H4:H18" si="3">G4-D4</f>
        <v>0</v>
      </c>
      <c r="I4" s="443"/>
      <c r="J4" s="380"/>
    </row>
    <row r="5">
      <c r="A5" s="444">
        <v>2.0</v>
      </c>
      <c r="B5" s="382" t="s">
        <v>1236</v>
      </c>
      <c r="C5" s="370">
        <v>1259812.84</v>
      </c>
      <c r="D5" s="445">
        <f t="shared" si="2"/>
        <v>1427800</v>
      </c>
      <c r="E5" s="370"/>
      <c r="F5" s="445">
        <v>1427800.0</v>
      </c>
      <c r="G5" s="445">
        <v>1427800.0</v>
      </c>
      <c r="H5" s="304">
        <f t="shared" si="3"/>
        <v>0</v>
      </c>
      <c r="I5" s="446"/>
      <c r="J5" s="447"/>
    </row>
    <row r="6">
      <c r="A6" s="418">
        <v>3.0</v>
      </c>
      <c r="B6" s="375" t="s">
        <v>1237</v>
      </c>
      <c r="C6" s="376">
        <v>500000.0</v>
      </c>
      <c r="D6" s="377">
        <f t="shared" si="2"/>
        <v>500000</v>
      </c>
      <c r="E6" s="376"/>
      <c r="F6" s="377">
        <v>500000.0</v>
      </c>
      <c r="G6" s="377">
        <v>500000.0</v>
      </c>
      <c r="H6" s="442">
        <f t="shared" si="3"/>
        <v>0</v>
      </c>
      <c r="I6" s="443"/>
      <c r="J6" s="380"/>
    </row>
    <row r="7">
      <c r="A7" s="444">
        <v>4.0</v>
      </c>
      <c r="B7" s="382" t="s">
        <v>1238</v>
      </c>
      <c r="C7" s="370">
        <v>300000.0</v>
      </c>
      <c r="D7" s="445">
        <f t="shared" si="2"/>
        <v>300000</v>
      </c>
      <c r="E7" s="370"/>
      <c r="F7" s="445">
        <v>300000.0</v>
      </c>
      <c r="G7" s="445">
        <v>300000.0</v>
      </c>
      <c r="H7" s="304">
        <f t="shared" si="3"/>
        <v>0</v>
      </c>
      <c r="I7" s="446"/>
      <c r="J7" s="447"/>
    </row>
    <row r="8">
      <c r="A8" s="418">
        <v>5.0</v>
      </c>
      <c r="B8" s="375" t="s">
        <v>1240</v>
      </c>
      <c r="C8" s="376">
        <v>25000.0</v>
      </c>
      <c r="D8" s="377">
        <f t="shared" si="2"/>
        <v>220000</v>
      </c>
      <c r="E8" s="376"/>
      <c r="F8" s="377">
        <v>220000.0</v>
      </c>
      <c r="G8" s="377">
        <v>220000.0</v>
      </c>
      <c r="H8" s="442">
        <f t="shared" si="3"/>
        <v>0</v>
      </c>
      <c r="I8" s="443"/>
      <c r="J8" s="380"/>
    </row>
    <row r="9">
      <c r="A9" s="444">
        <v>6.0</v>
      </c>
      <c r="B9" s="382" t="s">
        <v>1243</v>
      </c>
      <c r="C9" s="370">
        <v>685000.0</v>
      </c>
      <c r="D9" s="445">
        <f t="shared" si="2"/>
        <v>840000</v>
      </c>
      <c r="E9" s="370"/>
      <c r="F9" s="445">
        <v>840000.0</v>
      </c>
      <c r="G9" s="445">
        <v>840000.0</v>
      </c>
      <c r="H9" s="304">
        <f t="shared" si="3"/>
        <v>0</v>
      </c>
      <c r="I9" s="446"/>
      <c r="J9" s="447"/>
    </row>
    <row r="10">
      <c r="A10" s="418">
        <v>7.0</v>
      </c>
      <c r="B10" s="375" t="s">
        <v>1246</v>
      </c>
      <c r="C10" s="376" t="s">
        <v>1232</v>
      </c>
      <c r="D10" s="377">
        <f t="shared" si="2"/>
        <v>3500000</v>
      </c>
      <c r="E10" s="376"/>
      <c r="F10" s="377">
        <v>3500000.0</v>
      </c>
      <c r="G10" s="377">
        <v>3500000.0</v>
      </c>
      <c r="H10" s="442">
        <f t="shared" si="3"/>
        <v>0</v>
      </c>
      <c r="I10" s="443"/>
      <c r="J10" s="380"/>
    </row>
    <row r="11">
      <c r="A11" s="444">
        <v>8.0</v>
      </c>
      <c r="B11" s="382" t="s">
        <v>1248</v>
      </c>
      <c r="C11" s="370" t="s">
        <v>1232</v>
      </c>
      <c r="D11" s="445">
        <f t="shared" si="2"/>
        <v>250000</v>
      </c>
      <c r="E11" s="370"/>
      <c r="F11" s="445">
        <v>250000.0</v>
      </c>
      <c r="G11" s="445">
        <v>250000.0</v>
      </c>
      <c r="H11" s="304">
        <f t="shared" si="3"/>
        <v>0</v>
      </c>
      <c r="I11" s="446"/>
      <c r="J11" s="447"/>
    </row>
    <row r="12">
      <c r="A12" s="418">
        <v>9.0</v>
      </c>
      <c r="B12" s="375" t="s">
        <v>1251</v>
      </c>
      <c r="C12" s="376">
        <v>360000.0</v>
      </c>
      <c r="D12" s="377">
        <f t="shared" si="2"/>
        <v>360000</v>
      </c>
      <c r="E12" s="376"/>
      <c r="F12" s="377">
        <v>360000.0</v>
      </c>
      <c r="G12" s="377">
        <v>360000.0</v>
      </c>
      <c r="H12" s="442">
        <f t="shared" si="3"/>
        <v>0</v>
      </c>
      <c r="I12" s="443"/>
      <c r="J12" s="380"/>
    </row>
    <row r="13">
      <c r="A13" s="444">
        <v>10.0</v>
      </c>
      <c r="B13" s="382" t="s">
        <v>1253</v>
      </c>
      <c r="C13" s="370">
        <v>140000.0</v>
      </c>
      <c r="D13" s="445">
        <f t="shared" si="2"/>
        <v>140000</v>
      </c>
      <c r="E13" s="370"/>
      <c r="F13" s="445">
        <v>140000.0</v>
      </c>
      <c r="G13" s="445">
        <v>140000.0</v>
      </c>
      <c r="H13" s="304">
        <f t="shared" si="3"/>
        <v>0</v>
      </c>
      <c r="I13" s="446"/>
      <c r="J13" s="447"/>
    </row>
    <row r="14">
      <c r="A14" s="418">
        <v>11.0</v>
      </c>
      <c r="B14" s="375" t="s">
        <v>1255</v>
      </c>
      <c r="C14" s="376">
        <v>30000.0</v>
      </c>
      <c r="D14" s="377">
        <f t="shared" si="2"/>
        <v>30000</v>
      </c>
      <c r="E14" s="376"/>
      <c r="F14" s="377">
        <v>30000.0</v>
      </c>
      <c r="G14" s="377">
        <v>30000.0</v>
      </c>
      <c r="H14" s="442">
        <f t="shared" si="3"/>
        <v>0</v>
      </c>
      <c r="I14" s="443"/>
      <c r="J14" s="380"/>
    </row>
    <row r="15">
      <c r="A15" s="444">
        <v>12.0</v>
      </c>
      <c r="B15" s="382" t="s">
        <v>1258</v>
      </c>
      <c r="C15" s="370">
        <v>140000.0</v>
      </c>
      <c r="D15" s="445">
        <f t="shared" si="2"/>
        <v>140000</v>
      </c>
      <c r="E15" s="370"/>
      <c r="F15" s="445">
        <v>140000.0</v>
      </c>
      <c r="G15" s="445">
        <v>140000.0</v>
      </c>
      <c r="H15" s="304">
        <f t="shared" si="3"/>
        <v>0</v>
      </c>
      <c r="I15" s="446"/>
      <c r="J15" s="447"/>
    </row>
    <row r="16">
      <c r="A16" s="418">
        <v>13.0</v>
      </c>
      <c r="B16" s="375" t="s">
        <v>1262</v>
      </c>
      <c r="C16" s="376">
        <v>30000.0</v>
      </c>
      <c r="D16" s="377">
        <f t="shared" si="2"/>
        <v>30000</v>
      </c>
      <c r="E16" s="376"/>
      <c r="F16" s="377">
        <v>30000.0</v>
      </c>
      <c r="G16" s="377">
        <v>30000.0</v>
      </c>
      <c r="H16" s="442">
        <f t="shared" si="3"/>
        <v>0</v>
      </c>
      <c r="I16" s="443"/>
      <c r="J16" s="380"/>
    </row>
    <row r="17">
      <c r="A17" s="444" t="s">
        <v>320</v>
      </c>
      <c r="B17" s="382" t="s">
        <v>1264</v>
      </c>
      <c r="C17" s="370">
        <v>149000.0</v>
      </c>
      <c r="D17" s="445">
        <v>149000.0</v>
      </c>
      <c r="E17" s="370"/>
      <c r="F17" s="445"/>
      <c r="G17" s="445">
        <v>0.0</v>
      </c>
      <c r="H17" s="304">
        <f t="shared" si="3"/>
        <v>-149000</v>
      </c>
      <c r="I17" s="446"/>
      <c r="J17" s="447"/>
    </row>
    <row r="18">
      <c r="A18" s="418" t="s">
        <v>330</v>
      </c>
      <c r="B18" s="375" t="s">
        <v>1269</v>
      </c>
      <c r="C18" s="376">
        <v>30000.0</v>
      </c>
      <c r="D18" s="377">
        <v>30000.0</v>
      </c>
      <c r="E18" s="376"/>
      <c r="F18" s="377"/>
      <c r="G18" s="377">
        <v>0.0</v>
      </c>
      <c r="H18" s="442">
        <f t="shared" si="3"/>
        <v>-30000</v>
      </c>
      <c r="I18" s="443"/>
      <c r="J18" s="380"/>
    </row>
    <row r="19">
      <c r="A19" s="444" t="s">
        <v>268</v>
      </c>
      <c r="B19" s="382" t="s">
        <v>1276</v>
      </c>
      <c r="C19" s="370"/>
      <c r="D19" s="445"/>
      <c r="E19" s="370"/>
      <c r="F19" s="445"/>
      <c r="G19" s="445"/>
      <c r="H19" s="304"/>
      <c r="I19" s="446"/>
      <c r="J19" s="447"/>
    </row>
    <row r="20">
      <c r="A20" s="429"/>
      <c r="B20" s="430"/>
      <c r="C20" s="432"/>
      <c r="D20" s="433"/>
      <c r="E20" s="432"/>
      <c r="F20" s="433"/>
      <c r="G20" s="433"/>
      <c r="H20" s="437"/>
      <c r="I20" s="552"/>
      <c r="J20" s="497"/>
    </row>
    <row r="21">
      <c r="A21" s="400"/>
      <c r="B21" s="401"/>
      <c r="C21" s="402"/>
      <c r="D21" s="403"/>
      <c r="E21" s="404"/>
      <c r="F21" s="405"/>
      <c r="G21" s="406"/>
      <c r="H21" s="407"/>
      <c r="I21" s="404"/>
      <c r="J21" s="408"/>
    </row>
    <row r="22">
      <c r="A22" s="409"/>
      <c r="B22" s="410"/>
      <c r="C22" s="411"/>
      <c r="D22" s="412"/>
      <c r="E22" s="413"/>
      <c r="F22" s="414"/>
      <c r="G22" s="415"/>
      <c r="H22" s="416"/>
      <c r="I22" s="413"/>
      <c r="J22" s="417"/>
    </row>
    <row r="23">
      <c r="A23" s="400"/>
      <c r="B23" s="401"/>
      <c r="C23" s="402"/>
      <c r="D23" s="403"/>
      <c r="E23" s="404"/>
      <c r="F23" s="405"/>
      <c r="G23" s="406"/>
      <c r="H23" s="407"/>
      <c r="I23" s="404"/>
      <c r="J23" s="408"/>
    </row>
    <row r="24">
      <c r="A24" s="409"/>
      <c r="B24" s="410"/>
      <c r="C24" s="411"/>
      <c r="D24" s="412"/>
      <c r="E24" s="413"/>
      <c r="F24" s="414"/>
      <c r="G24" s="415"/>
      <c r="H24" s="416"/>
      <c r="I24" s="413"/>
      <c r="J24" s="417"/>
    </row>
    <row r="25">
      <c r="A25" s="400"/>
      <c r="B25" s="401"/>
      <c r="C25" s="402"/>
      <c r="D25" s="403"/>
      <c r="E25" s="404"/>
      <c r="F25" s="405"/>
      <c r="G25" s="406"/>
      <c r="H25" s="407"/>
      <c r="I25" s="404"/>
      <c r="J25" s="408"/>
    </row>
    <row r="26">
      <c r="A26" s="409"/>
      <c r="B26" s="410"/>
      <c r="C26" s="411"/>
      <c r="D26" s="412"/>
      <c r="E26" s="413"/>
      <c r="F26" s="414"/>
      <c r="G26" s="415"/>
      <c r="H26" s="416"/>
      <c r="I26" s="413"/>
      <c r="J26" s="417"/>
    </row>
    <row r="27">
      <c r="A27" s="400"/>
      <c r="B27" s="401"/>
      <c r="C27" s="402"/>
      <c r="D27" s="403"/>
      <c r="E27" s="404"/>
      <c r="F27" s="405"/>
      <c r="G27" s="406"/>
      <c r="H27" s="407"/>
      <c r="I27" s="404"/>
      <c r="J27" s="408"/>
    </row>
    <row r="28">
      <c r="A28" s="409"/>
      <c r="B28" s="410"/>
      <c r="C28" s="411"/>
      <c r="D28" s="412"/>
      <c r="E28" s="413"/>
      <c r="F28" s="414"/>
      <c r="G28" s="415"/>
      <c r="H28" s="416"/>
      <c r="I28" s="413"/>
      <c r="J28" s="417"/>
    </row>
    <row r="29">
      <c r="A29" s="400"/>
      <c r="B29" s="401"/>
      <c r="C29" s="402"/>
      <c r="D29" s="403"/>
      <c r="E29" s="404"/>
      <c r="F29" s="405"/>
      <c r="G29" s="406"/>
      <c r="H29" s="407"/>
      <c r="I29" s="404"/>
      <c r="J29" s="408"/>
    </row>
    <row r="30">
      <c r="A30" s="409"/>
      <c r="B30" s="410"/>
      <c r="C30" s="411"/>
      <c r="D30" s="412"/>
      <c r="E30" s="413"/>
      <c r="F30" s="414"/>
      <c r="G30" s="415"/>
      <c r="H30" s="416"/>
      <c r="I30" s="413"/>
      <c r="J30" s="417"/>
    </row>
    <row r="31">
      <c r="A31" s="400"/>
      <c r="B31" s="401"/>
      <c r="C31" s="402"/>
      <c r="D31" s="403"/>
      <c r="E31" s="404"/>
      <c r="F31" s="405"/>
      <c r="G31" s="406"/>
      <c r="H31" s="407"/>
      <c r="I31" s="404"/>
      <c r="J31" s="408"/>
    </row>
    <row r="32">
      <c r="A32" s="409"/>
      <c r="B32" s="410"/>
      <c r="C32" s="411"/>
      <c r="D32" s="412"/>
      <c r="E32" s="413"/>
      <c r="F32" s="414"/>
      <c r="G32" s="415"/>
      <c r="H32" s="416"/>
      <c r="I32" s="413"/>
      <c r="J32" s="417"/>
    </row>
    <row r="33">
      <c r="A33" s="400"/>
      <c r="B33" s="401"/>
      <c r="C33" s="402"/>
      <c r="D33" s="403"/>
      <c r="E33" s="404"/>
      <c r="F33" s="405"/>
      <c r="G33" s="406"/>
      <c r="H33" s="407"/>
      <c r="I33" s="404"/>
      <c r="J33" s="408"/>
    </row>
    <row r="34">
      <c r="A34" s="409"/>
      <c r="B34" s="410"/>
      <c r="C34" s="411"/>
      <c r="D34" s="412"/>
      <c r="E34" s="413"/>
      <c r="F34" s="414"/>
      <c r="G34" s="415"/>
      <c r="H34" s="416"/>
      <c r="I34" s="413"/>
      <c r="J34" s="417"/>
    </row>
  </sheetData>
  <autoFilter ref="$A$1:$J$34"/>
  <conditionalFormatting sqref="D1:D34">
    <cfRule type="cellIs" dxfId="4" priority="1" operator="lessThan">
      <formula>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358"/>
      <c r="B1" s="359" t="s">
        <v>695</v>
      </c>
      <c r="C1" s="360" t="s">
        <v>696</v>
      </c>
      <c r="D1" s="361" t="s">
        <v>697</v>
      </c>
      <c r="E1" s="360" t="s">
        <v>698</v>
      </c>
      <c r="F1" s="361"/>
      <c r="G1" s="362" t="s">
        <v>699</v>
      </c>
      <c r="H1" s="363" t="s">
        <v>130</v>
      </c>
      <c r="I1" s="364" t="s">
        <v>700</v>
      </c>
      <c r="J1" s="365"/>
    </row>
    <row r="2">
      <c r="A2" s="5">
        <v>10.0</v>
      </c>
      <c r="B2" s="6" t="s">
        <v>1274</v>
      </c>
      <c r="C2" s="10">
        <f t="shared" ref="C2:H2" si="1">SUM(C5:C7)</f>
        <v>908000</v>
      </c>
      <c r="D2" s="12">
        <f t="shared" si="1"/>
        <v>908000</v>
      </c>
      <c r="E2" s="10">
        <f t="shared" si="1"/>
        <v>0</v>
      </c>
      <c r="F2" s="12">
        <f t="shared" si="1"/>
        <v>0</v>
      </c>
      <c r="G2" s="12">
        <f t="shared" si="1"/>
        <v>0</v>
      </c>
      <c r="H2" s="16">
        <f t="shared" si="1"/>
        <v>-908000</v>
      </c>
      <c r="I2" s="17"/>
      <c r="J2" s="18"/>
    </row>
    <row r="3">
      <c r="A3" s="19"/>
      <c r="B3" s="20"/>
      <c r="C3" s="21" t="s">
        <v>19</v>
      </c>
      <c r="D3" s="22">
        <f>(D2/C2)-1</f>
        <v>0</v>
      </c>
      <c r="E3" s="373"/>
      <c r="F3" s="23">
        <f>SUM(F14:F15)</f>
        <v>0</v>
      </c>
      <c r="G3" s="23"/>
      <c r="H3" s="26" t="str">
        <f>IF(H2&lt;0,"patrimônio diminuiu","patrimônio aumentou")</f>
        <v>patrimônio diminuiu</v>
      </c>
      <c r="I3" s="27"/>
      <c r="J3" s="28"/>
    </row>
    <row r="4">
      <c r="A4" s="557"/>
      <c r="B4" s="86"/>
      <c r="C4" s="563"/>
      <c r="D4" s="564"/>
      <c r="E4" s="563"/>
      <c r="F4" s="564"/>
      <c r="G4" s="564"/>
      <c r="H4" s="566"/>
      <c r="I4" s="139"/>
      <c r="J4" s="567"/>
    </row>
    <row r="5">
      <c r="A5" s="557" t="s">
        <v>320</v>
      </c>
      <c r="B5" s="86" t="s">
        <v>1288</v>
      </c>
      <c r="C5" s="563">
        <v>250000.0</v>
      </c>
      <c r="D5" s="564">
        <f t="shared" ref="D5:D7" si="2">C5</f>
        <v>250000</v>
      </c>
      <c r="E5" s="563"/>
      <c r="F5" s="564"/>
      <c r="G5" s="564">
        <v>0.0</v>
      </c>
      <c r="H5" s="566">
        <f t="shared" ref="H5:H7" si="3">G5-D5</f>
        <v>-250000</v>
      </c>
      <c r="I5" s="139"/>
      <c r="J5" s="567"/>
    </row>
    <row r="6">
      <c r="A6" s="557" t="s">
        <v>330</v>
      </c>
      <c r="B6" s="86" t="s">
        <v>1291</v>
      </c>
      <c r="C6" s="563">
        <v>70000.0</v>
      </c>
      <c r="D6" s="564">
        <f t="shared" si="2"/>
        <v>70000</v>
      </c>
      <c r="E6" s="563"/>
      <c r="F6" s="564"/>
      <c r="G6" s="564">
        <v>0.0</v>
      </c>
      <c r="H6" s="566">
        <f t="shared" si="3"/>
        <v>-70000</v>
      </c>
      <c r="I6" s="139"/>
      <c r="J6" s="567"/>
    </row>
    <row r="7">
      <c r="A7" s="557" t="s">
        <v>339</v>
      </c>
      <c r="B7" s="86" t="s">
        <v>1293</v>
      </c>
      <c r="C7" s="563">
        <v>588000.0</v>
      </c>
      <c r="D7" s="564">
        <f t="shared" si="2"/>
        <v>588000</v>
      </c>
      <c r="E7" s="563"/>
      <c r="F7" s="564"/>
      <c r="G7" s="564">
        <v>0.0</v>
      </c>
      <c r="H7" s="566">
        <f t="shared" si="3"/>
        <v>-588000</v>
      </c>
      <c r="I7" s="139"/>
      <c r="J7" s="567"/>
    </row>
    <row r="8">
      <c r="A8" s="557"/>
      <c r="B8" s="86"/>
      <c r="C8" s="563"/>
      <c r="D8" s="564"/>
      <c r="E8" s="563"/>
      <c r="F8" s="564"/>
      <c r="G8" s="564"/>
      <c r="H8" s="566"/>
      <c r="I8" s="139"/>
      <c r="J8" s="567"/>
    </row>
    <row r="9">
      <c r="A9" s="557"/>
      <c r="B9" s="86"/>
      <c r="C9" s="563"/>
      <c r="D9" s="564"/>
      <c r="E9" s="563"/>
      <c r="F9" s="564"/>
      <c r="G9" s="564"/>
      <c r="H9" s="566"/>
      <c r="I9" s="139"/>
      <c r="J9" s="567"/>
    </row>
    <row r="10">
      <c r="A10" s="557"/>
      <c r="B10" s="86"/>
      <c r="C10" s="563"/>
      <c r="D10" s="564"/>
      <c r="E10" s="563"/>
      <c r="F10" s="564"/>
      <c r="G10" s="564"/>
      <c r="H10" s="566"/>
      <c r="I10" s="139"/>
      <c r="J10" s="567"/>
    </row>
    <row r="11">
      <c r="A11" s="557"/>
      <c r="B11" s="86"/>
      <c r="C11" s="563"/>
      <c r="D11" s="564"/>
      <c r="E11" s="563"/>
      <c r="F11" s="564"/>
      <c r="G11" s="564"/>
      <c r="H11" s="566"/>
      <c r="I11" s="139"/>
      <c r="J11" s="567"/>
    </row>
    <row r="12">
      <c r="A12" s="557"/>
      <c r="B12" s="86"/>
      <c r="C12" s="563"/>
      <c r="D12" s="564"/>
      <c r="E12" s="563"/>
      <c r="F12" s="564"/>
      <c r="G12" s="564"/>
      <c r="H12" s="566"/>
      <c r="I12" s="139"/>
      <c r="J12" s="567"/>
    </row>
    <row r="13">
      <c r="A13" s="557"/>
      <c r="B13" s="86"/>
      <c r="C13" s="563"/>
      <c r="D13" s="564"/>
      <c r="E13" s="563"/>
      <c r="F13" s="564"/>
      <c r="G13" s="564"/>
      <c r="H13" s="566"/>
      <c r="I13" s="139"/>
      <c r="J13" s="567"/>
    </row>
    <row r="14">
      <c r="A14" s="418" t="s">
        <v>268</v>
      </c>
      <c r="B14" s="375" t="s">
        <v>1298</v>
      </c>
      <c r="C14" s="376"/>
      <c r="D14" s="377"/>
      <c r="E14" s="376"/>
      <c r="F14" s="377"/>
      <c r="G14" s="377"/>
      <c r="H14" s="442"/>
      <c r="I14" s="443"/>
      <c r="J14" s="380"/>
    </row>
    <row r="15">
      <c r="A15" s="448"/>
      <c r="B15" s="449"/>
      <c r="C15" s="450"/>
      <c r="D15" s="451"/>
      <c r="E15" s="450"/>
      <c r="F15" s="451"/>
      <c r="G15" s="451"/>
      <c r="H15" s="452"/>
      <c r="I15" s="453"/>
      <c r="J15" s="454"/>
    </row>
    <row r="16">
      <c r="A16" s="400"/>
      <c r="B16" s="401"/>
      <c r="C16" s="402"/>
      <c r="D16" s="403"/>
      <c r="E16" s="404"/>
      <c r="F16" s="405"/>
      <c r="G16" s="406"/>
      <c r="H16" s="407"/>
      <c r="I16" s="404"/>
      <c r="J16" s="408"/>
    </row>
    <row r="17">
      <c r="A17" s="409"/>
      <c r="B17" s="410"/>
      <c r="C17" s="411"/>
      <c r="D17" s="412"/>
      <c r="E17" s="413"/>
      <c r="F17" s="414"/>
      <c r="G17" s="415"/>
      <c r="H17" s="416"/>
      <c r="I17" s="413"/>
      <c r="J17" s="417"/>
    </row>
    <row r="18">
      <c r="A18" s="400"/>
      <c r="B18" s="401"/>
      <c r="C18" s="402"/>
      <c r="D18" s="403"/>
      <c r="E18" s="404"/>
      <c r="F18" s="405"/>
      <c r="G18" s="406"/>
      <c r="H18" s="407"/>
      <c r="I18" s="404"/>
      <c r="J18" s="408"/>
    </row>
    <row r="19">
      <c r="A19" s="409"/>
      <c r="B19" s="410"/>
      <c r="C19" s="411"/>
      <c r="D19" s="412"/>
      <c r="E19" s="413"/>
      <c r="F19" s="414"/>
      <c r="G19" s="415"/>
      <c r="H19" s="416"/>
      <c r="I19" s="413"/>
      <c r="J19" s="417"/>
    </row>
    <row r="20">
      <c r="A20" s="400"/>
      <c r="B20" s="401"/>
      <c r="C20" s="402"/>
      <c r="D20" s="403"/>
      <c r="E20" s="404"/>
      <c r="F20" s="405"/>
      <c r="G20" s="406"/>
      <c r="H20" s="407"/>
      <c r="I20" s="404"/>
      <c r="J20" s="408"/>
    </row>
    <row r="21">
      <c r="A21" s="409"/>
      <c r="B21" s="410"/>
      <c r="C21" s="411"/>
      <c r="D21" s="412"/>
      <c r="E21" s="413"/>
      <c r="F21" s="414"/>
      <c r="G21" s="415"/>
      <c r="H21" s="416"/>
      <c r="I21" s="413"/>
      <c r="J21" s="417"/>
    </row>
    <row r="22">
      <c r="A22" s="400"/>
      <c r="B22" s="401"/>
      <c r="C22" s="402"/>
      <c r="D22" s="403"/>
      <c r="E22" s="404"/>
      <c r="F22" s="405"/>
      <c r="G22" s="406"/>
      <c r="H22" s="407"/>
      <c r="I22" s="404"/>
      <c r="J22" s="408"/>
    </row>
    <row r="23">
      <c r="A23" s="409"/>
      <c r="B23" s="410"/>
      <c r="C23" s="411"/>
      <c r="D23" s="412"/>
      <c r="E23" s="413"/>
      <c r="F23" s="414"/>
      <c r="G23" s="415"/>
      <c r="H23" s="416"/>
      <c r="I23" s="413"/>
      <c r="J23" s="417"/>
    </row>
    <row r="24">
      <c r="A24" s="400"/>
      <c r="B24" s="401"/>
      <c r="C24" s="402"/>
      <c r="D24" s="403"/>
      <c r="E24" s="404"/>
      <c r="F24" s="405"/>
      <c r="G24" s="406"/>
      <c r="H24" s="407"/>
      <c r="I24" s="404"/>
      <c r="J24" s="408"/>
    </row>
    <row r="25">
      <c r="A25" s="409"/>
      <c r="B25" s="410"/>
      <c r="C25" s="411"/>
      <c r="D25" s="412"/>
      <c r="E25" s="413"/>
      <c r="F25" s="414"/>
      <c r="G25" s="415"/>
      <c r="H25" s="416"/>
      <c r="I25" s="413"/>
      <c r="J25" s="417"/>
    </row>
    <row r="26">
      <c r="A26" s="400"/>
      <c r="B26" s="401"/>
      <c r="C26" s="402"/>
      <c r="D26" s="403"/>
      <c r="E26" s="404"/>
      <c r="F26" s="405"/>
      <c r="G26" s="406"/>
      <c r="H26" s="407"/>
      <c r="I26" s="404"/>
      <c r="J26" s="408"/>
    </row>
    <row r="27">
      <c r="A27" s="409"/>
      <c r="B27" s="410"/>
      <c r="C27" s="411"/>
      <c r="D27" s="412"/>
      <c r="E27" s="413"/>
      <c r="F27" s="414"/>
      <c r="G27" s="415"/>
      <c r="H27" s="416"/>
      <c r="I27" s="413"/>
      <c r="J27" s="417"/>
    </row>
    <row r="28">
      <c r="A28" s="400"/>
      <c r="B28" s="401"/>
      <c r="C28" s="402"/>
      <c r="D28" s="403"/>
      <c r="E28" s="404"/>
      <c r="F28" s="405"/>
      <c r="G28" s="406"/>
      <c r="H28" s="407"/>
      <c r="I28" s="404"/>
      <c r="J28" s="408"/>
    </row>
    <row r="29">
      <c r="A29" s="409"/>
      <c r="B29" s="410"/>
      <c r="C29" s="411"/>
      <c r="D29" s="412"/>
      <c r="E29" s="413"/>
      <c r="F29" s="414"/>
      <c r="G29" s="415"/>
      <c r="H29" s="416"/>
      <c r="I29" s="413"/>
      <c r="J29" s="417"/>
    </row>
  </sheetData>
  <autoFilter ref="$A$1:$J$29"/>
  <conditionalFormatting sqref="D1:D29">
    <cfRule type="cellIs" dxfId="4" priority="1" operator="lessThan">
      <formula>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8" width="19.13"/>
    <col customWidth="1" min="9" max="9" width="21.63"/>
    <col customWidth="1" min="10" max="10" width="85.88"/>
    <col customWidth="1" min="11" max="11" width="25.13"/>
  </cols>
  <sheetData>
    <row r="1">
      <c r="A1" s="358"/>
      <c r="B1" s="359" t="s">
        <v>695</v>
      </c>
      <c r="C1" s="360" t="s">
        <v>696</v>
      </c>
      <c r="D1" s="361" t="s">
        <v>697</v>
      </c>
      <c r="E1" s="360" t="s">
        <v>698</v>
      </c>
      <c r="F1" s="361"/>
      <c r="G1" s="362" t="s">
        <v>699</v>
      </c>
      <c r="H1" s="455" t="s">
        <v>868</v>
      </c>
      <c r="I1" s="363" t="s">
        <v>130</v>
      </c>
      <c r="J1" s="364" t="s">
        <v>700</v>
      </c>
      <c r="K1" s="365"/>
    </row>
    <row r="2">
      <c r="A2" s="5">
        <v>11.0</v>
      </c>
      <c r="B2" s="6" t="s">
        <v>8</v>
      </c>
      <c r="C2" s="10">
        <f>C4+C665</f>
        <v>137471260.6</v>
      </c>
      <c r="D2" s="12">
        <f>D4</f>
        <v>266279997.8</v>
      </c>
      <c r="E2" s="10"/>
      <c r="F2" s="12"/>
      <c r="G2" s="12">
        <f>G4</f>
        <v>152660260.6</v>
      </c>
      <c r="H2" s="13">
        <f>SUM(H3:H759)</f>
        <v>39288378.6</v>
      </c>
      <c r="I2" s="16"/>
      <c r="J2" s="17"/>
      <c r="K2" s="18"/>
    </row>
    <row r="3" hidden="1">
      <c r="A3" s="19"/>
      <c r="B3" s="20"/>
      <c r="C3" s="21" t="s">
        <v>19</v>
      </c>
      <c r="D3" s="22"/>
      <c r="E3" s="373"/>
      <c r="F3" s="23">
        <f>SUM(F4:F10)</f>
        <v>987000</v>
      </c>
      <c r="G3" s="23"/>
      <c r="H3" s="24"/>
      <c r="I3" s="26" t="str">
        <f>IF(I2&lt;0,"patrimônio diminuiu","patrimônio aumentou")</f>
        <v>patrimônio aumentou</v>
      </c>
      <c r="J3" s="27"/>
      <c r="K3" s="28"/>
    </row>
    <row r="4" hidden="1">
      <c r="A4" s="29">
        <v>11.1</v>
      </c>
      <c r="B4" s="30" t="s">
        <v>28</v>
      </c>
      <c r="C4" s="31">
        <f>C6+C30+C48+C63+C67+C74+C93</f>
        <v>137471260.6</v>
      </c>
      <c r="D4" s="32">
        <f>D6+D30+D48+D67+D74+D93</f>
        <v>266279997.8</v>
      </c>
      <c r="E4" s="577"/>
      <c r="F4" s="32"/>
      <c r="G4" s="32">
        <f>G6+G30+G48+G67+G74+G93</f>
        <v>152660260.6</v>
      </c>
      <c r="H4" s="33"/>
      <c r="I4" s="35">
        <f>G4-D4</f>
        <v>-113619737.2</v>
      </c>
      <c r="J4" s="36"/>
      <c r="K4" s="37"/>
    </row>
    <row r="5" hidden="1">
      <c r="A5" s="38"/>
      <c r="B5" s="39"/>
      <c r="C5" s="40"/>
      <c r="D5" s="41">
        <f>(D4/C4)-1</f>
        <v>0.936986659</v>
      </c>
      <c r="E5" s="40"/>
      <c r="F5" s="42"/>
      <c r="G5" s="42"/>
      <c r="H5" s="43"/>
      <c r="I5" s="45" t="str">
        <f>IF(#REF!&lt;0,"patrimônio diminuiu","patrimônio aumentou")</f>
        <v>#REF!</v>
      </c>
      <c r="J5" s="46"/>
      <c r="K5" s="47"/>
    </row>
    <row r="6" hidden="1">
      <c r="A6" s="48" t="s">
        <v>51</v>
      </c>
      <c r="B6" s="49" t="s">
        <v>52</v>
      </c>
      <c r="C6" s="50">
        <f t="shared" ref="C6:D6" si="1">SUM(C8:C28)</f>
        <v>983000</v>
      </c>
      <c r="D6" s="52">
        <f t="shared" si="1"/>
        <v>963000</v>
      </c>
      <c r="E6" s="456"/>
      <c r="F6" s="457">
        <f>SUM(E8:E22)</f>
        <v>987000</v>
      </c>
      <c r="G6" s="52">
        <f>SUM(G8:G28)</f>
        <v>1217000</v>
      </c>
      <c r="H6" s="55"/>
      <c r="I6" s="58">
        <f>SUM(I8:I28)</f>
        <v>254000</v>
      </c>
      <c r="J6" s="59"/>
      <c r="K6" s="60"/>
    </row>
    <row r="7" hidden="1">
      <c r="A7" s="63"/>
      <c r="B7" s="66"/>
      <c r="C7" s="71">
        <f>COUNTIF(C8:C29,"&gt;1")</f>
        <v>18</v>
      </c>
      <c r="D7" s="73">
        <f>(D6/C6)-1</f>
        <v>-0.02034587996</v>
      </c>
      <c r="E7" s="460"/>
      <c r="F7" s="461"/>
      <c r="G7" s="76">
        <f>COUNTIF(G8:G29,"&gt;1")</f>
        <v>15</v>
      </c>
      <c r="H7" s="76"/>
      <c r="I7" s="78"/>
      <c r="J7" s="79"/>
      <c r="K7" s="82"/>
    </row>
    <row r="8" hidden="1">
      <c r="A8" s="594">
        <v>1.0</v>
      </c>
      <c r="B8" s="375" t="s">
        <v>1361</v>
      </c>
      <c r="C8" s="376">
        <v>198000.0</v>
      </c>
      <c r="D8" s="377">
        <v>198000.0</v>
      </c>
      <c r="E8" s="376">
        <v>198000.0</v>
      </c>
      <c r="F8" s="377"/>
      <c r="G8" s="377">
        <v>198000.0</v>
      </c>
      <c r="H8" s="421"/>
      <c r="I8" s="376">
        <f t="shared" ref="I8:I28" si="2">G8-D8</f>
        <v>0</v>
      </c>
      <c r="J8" s="467"/>
      <c r="K8" s="596"/>
    </row>
    <row r="9" hidden="1">
      <c r="A9" s="597">
        <v>2.0</v>
      </c>
      <c r="B9" s="382" t="s">
        <v>1368</v>
      </c>
      <c r="C9" s="370">
        <v>198000.0</v>
      </c>
      <c r="D9" s="445">
        <v>198000.0</v>
      </c>
      <c r="E9" s="370">
        <v>198000.0</v>
      </c>
      <c r="F9" s="445"/>
      <c r="G9" s="445">
        <v>198000.0</v>
      </c>
      <c r="H9" s="470"/>
      <c r="I9" s="370">
        <f t="shared" si="2"/>
        <v>0</v>
      </c>
      <c r="J9" s="305"/>
      <c r="K9" s="598"/>
    </row>
    <row r="10" hidden="1">
      <c r="A10" s="594">
        <v>3.0</v>
      </c>
      <c r="B10" s="375" t="s">
        <v>1373</v>
      </c>
      <c r="C10" s="376">
        <v>98000.0</v>
      </c>
      <c r="D10" s="377">
        <v>98000.0</v>
      </c>
      <c r="E10" s="376">
        <v>98000.0</v>
      </c>
      <c r="F10" s="377"/>
      <c r="G10" s="377">
        <v>98000.0</v>
      </c>
      <c r="H10" s="421"/>
      <c r="I10" s="376">
        <f t="shared" si="2"/>
        <v>0</v>
      </c>
      <c r="J10" s="467"/>
      <c r="K10" s="596"/>
    </row>
    <row r="11" hidden="1">
      <c r="A11" s="597">
        <v>4.0</v>
      </c>
      <c r="B11" s="382" t="s">
        <v>1375</v>
      </c>
      <c r="C11" s="370">
        <v>53000.0</v>
      </c>
      <c r="D11" s="445">
        <v>53000.0</v>
      </c>
      <c r="E11" s="370">
        <v>53000.0</v>
      </c>
      <c r="F11" s="445"/>
      <c r="G11" s="445">
        <v>53000.0</v>
      </c>
      <c r="H11" s="470"/>
      <c r="I11" s="370">
        <f t="shared" si="2"/>
        <v>0</v>
      </c>
      <c r="J11" s="305"/>
      <c r="K11" s="598"/>
    </row>
    <row r="12" hidden="1">
      <c r="A12" s="594">
        <v>5.0</v>
      </c>
      <c r="B12" s="375" t="s">
        <v>1376</v>
      </c>
      <c r="C12" s="376">
        <v>28000.0</v>
      </c>
      <c r="D12" s="377">
        <v>28000.0</v>
      </c>
      <c r="E12" s="376">
        <v>28000.0</v>
      </c>
      <c r="F12" s="377"/>
      <c r="G12" s="377">
        <v>25000.0</v>
      </c>
      <c r="H12" s="421"/>
      <c r="I12" s="376">
        <f t="shared" si="2"/>
        <v>-3000</v>
      </c>
      <c r="J12" s="467"/>
      <c r="K12" s="596"/>
    </row>
    <row r="13" hidden="1">
      <c r="A13" s="597">
        <v>6.0</v>
      </c>
      <c r="B13" s="382" t="s">
        <v>1378</v>
      </c>
      <c r="C13" s="370">
        <v>25000.0</v>
      </c>
      <c r="D13" s="445">
        <v>25000.0</v>
      </c>
      <c r="E13" s="370">
        <v>25000.0</v>
      </c>
      <c r="F13" s="445"/>
      <c r="G13" s="445">
        <v>25000.0</v>
      </c>
      <c r="H13" s="470"/>
      <c r="I13" s="370">
        <f t="shared" si="2"/>
        <v>0</v>
      </c>
      <c r="J13" s="305"/>
      <c r="K13" s="598"/>
    </row>
    <row r="14" hidden="1">
      <c r="A14" s="594">
        <v>7.0</v>
      </c>
      <c r="B14" s="375" t="s">
        <v>1381</v>
      </c>
      <c r="C14" s="376">
        <v>20000.0</v>
      </c>
      <c r="D14" s="377">
        <v>20000.0</v>
      </c>
      <c r="E14" s="376">
        <v>20000.0</v>
      </c>
      <c r="F14" s="377"/>
      <c r="G14" s="377">
        <v>20000.0</v>
      </c>
      <c r="H14" s="421"/>
      <c r="I14" s="376">
        <f t="shared" si="2"/>
        <v>0</v>
      </c>
      <c r="J14" s="467"/>
      <c r="K14" s="596"/>
    </row>
    <row r="15" hidden="1">
      <c r="A15" s="597">
        <v>8.0</v>
      </c>
      <c r="B15" s="382" t="s">
        <v>1386</v>
      </c>
      <c r="C15" s="370">
        <v>50000.0</v>
      </c>
      <c r="D15" s="445">
        <v>50000.0</v>
      </c>
      <c r="E15" s="370">
        <v>50000.0</v>
      </c>
      <c r="F15" s="445"/>
      <c r="G15" s="445">
        <v>50000.0</v>
      </c>
      <c r="H15" s="470"/>
      <c r="I15" s="370">
        <f t="shared" si="2"/>
        <v>0</v>
      </c>
      <c r="J15" s="305"/>
      <c r="K15" s="598"/>
    </row>
    <row r="16" hidden="1">
      <c r="A16" s="594">
        <v>9.0</v>
      </c>
      <c r="B16" s="375" t="s">
        <v>1389</v>
      </c>
      <c r="C16" s="376">
        <v>30000.0</v>
      </c>
      <c r="D16" s="377">
        <v>30000.0</v>
      </c>
      <c r="E16" s="376">
        <v>30000.0</v>
      </c>
      <c r="F16" s="377"/>
      <c r="G16" s="377">
        <v>30000.0</v>
      </c>
      <c r="H16" s="421"/>
      <c r="I16" s="376">
        <f t="shared" si="2"/>
        <v>0</v>
      </c>
      <c r="J16" s="467"/>
      <c r="K16" s="596"/>
    </row>
    <row r="17" hidden="1">
      <c r="A17" s="597">
        <v>10.0</v>
      </c>
      <c r="B17" s="382" t="s">
        <v>1392</v>
      </c>
      <c r="C17" s="370">
        <v>40000.0</v>
      </c>
      <c r="D17" s="445">
        <v>25000.0</v>
      </c>
      <c r="E17" s="370">
        <v>0.0</v>
      </c>
      <c r="F17" s="445"/>
      <c r="G17" s="445">
        <v>25000.0</v>
      </c>
      <c r="H17" s="470"/>
      <c r="I17" s="370">
        <f t="shared" si="2"/>
        <v>0</v>
      </c>
      <c r="J17" s="472" t="s">
        <v>132</v>
      </c>
      <c r="K17" s="598"/>
    </row>
    <row r="18" hidden="1">
      <c r="A18" s="594">
        <v>11.0</v>
      </c>
      <c r="B18" s="375" t="s">
        <v>1394</v>
      </c>
      <c r="C18" s="376">
        <v>0.0</v>
      </c>
      <c r="D18" s="377">
        <v>0.0</v>
      </c>
      <c r="E18" s="376">
        <v>0.0</v>
      </c>
      <c r="F18" s="377"/>
      <c r="G18" s="377">
        <v>188000.0</v>
      </c>
      <c r="H18" s="421"/>
      <c r="I18" s="376">
        <f t="shared" si="2"/>
        <v>188000</v>
      </c>
      <c r="J18" s="467"/>
      <c r="K18" s="596"/>
    </row>
    <row r="19" hidden="1">
      <c r="A19" s="597">
        <v>12.0</v>
      </c>
      <c r="B19" s="382" t="s">
        <v>1396</v>
      </c>
      <c r="C19" s="370">
        <v>30000.0</v>
      </c>
      <c r="D19" s="445">
        <v>25000.0</v>
      </c>
      <c r="E19" s="370">
        <v>30000.0</v>
      </c>
      <c r="F19" s="445"/>
      <c r="G19" s="445">
        <v>25000.0</v>
      </c>
      <c r="H19" s="470"/>
      <c r="I19" s="370">
        <f t="shared" si="2"/>
        <v>0</v>
      </c>
      <c r="J19" s="472" t="s">
        <v>142</v>
      </c>
      <c r="K19" s="598"/>
    </row>
    <row r="20" hidden="1">
      <c r="A20" s="594">
        <v>13.0</v>
      </c>
      <c r="B20" s="375" t="s">
        <v>1402</v>
      </c>
      <c r="C20" s="376">
        <v>40000.0</v>
      </c>
      <c r="D20" s="377">
        <v>40000.0</v>
      </c>
      <c r="E20" s="376">
        <v>40000.0</v>
      </c>
      <c r="F20" s="377"/>
      <c r="G20" s="377">
        <v>60000.0</v>
      </c>
      <c r="H20" s="421"/>
      <c r="I20" s="376">
        <f t="shared" si="2"/>
        <v>20000</v>
      </c>
      <c r="J20" s="467"/>
      <c r="K20" s="596"/>
    </row>
    <row r="21">
      <c r="A21" s="597">
        <v>14.0</v>
      </c>
      <c r="B21" s="382" t="s">
        <v>1403</v>
      </c>
      <c r="C21" s="370">
        <v>0.0</v>
      </c>
      <c r="D21" s="445">
        <v>0.0</v>
      </c>
      <c r="E21" s="370">
        <v>67000.0</v>
      </c>
      <c r="F21" s="445"/>
      <c r="G21" s="445">
        <v>67000.0</v>
      </c>
      <c r="H21" s="470">
        <v>67000.0</v>
      </c>
      <c r="I21" s="370">
        <f t="shared" si="2"/>
        <v>67000</v>
      </c>
      <c r="J21" s="305"/>
      <c r="K21" s="598"/>
    </row>
    <row r="22" hidden="1">
      <c r="A22" s="594">
        <v>15.0</v>
      </c>
      <c r="B22" s="375" t="s">
        <v>1404</v>
      </c>
      <c r="C22" s="376">
        <v>0.0</v>
      </c>
      <c r="D22" s="377">
        <v>0.0</v>
      </c>
      <c r="E22" s="376">
        <v>150000.0</v>
      </c>
      <c r="F22" s="377"/>
      <c r="G22" s="377">
        <v>155000.0</v>
      </c>
      <c r="H22" s="421"/>
      <c r="I22" s="376">
        <f t="shared" si="2"/>
        <v>155000</v>
      </c>
      <c r="J22" s="467"/>
      <c r="K22" s="596"/>
    </row>
    <row r="23" hidden="1">
      <c r="A23" s="597">
        <v>1.0</v>
      </c>
      <c r="B23" s="382" t="s">
        <v>1406</v>
      </c>
      <c r="C23" s="370">
        <v>30000.0</v>
      </c>
      <c r="D23" s="445">
        <v>30000.0</v>
      </c>
      <c r="E23" s="370">
        <v>0.0</v>
      </c>
      <c r="F23" s="445"/>
      <c r="G23" s="445">
        <v>0.0</v>
      </c>
      <c r="H23" s="470"/>
      <c r="I23" s="370">
        <f t="shared" si="2"/>
        <v>-30000</v>
      </c>
      <c r="J23" s="602"/>
      <c r="K23" s="603"/>
    </row>
    <row r="24" hidden="1">
      <c r="A24" s="594">
        <f t="shared" ref="A24:A28" si="3">A23+1</f>
        <v>2</v>
      </c>
      <c r="B24" s="375" t="s">
        <v>1408</v>
      </c>
      <c r="C24" s="376">
        <v>20000.0</v>
      </c>
      <c r="D24" s="377">
        <v>20000.0</v>
      </c>
      <c r="E24" s="376">
        <v>20000.0</v>
      </c>
      <c r="F24" s="377"/>
      <c r="G24" s="377">
        <v>0.0</v>
      </c>
      <c r="H24" s="421"/>
      <c r="I24" s="376">
        <f t="shared" si="2"/>
        <v>-20000</v>
      </c>
      <c r="J24" s="604"/>
      <c r="K24" s="605"/>
    </row>
    <row r="25" hidden="1">
      <c r="A25" s="597">
        <f t="shared" si="3"/>
        <v>3</v>
      </c>
      <c r="B25" s="382" t="s">
        <v>1412</v>
      </c>
      <c r="C25" s="370">
        <v>35000.0</v>
      </c>
      <c r="D25" s="445">
        <v>35000.0</v>
      </c>
      <c r="E25" s="370">
        <v>0.0</v>
      </c>
      <c r="F25" s="445"/>
      <c r="G25" s="445">
        <v>0.0</v>
      </c>
      <c r="H25" s="470"/>
      <c r="I25" s="370">
        <f t="shared" si="2"/>
        <v>-35000</v>
      </c>
      <c r="J25" s="602"/>
      <c r="K25" s="603"/>
    </row>
    <row r="26" hidden="1">
      <c r="A26" s="594">
        <f t="shared" si="3"/>
        <v>4</v>
      </c>
      <c r="B26" s="375" t="s">
        <v>1416</v>
      </c>
      <c r="C26" s="376">
        <v>33000.0</v>
      </c>
      <c r="D26" s="377">
        <v>33000.0</v>
      </c>
      <c r="E26" s="376">
        <v>0.0</v>
      </c>
      <c r="F26" s="377"/>
      <c r="G26" s="377">
        <v>0.0</v>
      </c>
      <c r="H26" s="421"/>
      <c r="I26" s="376">
        <f t="shared" si="2"/>
        <v>-33000</v>
      </c>
      <c r="J26" s="604"/>
      <c r="K26" s="605"/>
    </row>
    <row r="27" hidden="1">
      <c r="A27" s="597">
        <f t="shared" si="3"/>
        <v>5</v>
      </c>
      <c r="B27" s="382" t="s">
        <v>1421</v>
      </c>
      <c r="C27" s="370">
        <v>25000.0</v>
      </c>
      <c r="D27" s="445">
        <v>25000.0</v>
      </c>
      <c r="E27" s="370">
        <v>0.0</v>
      </c>
      <c r="F27" s="445"/>
      <c r="G27" s="445">
        <v>0.0</v>
      </c>
      <c r="H27" s="470"/>
      <c r="I27" s="370">
        <f t="shared" si="2"/>
        <v>-25000</v>
      </c>
      <c r="J27" s="602"/>
      <c r="K27" s="603"/>
    </row>
    <row r="28" hidden="1">
      <c r="A28" s="594">
        <f t="shared" si="3"/>
        <v>6</v>
      </c>
      <c r="B28" s="375" t="s">
        <v>1426</v>
      </c>
      <c r="C28" s="376">
        <v>30000.0</v>
      </c>
      <c r="D28" s="377">
        <v>30000.0</v>
      </c>
      <c r="E28" s="376">
        <v>0.0</v>
      </c>
      <c r="F28" s="377"/>
      <c r="G28" s="377">
        <v>0.0</v>
      </c>
      <c r="H28" s="421"/>
      <c r="I28" s="376">
        <f t="shared" si="2"/>
        <v>-30000</v>
      </c>
      <c r="J28" s="467"/>
      <c r="K28" s="421"/>
    </row>
    <row r="29" hidden="1">
      <c r="A29" s="610"/>
      <c r="B29" s="611"/>
      <c r="C29" s="368"/>
      <c r="D29" s="369"/>
      <c r="E29" s="368"/>
      <c r="F29" s="369"/>
      <c r="G29" s="369"/>
      <c r="H29" s="613"/>
      <c r="I29" s="304" t="str">
        <f>IF(or(#REF!=0,#REF!=""),"",IF((#REF!-#REF!)=0,"",IF(AND(#REF!&lt;&gt;0,or(#REF!=0,#REF!="")),"verificar situação",IF((#REF!-#REF!)&lt;&gt;0,#REF!-#REF!,"ERRO"))))</f>
        <v>#REF!</v>
      </c>
      <c r="J29" s="446"/>
      <c r="K29" s="372"/>
    </row>
    <row r="30" hidden="1">
      <c r="A30" s="141" t="s">
        <v>56</v>
      </c>
      <c r="B30" s="142" t="s">
        <v>57</v>
      </c>
      <c r="C30" s="143">
        <f t="shared" ref="C30:D30" si="4">SUM(C32:C46)</f>
        <v>1350000</v>
      </c>
      <c r="D30" s="144">
        <f t="shared" si="4"/>
        <v>1180000</v>
      </c>
      <c r="E30" s="507"/>
      <c r="F30" s="508">
        <f t="shared" ref="F30:G30" si="5">SUM(F32:F46)</f>
        <v>2637000</v>
      </c>
      <c r="G30" s="144">
        <f t="shared" si="5"/>
        <v>2517000</v>
      </c>
      <c r="H30" s="145"/>
      <c r="I30" s="147">
        <f>G30-D30</f>
        <v>1337000</v>
      </c>
      <c r="J30" s="148"/>
      <c r="K30" s="149"/>
    </row>
    <row r="31" hidden="1">
      <c r="A31" s="63"/>
      <c r="B31" s="66"/>
      <c r="C31" s="71">
        <f>COUNTIF(C32:C46,"&gt;1")</f>
        <v>12</v>
      </c>
      <c r="D31" s="73">
        <f>(D30/C30)-1</f>
        <v>-0.1259259259</v>
      </c>
      <c r="E31" s="460"/>
      <c r="F31" s="461"/>
      <c r="G31" s="76">
        <f>COUNTIF(G32:G46,"&gt;1")</f>
        <v>14</v>
      </c>
      <c r="H31" s="76"/>
      <c r="I31" s="78"/>
      <c r="J31" s="79"/>
      <c r="K31" s="82"/>
    </row>
    <row r="32" hidden="1">
      <c r="A32" s="619">
        <v>1.0</v>
      </c>
      <c r="B32" s="375" t="s">
        <v>235</v>
      </c>
      <c r="C32" s="376">
        <v>0.0</v>
      </c>
      <c r="D32" s="377">
        <v>0.0</v>
      </c>
      <c r="E32" s="376"/>
      <c r="F32" s="376">
        <v>887000.0</v>
      </c>
      <c r="G32" s="377">
        <v>887000.0</v>
      </c>
      <c r="H32" s="421"/>
      <c r="I32" s="376">
        <f t="shared" ref="I32:I45" si="6">G32-D32</f>
        <v>887000</v>
      </c>
      <c r="J32" s="467"/>
      <c r="K32" s="596"/>
    </row>
    <row r="33" hidden="1">
      <c r="A33" s="624">
        <f t="shared" ref="A33:A45" si="7">A32+1</f>
        <v>2</v>
      </c>
      <c r="B33" s="382" t="s">
        <v>239</v>
      </c>
      <c r="C33" s="370">
        <v>400000.0</v>
      </c>
      <c r="D33" s="445">
        <v>350000.0</v>
      </c>
      <c r="E33" s="370"/>
      <c r="F33" s="370">
        <v>400000.0</v>
      </c>
      <c r="G33" s="445">
        <v>350000.0</v>
      </c>
      <c r="H33" s="470"/>
      <c r="I33" s="370">
        <f t="shared" si="6"/>
        <v>0</v>
      </c>
      <c r="J33" s="472" t="s">
        <v>241</v>
      </c>
      <c r="K33" s="598"/>
    </row>
    <row r="34" hidden="1">
      <c r="A34" s="619">
        <f t="shared" si="7"/>
        <v>3</v>
      </c>
      <c r="B34" s="375" t="s">
        <v>242</v>
      </c>
      <c r="C34" s="376">
        <v>250000.0</v>
      </c>
      <c r="D34" s="377">
        <v>200000.0</v>
      </c>
      <c r="E34" s="376"/>
      <c r="F34" s="376">
        <v>200000.0</v>
      </c>
      <c r="G34" s="377">
        <v>200000.0</v>
      </c>
      <c r="H34" s="421"/>
      <c r="I34" s="376">
        <f t="shared" si="6"/>
        <v>0</v>
      </c>
      <c r="J34" s="467" t="s">
        <v>244</v>
      </c>
      <c r="K34" s="596"/>
    </row>
    <row r="35" hidden="1">
      <c r="A35" s="624">
        <f t="shared" si="7"/>
        <v>4</v>
      </c>
      <c r="B35" s="382" t="s">
        <v>246</v>
      </c>
      <c r="C35" s="370">
        <v>80000.0</v>
      </c>
      <c r="D35" s="445">
        <v>80000.0</v>
      </c>
      <c r="E35" s="370"/>
      <c r="F35" s="370">
        <v>80000.0</v>
      </c>
      <c r="G35" s="445">
        <v>80000.0</v>
      </c>
      <c r="H35" s="470"/>
      <c r="I35" s="370">
        <f t="shared" si="6"/>
        <v>0</v>
      </c>
      <c r="J35" s="305"/>
      <c r="K35" s="598"/>
    </row>
    <row r="36" hidden="1">
      <c r="A36" s="619">
        <f t="shared" si="7"/>
        <v>5</v>
      </c>
      <c r="B36" s="375" t="s">
        <v>248</v>
      </c>
      <c r="C36" s="376">
        <v>100000.0</v>
      </c>
      <c r="D36" s="377">
        <v>80000.0</v>
      </c>
      <c r="E36" s="376"/>
      <c r="F36" s="376">
        <v>100000.0</v>
      </c>
      <c r="G36" s="377">
        <v>80000.0</v>
      </c>
      <c r="H36" s="421"/>
      <c r="I36" s="376">
        <f t="shared" si="6"/>
        <v>0</v>
      </c>
      <c r="J36" s="471" t="s">
        <v>249</v>
      </c>
      <c r="K36" s="596"/>
    </row>
    <row r="37" hidden="1">
      <c r="A37" s="624">
        <f t="shared" si="7"/>
        <v>6</v>
      </c>
      <c r="B37" s="382" t="s">
        <v>248</v>
      </c>
      <c r="C37" s="370">
        <v>100000.0</v>
      </c>
      <c r="D37" s="445">
        <v>50000.0</v>
      </c>
      <c r="E37" s="370"/>
      <c r="F37" s="370">
        <v>100000.0</v>
      </c>
      <c r="G37" s="445">
        <v>50000.0</v>
      </c>
      <c r="H37" s="470"/>
      <c r="I37" s="370">
        <f t="shared" si="6"/>
        <v>0</v>
      </c>
      <c r="J37" s="472" t="s">
        <v>249</v>
      </c>
      <c r="K37" s="598"/>
    </row>
    <row r="38" hidden="1">
      <c r="A38" s="619">
        <f t="shared" si="7"/>
        <v>7</v>
      </c>
      <c r="B38" s="375" t="s">
        <v>1465</v>
      </c>
      <c r="C38" s="376">
        <v>60000.0</v>
      </c>
      <c r="D38" s="377">
        <v>60000.0</v>
      </c>
      <c r="E38" s="376"/>
      <c r="F38" s="376">
        <v>60000.0</v>
      </c>
      <c r="G38" s="377">
        <v>60000.0</v>
      </c>
      <c r="H38" s="421"/>
      <c r="I38" s="376">
        <f t="shared" si="6"/>
        <v>0</v>
      </c>
      <c r="J38" s="467"/>
      <c r="K38" s="596"/>
    </row>
    <row r="39" hidden="1">
      <c r="A39" s="624">
        <f t="shared" si="7"/>
        <v>8</v>
      </c>
      <c r="B39" s="382" t="s">
        <v>252</v>
      </c>
      <c r="C39" s="370">
        <v>60000.0</v>
      </c>
      <c r="D39" s="445">
        <v>60000.0</v>
      </c>
      <c r="E39" s="370"/>
      <c r="F39" s="370">
        <v>60000.0</v>
      </c>
      <c r="G39" s="445">
        <v>60000.0</v>
      </c>
      <c r="H39" s="470"/>
      <c r="I39" s="370">
        <f t="shared" si="6"/>
        <v>0</v>
      </c>
      <c r="J39" s="305"/>
      <c r="K39" s="598"/>
    </row>
    <row r="40" hidden="1">
      <c r="A40" s="619">
        <f t="shared" si="7"/>
        <v>9</v>
      </c>
      <c r="B40" s="375" t="s">
        <v>253</v>
      </c>
      <c r="C40" s="376">
        <v>150000.0</v>
      </c>
      <c r="D40" s="377">
        <v>150000.0</v>
      </c>
      <c r="E40" s="376"/>
      <c r="F40" s="376">
        <v>150000.0</v>
      </c>
      <c r="G40" s="377">
        <v>150000.0</v>
      </c>
      <c r="H40" s="421"/>
      <c r="I40" s="376">
        <f t="shared" si="6"/>
        <v>0</v>
      </c>
      <c r="J40" s="467"/>
      <c r="K40" s="596"/>
    </row>
    <row r="41" hidden="1">
      <c r="A41" s="624">
        <f t="shared" si="7"/>
        <v>10</v>
      </c>
      <c r="B41" s="382" t="s">
        <v>255</v>
      </c>
      <c r="C41" s="370">
        <v>10000.0</v>
      </c>
      <c r="D41" s="445">
        <v>10000.0</v>
      </c>
      <c r="E41" s="370"/>
      <c r="F41" s="370">
        <v>10000.0</v>
      </c>
      <c r="G41" s="445">
        <v>10000.0</v>
      </c>
      <c r="H41" s="470"/>
      <c r="I41" s="370">
        <f t="shared" si="6"/>
        <v>0</v>
      </c>
      <c r="J41" s="305"/>
      <c r="K41" s="598"/>
    </row>
    <row r="42" hidden="1">
      <c r="A42" s="619">
        <f t="shared" si="7"/>
        <v>11</v>
      </c>
      <c r="B42" s="375" t="s">
        <v>258</v>
      </c>
      <c r="C42" s="376">
        <v>30000.0</v>
      </c>
      <c r="D42" s="377">
        <v>30000.0</v>
      </c>
      <c r="E42" s="376"/>
      <c r="F42" s="376">
        <v>30000.0</v>
      </c>
      <c r="G42" s="377">
        <v>30000.0</v>
      </c>
      <c r="H42" s="421"/>
      <c r="I42" s="376">
        <f t="shared" si="6"/>
        <v>0</v>
      </c>
      <c r="J42" s="467"/>
      <c r="K42" s="596"/>
    </row>
    <row r="43" hidden="1">
      <c r="A43" s="624">
        <f t="shared" si="7"/>
        <v>12</v>
      </c>
      <c r="B43" s="382" t="s">
        <v>260</v>
      </c>
      <c r="C43" s="370">
        <v>10000.0</v>
      </c>
      <c r="D43" s="445">
        <v>10000.0</v>
      </c>
      <c r="E43" s="370"/>
      <c r="F43" s="370">
        <v>10000.0</v>
      </c>
      <c r="G43" s="445">
        <v>10000.0</v>
      </c>
      <c r="H43" s="470"/>
      <c r="I43" s="370">
        <f t="shared" si="6"/>
        <v>0</v>
      </c>
      <c r="J43" s="305"/>
      <c r="K43" s="598"/>
    </row>
    <row r="44" hidden="1">
      <c r="A44" s="619">
        <f t="shared" si="7"/>
        <v>13</v>
      </c>
      <c r="B44" s="375" t="s">
        <v>264</v>
      </c>
      <c r="C44" s="376">
        <v>100000.0</v>
      </c>
      <c r="D44" s="377">
        <v>100000.0</v>
      </c>
      <c r="E44" s="376"/>
      <c r="F44" s="376">
        <v>100000.0</v>
      </c>
      <c r="G44" s="377">
        <v>100000.0</v>
      </c>
      <c r="H44" s="421"/>
      <c r="I44" s="376">
        <f t="shared" si="6"/>
        <v>0</v>
      </c>
      <c r="J44" s="467"/>
      <c r="K44" s="596"/>
    </row>
    <row r="45" hidden="1">
      <c r="A45" s="624">
        <f t="shared" si="7"/>
        <v>14</v>
      </c>
      <c r="B45" s="382" t="s">
        <v>267</v>
      </c>
      <c r="C45" s="370">
        <v>0.0</v>
      </c>
      <c r="D45" s="445">
        <v>0.0</v>
      </c>
      <c r="E45" s="370"/>
      <c r="F45" s="370">
        <v>450000.0</v>
      </c>
      <c r="G45" s="445">
        <v>450000.0</v>
      </c>
      <c r="H45" s="470"/>
      <c r="I45" s="370">
        <f t="shared" si="6"/>
        <v>450000</v>
      </c>
      <c r="J45" s="305"/>
      <c r="K45" s="598"/>
    </row>
    <row r="46" hidden="1">
      <c r="A46" s="594"/>
      <c r="B46" s="375"/>
      <c r="C46" s="376"/>
      <c r="D46" s="377"/>
      <c r="E46" s="376"/>
      <c r="F46" s="377"/>
      <c r="G46" s="377"/>
      <c r="H46" s="421"/>
      <c r="I46" s="376"/>
      <c r="J46" s="467"/>
      <c r="K46" s="596"/>
    </row>
    <row r="47" hidden="1">
      <c r="A47" s="597"/>
      <c r="B47" s="382"/>
      <c r="C47" s="370"/>
      <c r="D47" s="445"/>
      <c r="E47" s="370"/>
      <c r="F47" s="445"/>
      <c r="G47" s="445"/>
      <c r="H47" s="470"/>
      <c r="I47" s="370"/>
      <c r="J47" s="305"/>
      <c r="K47" s="598"/>
    </row>
    <row r="48" hidden="1">
      <c r="A48" s="141" t="s">
        <v>11</v>
      </c>
      <c r="B48" s="142" t="s">
        <v>12</v>
      </c>
      <c r="C48" s="143">
        <f t="shared" ref="C48:D48" si="8">SUM(C50:C61)</f>
        <v>2820000</v>
      </c>
      <c r="D48" s="144">
        <f t="shared" si="8"/>
        <v>3070000</v>
      </c>
      <c r="E48" s="507"/>
      <c r="F48" s="508">
        <f>SUM(E50:E65)</f>
        <v>0</v>
      </c>
      <c r="G48" s="144">
        <f>SUM(G50:G61)</f>
        <v>3290000</v>
      </c>
      <c r="H48" s="145"/>
      <c r="I48" s="147">
        <f>SUM(I50:I61)</f>
        <v>220000</v>
      </c>
      <c r="J48" s="148"/>
      <c r="K48" s="149"/>
    </row>
    <row r="49" hidden="1">
      <c r="A49" s="63"/>
      <c r="B49" s="66"/>
      <c r="C49" s="71">
        <f>COUNTIF(C50:C61,"&gt;1")</f>
        <v>11</v>
      </c>
      <c r="D49" s="73">
        <f>(D48/C48)-1</f>
        <v>0.08865248227</v>
      </c>
      <c r="E49" s="460"/>
      <c r="F49" s="461"/>
      <c r="G49" s="76">
        <f>COUNTIF(G50:G61,"&gt;1")</f>
        <v>8</v>
      </c>
      <c r="H49" s="76"/>
      <c r="I49" s="78"/>
      <c r="J49" s="79"/>
      <c r="K49" s="82"/>
    </row>
    <row r="50" hidden="1">
      <c r="A50" s="619">
        <v>1.0</v>
      </c>
      <c r="B50" s="375" t="s">
        <v>1486</v>
      </c>
      <c r="C50" s="376">
        <v>150000.0</v>
      </c>
      <c r="D50" s="377">
        <v>280000.0</v>
      </c>
      <c r="E50" s="376"/>
      <c r="F50" s="376">
        <v>280000.0</v>
      </c>
      <c r="G50" s="377">
        <v>280000.0</v>
      </c>
      <c r="H50" s="421"/>
      <c r="I50" s="376">
        <f t="shared" ref="I50:I61" si="9">G50-D50</f>
        <v>0</v>
      </c>
      <c r="J50" s="467"/>
      <c r="K50" s="596"/>
    </row>
    <row r="51" hidden="1">
      <c r="A51" s="624">
        <f t="shared" ref="A51:A57" si="10">A50+1</f>
        <v>2</v>
      </c>
      <c r="B51" s="382" t="s">
        <v>1488</v>
      </c>
      <c r="C51" s="370">
        <v>220000.0</v>
      </c>
      <c r="D51" s="445">
        <v>250000.0</v>
      </c>
      <c r="E51" s="370"/>
      <c r="F51" s="370">
        <v>250000.0</v>
      </c>
      <c r="G51" s="445">
        <v>250000.0</v>
      </c>
      <c r="H51" s="470"/>
      <c r="I51" s="370">
        <f t="shared" si="9"/>
        <v>0</v>
      </c>
      <c r="J51" s="305"/>
      <c r="K51" s="598"/>
    </row>
    <row r="52">
      <c r="A52" s="619">
        <f t="shared" si="10"/>
        <v>3</v>
      </c>
      <c r="B52" s="375" t="s">
        <v>1490</v>
      </c>
      <c r="C52" s="376">
        <v>850000.0</v>
      </c>
      <c r="D52" s="377">
        <v>850000.0</v>
      </c>
      <c r="E52" s="376"/>
      <c r="F52" s="376">
        <v>850000.0</v>
      </c>
      <c r="G52" s="377">
        <v>850000.0</v>
      </c>
      <c r="H52" s="421">
        <v>850000.0</v>
      </c>
      <c r="I52" s="376">
        <f t="shared" si="9"/>
        <v>0</v>
      </c>
      <c r="J52" s="467"/>
      <c r="K52" s="596"/>
    </row>
    <row r="53" hidden="1">
      <c r="A53" s="624">
        <f t="shared" si="10"/>
        <v>4</v>
      </c>
      <c r="B53" s="382" t="s">
        <v>1492</v>
      </c>
      <c r="C53" s="370">
        <v>60000.0</v>
      </c>
      <c r="D53" s="445">
        <v>60000.0</v>
      </c>
      <c r="E53" s="370"/>
      <c r="F53" s="370">
        <v>60000.0</v>
      </c>
      <c r="G53" s="445">
        <v>60000.0</v>
      </c>
      <c r="H53" s="470"/>
      <c r="I53" s="370">
        <f t="shared" si="9"/>
        <v>0</v>
      </c>
      <c r="J53" s="305"/>
      <c r="K53" s="598"/>
    </row>
    <row r="54">
      <c r="A54" s="619">
        <f t="shared" si="10"/>
        <v>5</v>
      </c>
      <c r="B54" s="375" t="s">
        <v>1493</v>
      </c>
      <c r="C54" s="376">
        <v>850000.0</v>
      </c>
      <c r="D54" s="377">
        <v>850000.0</v>
      </c>
      <c r="E54" s="376"/>
      <c r="F54" s="376">
        <v>550000.0</v>
      </c>
      <c r="G54" s="377">
        <v>550000.0</v>
      </c>
      <c r="H54" s="421">
        <v>550000.0</v>
      </c>
      <c r="I54" s="376">
        <f t="shared" si="9"/>
        <v>-300000</v>
      </c>
      <c r="J54" s="467"/>
      <c r="K54" s="596"/>
    </row>
    <row r="55">
      <c r="A55" s="624">
        <f t="shared" si="10"/>
        <v>6</v>
      </c>
      <c r="B55" s="382" t="s">
        <v>1495</v>
      </c>
      <c r="C55" s="370">
        <v>0.0</v>
      </c>
      <c r="D55" s="445">
        <v>0.0</v>
      </c>
      <c r="E55" s="370"/>
      <c r="F55" s="370">
        <v>1010000.0</v>
      </c>
      <c r="G55" s="445">
        <v>1010000.0</v>
      </c>
      <c r="H55" s="470">
        <v>1010000.0</v>
      </c>
      <c r="I55" s="370">
        <f t="shared" si="9"/>
        <v>1010000</v>
      </c>
      <c r="J55" s="472" t="s">
        <v>311</v>
      </c>
      <c r="K55" s="598"/>
    </row>
    <row r="56" hidden="1">
      <c r="A56" s="619">
        <f t="shared" si="10"/>
        <v>7</v>
      </c>
      <c r="B56" s="375" t="s">
        <v>1499</v>
      </c>
      <c r="C56" s="376">
        <v>100000.0</v>
      </c>
      <c r="D56" s="377">
        <v>130000.0</v>
      </c>
      <c r="E56" s="376"/>
      <c r="F56" s="376">
        <v>159000.0</v>
      </c>
      <c r="G56" s="377">
        <v>130000.0</v>
      </c>
      <c r="H56" s="421"/>
      <c r="I56" s="376">
        <f t="shared" si="9"/>
        <v>0</v>
      </c>
      <c r="J56" s="467"/>
      <c r="K56" s="596"/>
    </row>
    <row r="57">
      <c r="A57" s="624">
        <f t="shared" si="10"/>
        <v>8</v>
      </c>
      <c r="B57" s="382" t="s">
        <v>1503</v>
      </c>
      <c r="C57" s="370">
        <v>100000.0</v>
      </c>
      <c r="D57" s="445">
        <v>160000.0</v>
      </c>
      <c r="E57" s="370"/>
      <c r="F57" s="370">
        <v>100000.0</v>
      </c>
      <c r="G57" s="445">
        <v>160000.0</v>
      </c>
      <c r="H57" s="470">
        <v>160000.0</v>
      </c>
      <c r="I57" s="370">
        <f t="shared" si="9"/>
        <v>0</v>
      </c>
      <c r="J57" s="305"/>
      <c r="K57" s="598"/>
    </row>
    <row r="58" hidden="1">
      <c r="A58" s="594" t="s">
        <v>320</v>
      </c>
      <c r="B58" s="375" t="s">
        <v>1506</v>
      </c>
      <c r="C58" s="376">
        <v>220000.0</v>
      </c>
      <c r="D58" s="377">
        <v>220000.0</v>
      </c>
      <c r="E58" s="376"/>
      <c r="F58" s="376">
        <v>220000.0</v>
      </c>
      <c r="G58" s="377">
        <v>0.0</v>
      </c>
      <c r="H58" s="421"/>
      <c r="I58" s="376">
        <f t="shared" si="9"/>
        <v>-220000</v>
      </c>
      <c r="J58" s="467"/>
      <c r="K58" s="596"/>
    </row>
    <row r="59" hidden="1">
      <c r="A59" s="597" t="s">
        <v>330</v>
      </c>
      <c r="B59" s="382" t="s">
        <v>333</v>
      </c>
      <c r="C59" s="370">
        <v>70000.0</v>
      </c>
      <c r="D59" s="445">
        <v>70000.0</v>
      </c>
      <c r="E59" s="370"/>
      <c r="F59" s="370">
        <v>0.0</v>
      </c>
      <c r="G59" s="445">
        <v>0.0</v>
      </c>
      <c r="H59" s="470"/>
      <c r="I59" s="370">
        <f t="shared" si="9"/>
        <v>-70000</v>
      </c>
      <c r="J59" s="305"/>
      <c r="K59" s="598"/>
    </row>
    <row r="60" hidden="1">
      <c r="A60" s="594" t="s">
        <v>339</v>
      </c>
      <c r="B60" s="375" t="s">
        <v>341</v>
      </c>
      <c r="C60" s="376">
        <v>100000.0</v>
      </c>
      <c r="D60" s="377">
        <v>100000.0</v>
      </c>
      <c r="E60" s="376"/>
      <c r="F60" s="376">
        <v>0.0</v>
      </c>
      <c r="G60" s="377">
        <v>0.0</v>
      </c>
      <c r="H60" s="421"/>
      <c r="I60" s="376">
        <f t="shared" si="9"/>
        <v>-100000</v>
      </c>
      <c r="J60" s="467"/>
      <c r="K60" s="596"/>
    </row>
    <row r="61" hidden="1">
      <c r="A61" s="597" t="s">
        <v>343</v>
      </c>
      <c r="B61" s="382" t="s">
        <v>345</v>
      </c>
      <c r="C61" s="370">
        <v>100000.0</v>
      </c>
      <c r="D61" s="445">
        <v>100000.0</v>
      </c>
      <c r="E61" s="370"/>
      <c r="F61" s="370">
        <v>0.0</v>
      </c>
      <c r="G61" s="445">
        <v>0.0</v>
      </c>
      <c r="H61" s="470"/>
      <c r="I61" s="370">
        <f t="shared" si="9"/>
        <v>-100000</v>
      </c>
      <c r="J61" s="305"/>
      <c r="K61" s="598"/>
    </row>
    <row r="62" hidden="1">
      <c r="A62" s="536"/>
      <c r="B62" s="633"/>
      <c r="C62" s="390"/>
      <c r="D62" s="393"/>
      <c r="E62" s="390"/>
      <c r="F62" s="376"/>
      <c r="G62" s="393"/>
      <c r="H62" s="634"/>
      <c r="I62" s="442"/>
      <c r="J62" s="443"/>
      <c r="K62" s="398"/>
    </row>
    <row r="63" hidden="1">
      <c r="A63" s="141" t="s">
        <v>58</v>
      </c>
      <c r="B63" s="142" t="s">
        <v>351</v>
      </c>
      <c r="C63" s="143">
        <f t="shared" ref="C63:D63" si="11">SUM(C65:C66)</f>
        <v>110000</v>
      </c>
      <c r="D63" s="144">
        <f t="shared" si="11"/>
        <v>110000</v>
      </c>
      <c r="E63" s="507"/>
      <c r="F63" s="508"/>
      <c r="G63" s="144">
        <f>SUM(G65:G66)</f>
        <v>0</v>
      </c>
      <c r="H63" s="145"/>
      <c r="I63" s="147">
        <f>SUM(I65:I66)</f>
        <v>-110000</v>
      </c>
      <c r="J63" s="148"/>
      <c r="K63" s="149"/>
    </row>
    <row r="64" hidden="1">
      <c r="A64" s="63"/>
      <c r="B64" s="66"/>
      <c r="C64" s="71">
        <v>2.0</v>
      </c>
      <c r="D64" s="73">
        <f>(D63/C63)-1</f>
        <v>0</v>
      </c>
      <c r="E64" s="460"/>
      <c r="F64" s="461"/>
      <c r="G64" s="76">
        <v>0.0</v>
      </c>
      <c r="H64" s="76"/>
      <c r="I64" s="78"/>
      <c r="J64" s="79"/>
      <c r="K64" s="82"/>
    </row>
    <row r="65" hidden="1">
      <c r="A65" s="597">
        <v>1.0</v>
      </c>
      <c r="B65" s="382" t="s">
        <v>1525</v>
      </c>
      <c r="C65" s="370">
        <v>100000.0</v>
      </c>
      <c r="D65" s="445">
        <v>100000.0</v>
      </c>
      <c r="E65" s="370"/>
      <c r="F65" s="445"/>
      <c r="G65" s="445">
        <v>0.0</v>
      </c>
      <c r="H65" s="470"/>
      <c r="I65" s="370">
        <f t="shared" ref="I65:I66" si="12">G65-D65</f>
        <v>-100000</v>
      </c>
      <c r="J65" s="305"/>
      <c r="K65" s="598"/>
    </row>
    <row r="66" hidden="1">
      <c r="A66" s="594">
        <v>2.0</v>
      </c>
      <c r="B66" s="375" t="s">
        <v>1528</v>
      </c>
      <c r="C66" s="376">
        <v>10000.0</v>
      </c>
      <c r="D66" s="377">
        <v>10000.0</v>
      </c>
      <c r="E66" s="376"/>
      <c r="F66" s="377"/>
      <c r="G66" s="377">
        <v>0.0</v>
      </c>
      <c r="H66" s="421"/>
      <c r="I66" s="376">
        <f t="shared" si="12"/>
        <v>-10000</v>
      </c>
      <c r="J66" s="467"/>
      <c r="K66" s="596"/>
    </row>
    <row r="67" hidden="1">
      <c r="A67" s="141" t="s">
        <v>60</v>
      </c>
      <c r="B67" s="142" t="s">
        <v>62</v>
      </c>
      <c r="C67" s="143">
        <f t="shared" ref="C67:D67" si="13">SUM(C69:C73)</f>
        <v>26629394.6</v>
      </c>
      <c r="D67" s="144">
        <f t="shared" si="13"/>
        <v>26929394.6</v>
      </c>
      <c r="E67" s="507"/>
      <c r="F67" s="508">
        <f>SUM(E69:E72)</f>
        <v>26629394.6</v>
      </c>
      <c r="G67" s="144">
        <f>SUM(G69:G73)</f>
        <v>26929394.6</v>
      </c>
      <c r="H67" s="144"/>
      <c r="I67" s="144">
        <f>SUM(I69:I73)</f>
        <v>0</v>
      </c>
      <c r="J67" s="148"/>
      <c r="K67" s="149"/>
    </row>
    <row r="68" hidden="1">
      <c r="A68" s="63"/>
      <c r="B68" s="66"/>
      <c r="C68" s="71">
        <f>COUNTIF(C69:C72,"&gt;1")</f>
        <v>4</v>
      </c>
      <c r="D68" s="73">
        <f>(D67/C67)-1</f>
        <v>0.01126574616</v>
      </c>
      <c r="E68" s="460"/>
      <c r="F68" s="461"/>
      <c r="G68" s="76">
        <f>COUNTIF(G69:G72,"&gt;1")</f>
        <v>4</v>
      </c>
      <c r="H68" s="76"/>
      <c r="I68" s="78"/>
      <c r="J68" s="79"/>
      <c r="K68" s="82"/>
    </row>
    <row r="69" hidden="1">
      <c r="A69" s="641">
        <v>1.0</v>
      </c>
      <c r="B69" s="382" t="s">
        <v>1569</v>
      </c>
      <c r="C69" s="368">
        <v>900000.0</v>
      </c>
      <c r="D69" s="369">
        <v>1200000.0</v>
      </c>
      <c r="E69" s="368">
        <v>900000.0</v>
      </c>
      <c r="F69" s="369"/>
      <c r="G69" s="369">
        <v>1200000.0</v>
      </c>
      <c r="H69" s="613"/>
      <c r="I69" s="304">
        <f t="shared" ref="I69:I72" si="14">G69-D69</f>
        <v>0</v>
      </c>
      <c r="J69" s="305"/>
      <c r="K69" s="598"/>
    </row>
    <row r="70" hidden="1">
      <c r="A70" s="642">
        <v>2.0</v>
      </c>
      <c r="B70" s="375" t="s">
        <v>1582</v>
      </c>
      <c r="C70" s="390">
        <v>7148016.0</v>
      </c>
      <c r="D70" s="393">
        <v>7148016.0</v>
      </c>
      <c r="E70" s="390">
        <v>7148016.0</v>
      </c>
      <c r="F70" s="393"/>
      <c r="G70" s="393">
        <v>7148016.0</v>
      </c>
      <c r="H70" s="634"/>
      <c r="I70" s="442">
        <f t="shared" si="14"/>
        <v>0</v>
      </c>
      <c r="J70" s="471" t="s">
        <v>358</v>
      </c>
      <c r="K70" s="596"/>
    </row>
    <row r="71" hidden="1">
      <c r="A71" s="641">
        <v>3.0</v>
      </c>
      <c r="B71" s="382" t="s">
        <v>1602</v>
      </c>
      <c r="C71" s="368">
        <v>4950000.0</v>
      </c>
      <c r="D71" s="369">
        <v>4950000.0</v>
      </c>
      <c r="E71" s="368">
        <v>4950000.0</v>
      </c>
      <c r="F71" s="369"/>
      <c r="G71" s="369">
        <v>4950000.0</v>
      </c>
      <c r="H71" s="613"/>
      <c r="I71" s="304">
        <f t="shared" si="14"/>
        <v>0</v>
      </c>
      <c r="J71" s="305"/>
      <c r="K71" s="598"/>
    </row>
    <row r="72">
      <c r="A72" s="642">
        <v>4.0</v>
      </c>
      <c r="B72" s="375" t="s">
        <v>1621</v>
      </c>
      <c r="C72" s="390">
        <v>1.36313786E7</v>
      </c>
      <c r="D72" s="393">
        <v>1.36313786E7</v>
      </c>
      <c r="E72" s="390">
        <v>1.36313786E7</v>
      </c>
      <c r="F72" s="393"/>
      <c r="G72" s="393">
        <v>1.36313786E7</v>
      </c>
      <c r="H72" s="634">
        <v>1.06313786E7</v>
      </c>
      <c r="I72" s="442">
        <f t="shared" si="14"/>
        <v>0</v>
      </c>
      <c r="J72" s="471" t="s">
        <v>361</v>
      </c>
      <c r="K72" s="596"/>
    </row>
    <row r="73" hidden="1">
      <c r="A73" s="610"/>
      <c r="B73" s="611"/>
      <c r="C73" s="368"/>
      <c r="D73" s="369"/>
      <c r="E73" s="368"/>
      <c r="F73" s="369"/>
      <c r="G73" s="369"/>
      <c r="H73" s="613"/>
      <c r="I73" s="304"/>
      <c r="J73" s="446"/>
      <c r="K73" s="372"/>
    </row>
    <row r="74" hidden="1">
      <c r="A74" s="141" t="s">
        <v>14</v>
      </c>
      <c r="B74" s="142" t="s">
        <v>15</v>
      </c>
      <c r="C74" s="143">
        <f t="shared" ref="C74:D74" si="15">SUM(C76:C90)</f>
        <v>7838866</v>
      </c>
      <c r="D74" s="144">
        <f t="shared" si="15"/>
        <v>8155866</v>
      </c>
      <c r="E74" s="507"/>
      <c r="F74" s="508">
        <f>SUM(E76:E87)</f>
        <v>6007366</v>
      </c>
      <c r="G74" s="144">
        <f>SUM(G76:G90)</f>
        <v>7663866</v>
      </c>
      <c r="H74" s="144"/>
      <c r="I74" s="144">
        <f>SUM(I76:I90)</f>
        <v>-492000</v>
      </c>
      <c r="J74" s="148"/>
      <c r="K74" s="149"/>
    </row>
    <row r="75" hidden="1">
      <c r="A75" s="63"/>
      <c r="B75" s="66"/>
      <c r="C75" s="71">
        <f>COUNTIF(C76:C91,"&gt;1")</f>
        <v>11</v>
      </c>
      <c r="D75" s="73">
        <f>(D74/C74)-1</f>
        <v>0.04043952276</v>
      </c>
      <c r="E75" s="460"/>
      <c r="F75" s="461"/>
      <c r="G75" s="76">
        <f>COUNTIF(G76:G91,"&gt;1")</f>
        <v>12</v>
      </c>
      <c r="H75" s="76"/>
      <c r="I75" s="78"/>
      <c r="J75" s="79"/>
      <c r="K75" s="82"/>
    </row>
    <row r="76" hidden="1">
      <c r="A76" s="536">
        <v>1.0</v>
      </c>
      <c r="B76" s="375" t="s">
        <v>1690</v>
      </c>
      <c r="C76" s="390">
        <v>1200000.0</v>
      </c>
      <c r="D76" s="393">
        <v>1200000.0</v>
      </c>
      <c r="E76" s="390">
        <v>1200000.0</v>
      </c>
      <c r="F76" s="393"/>
      <c r="G76" s="393">
        <v>1200000.0</v>
      </c>
      <c r="H76" s="634"/>
      <c r="I76" s="442">
        <f t="shared" ref="I76:I90" si="16">G76-D76</f>
        <v>0</v>
      </c>
      <c r="J76" s="467"/>
      <c r="K76" s="596"/>
    </row>
    <row r="77">
      <c r="A77" s="610">
        <v>2.0</v>
      </c>
      <c r="B77" s="382" t="s">
        <v>1708</v>
      </c>
      <c r="C77" s="368">
        <v>0.0</v>
      </c>
      <c r="D77" s="369">
        <v>0.0</v>
      </c>
      <c r="E77" s="368">
        <v>0.0</v>
      </c>
      <c r="F77" s="369"/>
      <c r="G77" s="369">
        <v>1500000.0</v>
      </c>
      <c r="H77" s="613">
        <v>1500000.0</v>
      </c>
      <c r="I77" s="384">
        <f t="shared" si="16"/>
        <v>1500000</v>
      </c>
      <c r="J77" s="472"/>
      <c r="K77" s="598"/>
    </row>
    <row r="78" hidden="1">
      <c r="A78" s="536">
        <v>3.0</v>
      </c>
      <c r="B78" s="375" t="s">
        <v>1717</v>
      </c>
      <c r="C78" s="390">
        <v>280000.0</v>
      </c>
      <c r="D78" s="393">
        <v>220000.0</v>
      </c>
      <c r="E78" s="390">
        <v>280000.0</v>
      </c>
      <c r="F78" s="393"/>
      <c r="G78" s="393">
        <v>220000.0</v>
      </c>
      <c r="H78" s="634"/>
      <c r="I78" s="442">
        <f t="shared" si="16"/>
        <v>0</v>
      </c>
      <c r="J78" s="467"/>
      <c r="K78" s="596"/>
    </row>
    <row r="79" hidden="1">
      <c r="A79" s="610">
        <v>4.0</v>
      </c>
      <c r="B79" s="382" t="s">
        <v>1729</v>
      </c>
      <c r="C79" s="368">
        <f>13*11000</f>
        <v>143000</v>
      </c>
      <c r="D79" s="369">
        <v>520000.0</v>
      </c>
      <c r="E79" s="368">
        <v>143000.0</v>
      </c>
      <c r="F79" s="369"/>
      <c r="G79" s="369">
        <v>520000.0</v>
      </c>
      <c r="H79" s="613"/>
      <c r="I79" s="384">
        <f t="shared" si="16"/>
        <v>0</v>
      </c>
      <c r="J79" s="472" t="s">
        <v>385</v>
      </c>
      <c r="K79" s="598"/>
    </row>
    <row r="80" hidden="1">
      <c r="A80" s="536">
        <v>5.0</v>
      </c>
      <c r="B80" s="375" t="s">
        <v>1745</v>
      </c>
      <c r="C80" s="390">
        <v>1000000.0</v>
      </c>
      <c r="D80" s="393">
        <v>1000000.0</v>
      </c>
      <c r="E80" s="390">
        <v>1000000.0</v>
      </c>
      <c r="F80" s="393"/>
      <c r="G80" s="393">
        <v>1000000.0</v>
      </c>
      <c r="H80" s="634"/>
      <c r="I80" s="442">
        <f t="shared" si="16"/>
        <v>0</v>
      </c>
      <c r="J80" s="467"/>
      <c r="K80" s="596"/>
    </row>
    <row r="81" hidden="1">
      <c r="A81" s="610">
        <v>6.0</v>
      </c>
      <c r="B81" s="382" t="s">
        <v>1759</v>
      </c>
      <c r="C81" s="368">
        <v>2263666.0</v>
      </c>
      <c r="D81" s="369">
        <v>2263666.0</v>
      </c>
      <c r="E81" s="368">
        <v>2263666.0</v>
      </c>
      <c r="F81" s="369"/>
      <c r="G81" s="369">
        <v>2263666.0</v>
      </c>
      <c r="H81" s="613"/>
      <c r="I81" s="304">
        <f t="shared" si="16"/>
        <v>0</v>
      </c>
      <c r="J81" s="305"/>
      <c r="K81" s="598"/>
    </row>
    <row r="82" hidden="1">
      <c r="A82" s="536">
        <v>7.0</v>
      </c>
      <c r="B82" s="375" t="s">
        <v>1771</v>
      </c>
      <c r="C82" s="390">
        <v>0.0</v>
      </c>
      <c r="D82" s="393">
        <v>0.0</v>
      </c>
      <c r="E82" s="390">
        <v>100000.0</v>
      </c>
      <c r="F82" s="393"/>
      <c r="G82" s="393">
        <v>20000.0</v>
      </c>
      <c r="H82" s="634"/>
      <c r="I82" s="442">
        <f t="shared" si="16"/>
        <v>20000</v>
      </c>
      <c r="J82" s="471" t="s">
        <v>398</v>
      </c>
      <c r="K82" s="596"/>
    </row>
    <row r="83" hidden="1">
      <c r="A83" s="610">
        <v>8.0</v>
      </c>
      <c r="B83" s="382" t="s">
        <v>1781</v>
      </c>
      <c r="C83" s="368">
        <f>27.8*9000</f>
        <v>250200</v>
      </c>
      <c r="D83" s="369">
        <v>250200.0</v>
      </c>
      <c r="E83" s="368">
        <v>250200.0</v>
      </c>
      <c r="F83" s="369"/>
      <c r="G83" s="369">
        <v>250200.0</v>
      </c>
      <c r="H83" s="613"/>
      <c r="I83" s="304">
        <f t="shared" si="16"/>
        <v>0</v>
      </c>
      <c r="J83" s="305"/>
      <c r="K83" s="598"/>
    </row>
    <row r="84" hidden="1">
      <c r="A84" s="536">
        <v>9.0</v>
      </c>
      <c r="B84" s="375" t="s">
        <v>1800</v>
      </c>
      <c r="C84" s="390">
        <v>75500.0</v>
      </c>
      <c r="D84" s="393">
        <v>75500.0</v>
      </c>
      <c r="E84" s="390">
        <v>75500.0</v>
      </c>
      <c r="F84" s="393"/>
      <c r="G84" s="393">
        <v>40000.0</v>
      </c>
      <c r="H84" s="634"/>
      <c r="I84" s="378">
        <f t="shared" si="16"/>
        <v>-35500</v>
      </c>
      <c r="J84" s="471"/>
      <c r="K84" s="596"/>
    </row>
    <row r="85" hidden="1">
      <c r="A85" s="610">
        <v>10.0</v>
      </c>
      <c r="B85" s="382" t="s">
        <v>410</v>
      </c>
      <c r="C85" s="368">
        <v>600000.0</v>
      </c>
      <c r="D85" s="369">
        <v>600000.0</v>
      </c>
      <c r="E85" s="368">
        <v>600000.0</v>
      </c>
      <c r="F85" s="369"/>
      <c r="G85" s="369">
        <v>600000.0</v>
      </c>
      <c r="H85" s="613"/>
      <c r="I85" s="304">
        <f t="shared" si="16"/>
        <v>0</v>
      </c>
      <c r="J85" s="305"/>
      <c r="K85" s="598"/>
    </row>
    <row r="86" hidden="1">
      <c r="A86" s="536">
        <v>11.0</v>
      </c>
      <c r="B86" s="375" t="s">
        <v>413</v>
      </c>
      <c r="C86" s="390">
        <v>0.0</v>
      </c>
      <c r="D86" s="393">
        <v>0.0</v>
      </c>
      <c r="E86" s="390">
        <v>45000.0</v>
      </c>
      <c r="F86" s="393"/>
      <c r="G86" s="393">
        <v>20000.0</v>
      </c>
      <c r="H86" s="634"/>
      <c r="I86" s="442">
        <f t="shared" si="16"/>
        <v>20000</v>
      </c>
      <c r="J86" s="471" t="s">
        <v>398</v>
      </c>
      <c r="K86" s="596"/>
    </row>
    <row r="87" hidden="1">
      <c r="A87" s="610">
        <v>12.0</v>
      </c>
      <c r="B87" s="382" t="s">
        <v>418</v>
      </c>
      <c r="C87" s="368">
        <v>0.0</v>
      </c>
      <c r="D87" s="369">
        <v>0.0</v>
      </c>
      <c r="E87" s="368">
        <v>50000.0</v>
      </c>
      <c r="F87" s="369"/>
      <c r="G87" s="369">
        <v>30000.0</v>
      </c>
      <c r="H87" s="613"/>
      <c r="I87" s="304">
        <f t="shared" si="16"/>
        <v>30000</v>
      </c>
      <c r="J87" s="472" t="s">
        <v>398</v>
      </c>
      <c r="K87" s="598"/>
    </row>
    <row r="88" hidden="1">
      <c r="A88" s="536" t="s">
        <v>320</v>
      </c>
      <c r="B88" s="375" t="s">
        <v>420</v>
      </c>
      <c r="C88" s="390">
        <v>900000.0</v>
      </c>
      <c r="D88" s="393">
        <v>900000.0</v>
      </c>
      <c r="E88" s="390">
        <v>900000.0</v>
      </c>
      <c r="F88" s="393"/>
      <c r="G88" s="377">
        <v>0.0</v>
      </c>
      <c r="H88" s="466"/>
      <c r="I88" s="442">
        <f t="shared" si="16"/>
        <v>-900000</v>
      </c>
      <c r="J88" s="467"/>
      <c r="K88" s="596"/>
    </row>
    <row r="89" hidden="1">
      <c r="A89" s="610" t="s">
        <v>330</v>
      </c>
      <c r="B89" s="382" t="s">
        <v>1839</v>
      </c>
      <c r="C89" s="368">
        <v>900000.0</v>
      </c>
      <c r="D89" s="369">
        <v>900000.0</v>
      </c>
      <c r="E89" s="368">
        <v>900000.0</v>
      </c>
      <c r="F89" s="369"/>
      <c r="G89" s="369">
        <v>0.0</v>
      </c>
      <c r="H89" s="613"/>
      <c r="I89" s="304">
        <f t="shared" si="16"/>
        <v>-900000</v>
      </c>
      <c r="J89" s="472" t="s">
        <v>425</v>
      </c>
      <c r="K89" s="598"/>
    </row>
    <row r="90" hidden="1">
      <c r="A90" s="536" t="s">
        <v>339</v>
      </c>
      <c r="B90" s="375" t="s">
        <v>428</v>
      </c>
      <c r="C90" s="390">
        <v>226500.0</v>
      </c>
      <c r="D90" s="393">
        <v>226500.0</v>
      </c>
      <c r="E90" s="390">
        <v>226500.0</v>
      </c>
      <c r="F90" s="393"/>
      <c r="G90" s="393">
        <v>0.0</v>
      </c>
      <c r="H90" s="634"/>
      <c r="I90" s="442">
        <f t="shared" si="16"/>
        <v>-226500</v>
      </c>
      <c r="J90" s="467"/>
      <c r="K90" s="596"/>
    </row>
    <row r="91" hidden="1">
      <c r="A91" s="610"/>
      <c r="B91" s="643"/>
      <c r="C91" s="368"/>
      <c r="D91" s="369"/>
      <c r="E91" s="368"/>
      <c r="F91" s="369"/>
      <c r="G91" s="369"/>
      <c r="H91" s="613"/>
      <c r="I91" s="304"/>
      <c r="J91" s="305"/>
      <c r="K91" s="598"/>
    </row>
    <row r="92" hidden="1">
      <c r="A92" s="536"/>
      <c r="B92" s="633"/>
      <c r="C92" s="390"/>
      <c r="D92" s="393"/>
      <c r="E92" s="390"/>
      <c r="F92" s="393"/>
      <c r="G92" s="393"/>
      <c r="H92" s="634"/>
      <c r="I92" s="442"/>
      <c r="J92" s="467"/>
      <c r="K92" s="596"/>
    </row>
    <row r="93" hidden="1">
      <c r="A93" s="141" t="s">
        <v>17</v>
      </c>
      <c r="B93" s="272" t="s">
        <v>433</v>
      </c>
      <c r="C93" s="276">
        <f t="shared" ref="C93:G93" si="17">C95+C116+C121+C128+C137+C155+C171+C208+C317+C351+C355+C363+C380+C386+C393+C397+C404+C420+C426+C440+C452+C458+C462+C470+C500+C513+C576+C583+C600+C634+C638</f>
        <v>97740000</v>
      </c>
      <c r="D93" s="280">
        <f t="shared" si="17"/>
        <v>225981737.2</v>
      </c>
      <c r="E93" s="644">
        <f t="shared" si="17"/>
        <v>9</v>
      </c>
      <c r="F93" s="645">
        <f t="shared" si="17"/>
        <v>89200000</v>
      </c>
      <c r="G93" s="280">
        <f t="shared" si="17"/>
        <v>111043000</v>
      </c>
      <c r="H93" s="280"/>
      <c r="I93" s="280">
        <f>I95+I116+I121+I128+I137+I155+I171+I208+I317+I351+I355+I363+I380+I386+I393+I397+I404+I420+I426+I440+I452+I458+I462+I470+I500+I513+I576+I583+I600+I634+I638</f>
        <v>-108428737.2</v>
      </c>
      <c r="J93" s="282" t="s">
        <v>448</v>
      </c>
      <c r="K93" s="283"/>
    </row>
    <row r="94" hidden="1">
      <c r="A94" s="63"/>
      <c r="B94" s="284"/>
      <c r="C94" s="285">
        <f>C96+C113+C117+C122+C129+C138+C156+C172+C209+C318+C352+C356+C364+C381+C387+C394+C398+C405+C421+C427+C441+C453+C459+C463+C471+C501+C514+C577+C584+C601+C635+C639</f>
        <v>750</v>
      </c>
      <c r="D94" s="73">
        <f>(D93/C93)-1</f>
        <v>1.312070157</v>
      </c>
      <c r="E94" s="646"/>
      <c r="F94" s="647"/>
      <c r="G94" s="290">
        <f>G96+G113+G117+G122+G129+G138+G156+G172+G209+G318+G352+G356+G364+G381+G387+G394+G398+G405+G421+G427+G441+G453+G459+G463+G471+G501+G514+G577+G584+G601+G635+G639</f>
        <v>418</v>
      </c>
      <c r="H94" s="290"/>
      <c r="I94" s="291"/>
      <c r="J94" s="293"/>
      <c r="K94" s="82"/>
    </row>
    <row r="95" hidden="1">
      <c r="A95" s="294">
        <v>1.0</v>
      </c>
      <c r="B95" s="296" t="s">
        <v>450</v>
      </c>
      <c r="C95" s="299">
        <f>B96*C96</f>
        <v>2800000</v>
      </c>
      <c r="D95" s="300">
        <f>C96*I96</f>
        <v>5130363.636</v>
      </c>
      <c r="E95" s="368"/>
      <c r="F95" s="369">
        <f>SUM(E97:E107)</f>
        <v>4031000</v>
      </c>
      <c r="G95" s="301">
        <f>SUM(G97:G107)</f>
        <v>4031000</v>
      </c>
      <c r="H95" s="302"/>
      <c r="I95" s="304">
        <f>G95-D95</f>
        <v>-1099363.636</v>
      </c>
      <c r="J95" s="305"/>
      <c r="K95" s="306"/>
    </row>
    <row r="96" hidden="1" collapsed="1">
      <c r="A96" s="307"/>
      <c r="B96" s="308">
        <v>200000.0</v>
      </c>
      <c r="C96" s="309">
        <v>14.0</v>
      </c>
      <c r="D96" s="316">
        <f>(D95/C95)-1</f>
        <v>0.8322727273</v>
      </c>
      <c r="E96" s="648"/>
      <c r="F96" s="649"/>
      <c r="G96" s="317">
        <f>COUNT(G97:G107)</f>
        <v>11</v>
      </c>
      <c r="H96" s="317"/>
      <c r="I96" s="319">
        <f>G95/G96</f>
        <v>366454.5455</v>
      </c>
      <c r="J96" s="320"/>
      <c r="K96" s="322"/>
    </row>
    <row r="97" hidden="1" outlineLevel="1">
      <c r="A97" s="610">
        <v>1.1</v>
      </c>
      <c r="B97" s="611" t="s">
        <v>459</v>
      </c>
      <c r="C97" s="650"/>
      <c r="D97" s="301"/>
      <c r="E97" s="368">
        <v>351000.0</v>
      </c>
      <c r="F97" s="369"/>
      <c r="G97" s="651">
        <v>351000.0</v>
      </c>
      <c r="H97" s="470"/>
      <c r="I97" s="305"/>
      <c r="J97" s="305"/>
      <c r="K97" s="598"/>
    </row>
    <row r="98" hidden="1" outlineLevel="1">
      <c r="A98" s="536">
        <v>1.2</v>
      </c>
      <c r="B98" s="633" t="s">
        <v>464</v>
      </c>
      <c r="C98" s="652"/>
      <c r="D98" s="653"/>
      <c r="E98" s="390">
        <v>351000.0</v>
      </c>
      <c r="F98" s="393"/>
      <c r="G98" s="654">
        <v>351000.0</v>
      </c>
      <c r="H98" s="421"/>
      <c r="I98" s="467"/>
      <c r="J98" s="467"/>
      <c r="K98" s="596"/>
    </row>
    <row r="99" hidden="1" outlineLevel="1">
      <c r="A99" s="610">
        <v>1.3</v>
      </c>
      <c r="B99" s="611" t="s">
        <v>465</v>
      </c>
      <c r="C99" s="650"/>
      <c r="D99" s="301"/>
      <c r="E99" s="368">
        <v>351000.0</v>
      </c>
      <c r="F99" s="369"/>
      <c r="G99" s="651">
        <v>351000.0</v>
      </c>
      <c r="H99" s="470"/>
      <c r="I99" s="305"/>
      <c r="J99" s="305"/>
      <c r="K99" s="598"/>
    </row>
    <row r="100" hidden="1" outlineLevel="1">
      <c r="A100" s="536">
        <v>1.4</v>
      </c>
      <c r="B100" s="633" t="s">
        <v>466</v>
      </c>
      <c r="C100" s="652"/>
      <c r="D100" s="653"/>
      <c r="E100" s="390">
        <v>369000.0</v>
      </c>
      <c r="F100" s="393"/>
      <c r="G100" s="654">
        <v>369000.0</v>
      </c>
      <c r="H100" s="421"/>
      <c r="I100" s="467"/>
      <c r="J100" s="467"/>
      <c r="K100" s="596"/>
    </row>
    <row r="101" hidden="1" outlineLevel="1">
      <c r="A101" s="610">
        <v>1.5</v>
      </c>
      <c r="B101" s="611" t="s">
        <v>468</v>
      </c>
      <c r="C101" s="650"/>
      <c r="D101" s="301"/>
      <c r="E101" s="368">
        <v>369000.0</v>
      </c>
      <c r="F101" s="369"/>
      <c r="G101" s="651">
        <v>369000.0</v>
      </c>
      <c r="H101" s="470"/>
      <c r="I101" s="305"/>
      <c r="J101" s="305"/>
      <c r="K101" s="598"/>
    </row>
    <row r="102" hidden="1" outlineLevel="1">
      <c r="A102" s="536">
        <v>1.6</v>
      </c>
      <c r="B102" s="633" t="s">
        <v>469</v>
      </c>
      <c r="C102" s="652"/>
      <c r="D102" s="653"/>
      <c r="E102" s="390">
        <v>389000.0</v>
      </c>
      <c r="F102" s="393"/>
      <c r="G102" s="654">
        <v>389000.0</v>
      </c>
      <c r="H102" s="421"/>
      <c r="I102" s="467"/>
      <c r="J102" s="467"/>
      <c r="K102" s="596"/>
    </row>
    <row r="103" hidden="1" outlineLevel="1">
      <c r="A103" s="610">
        <v>1.7</v>
      </c>
      <c r="B103" s="611" t="s">
        <v>470</v>
      </c>
      <c r="C103" s="650"/>
      <c r="D103" s="301"/>
      <c r="E103" s="368">
        <v>389000.0</v>
      </c>
      <c r="F103" s="369"/>
      <c r="G103" s="651">
        <v>389000.0</v>
      </c>
      <c r="H103" s="470"/>
      <c r="I103" s="305"/>
      <c r="J103" s="305"/>
      <c r="K103" s="598"/>
    </row>
    <row r="104" outlineLevel="1">
      <c r="A104" s="536">
        <v>1.8</v>
      </c>
      <c r="B104" s="633" t="s">
        <v>472</v>
      </c>
      <c r="C104" s="652"/>
      <c r="D104" s="653"/>
      <c r="E104" s="390">
        <v>389000.0</v>
      </c>
      <c r="F104" s="393"/>
      <c r="G104" s="654">
        <v>389000.0</v>
      </c>
      <c r="H104" s="421">
        <v>389000.0</v>
      </c>
      <c r="I104" s="467"/>
      <c r="J104" s="467"/>
      <c r="K104" s="596"/>
    </row>
    <row r="105" outlineLevel="1">
      <c r="A105" s="610">
        <v>1.9</v>
      </c>
      <c r="B105" s="611" t="s">
        <v>474</v>
      </c>
      <c r="C105" s="650"/>
      <c r="D105" s="301"/>
      <c r="E105" s="368">
        <v>354000.0</v>
      </c>
      <c r="F105" s="369"/>
      <c r="G105" s="651">
        <v>354000.0</v>
      </c>
      <c r="H105" s="470">
        <v>354000.0</v>
      </c>
      <c r="I105" s="305"/>
      <c r="J105" s="305"/>
      <c r="K105" s="598"/>
    </row>
    <row r="106" hidden="1" outlineLevel="1">
      <c r="A106" s="655" t="s">
        <v>475</v>
      </c>
      <c r="B106" s="633" t="s">
        <v>477</v>
      </c>
      <c r="C106" s="652"/>
      <c r="D106" s="653"/>
      <c r="E106" s="390">
        <v>389000.0</v>
      </c>
      <c r="F106" s="393"/>
      <c r="G106" s="654">
        <v>389000.0</v>
      </c>
      <c r="H106" s="421"/>
      <c r="I106" s="467"/>
      <c r="J106" s="467"/>
      <c r="K106" s="596"/>
    </row>
    <row r="107" hidden="1" outlineLevel="1">
      <c r="A107" s="656" t="s">
        <v>479</v>
      </c>
      <c r="B107" s="611" t="s">
        <v>480</v>
      </c>
      <c r="C107" s="650"/>
      <c r="D107" s="301"/>
      <c r="E107" s="368">
        <v>330000.0</v>
      </c>
      <c r="F107" s="369"/>
      <c r="G107" s="651">
        <v>330000.0</v>
      </c>
      <c r="H107" s="470"/>
      <c r="I107" s="305"/>
      <c r="J107" s="305"/>
      <c r="K107" s="598"/>
    </row>
    <row r="108" hidden="1" outlineLevel="1">
      <c r="A108" s="657" t="s">
        <v>481</v>
      </c>
      <c r="B108" s="658" t="s">
        <v>482</v>
      </c>
      <c r="C108" s="659"/>
      <c r="D108" s="660"/>
      <c r="E108" s="661">
        <v>0.0</v>
      </c>
      <c r="F108" s="662"/>
      <c r="G108" s="654">
        <v>0.0</v>
      </c>
      <c r="H108" s="421"/>
      <c r="I108" s="467"/>
      <c r="J108" s="659" t="s">
        <v>485</v>
      </c>
      <c r="K108" s="605"/>
    </row>
    <row r="109" hidden="1" outlineLevel="1">
      <c r="A109" s="663" t="s">
        <v>481</v>
      </c>
      <c r="B109" s="664" t="s">
        <v>482</v>
      </c>
      <c r="C109" s="665"/>
      <c r="D109" s="666"/>
      <c r="E109" s="667">
        <v>0.0</v>
      </c>
      <c r="F109" s="668"/>
      <c r="G109" s="651">
        <v>0.0</v>
      </c>
      <c r="H109" s="470"/>
      <c r="I109" s="305"/>
      <c r="J109" s="665" t="s">
        <v>485</v>
      </c>
      <c r="K109" s="603"/>
    </row>
    <row r="110" hidden="1" outlineLevel="1">
      <c r="A110" s="657" t="s">
        <v>481</v>
      </c>
      <c r="B110" s="658" t="s">
        <v>482</v>
      </c>
      <c r="C110" s="659"/>
      <c r="D110" s="660"/>
      <c r="E110" s="661">
        <v>0.0</v>
      </c>
      <c r="F110" s="662"/>
      <c r="G110" s="654">
        <v>0.0</v>
      </c>
      <c r="H110" s="421"/>
      <c r="I110" s="467"/>
      <c r="J110" s="659" t="s">
        <v>485</v>
      </c>
      <c r="K110" s="605"/>
    </row>
    <row r="111" hidden="1" outlineLevel="1">
      <c r="A111" s="610"/>
      <c r="B111" s="611"/>
      <c r="C111" s="650"/>
      <c r="D111" s="301"/>
      <c r="E111" s="368"/>
      <c r="F111" s="369"/>
      <c r="G111" s="651"/>
      <c r="H111" s="470"/>
      <c r="I111" s="305"/>
      <c r="J111" s="305"/>
      <c r="K111" s="598"/>
    </row>
    <row r="112" hidden="1">
      <c r="A112" s="294">
        <v>2.0</v>
      </c>
      <c r="B112" s="296" t="s">
        <v>488</v>
      </c>
      <c r="C112" s="338" t="s">
        <v>489</v>
      </c>
      <c r="D112" s="300">
        <v>136000.0</v>
      </c>
      <c r="E112" s="368"/>
      <c r="F112" s="369">
        <f>E114</f>
        <v>136000</v>
      </c>
      <c r="G112" s="301">
        <f>G114</f>
        <v>136000</v>
      </c>
      <c r="H112" s="302"/>
      <c r="I112" s="304">
        <f>G112-D112</f>
        <v>0</v>
      </c>
      <c r="J112" s="305" t="s">
        <v>494</v>
      </c>
      <c r="K112" s="306"/>
    </row>
    <row r="113" hidden="1" collapsed="1">
      <c r="A113" s="307"/>
      <c r="B113" s="308" t="s">
        <v>495</v>
      </c>
      <c r="C113" s="309">
        <v>1.0</v>
      </c>
      <c r="D113" s="316" t="s">
        <v>268</v>
      </c>
      <c r="E113" s="648"/>
      <c r="F113" s="649"/>
      <c r="G113" s="317">
        <v>1.0</v>
      </c>
      <c r="H113" s="317"/>
      <c r="I113" s="319">
        <f>G112/G113</f>
        <v>136000</v>
      </c>
      <c r="J113" s="320"/>
      <c r="K113" s="322"/>
    </row>
    <row r="114" hidden="1" outlineLevel="1">
      <c r="A114" s="536">
        <v>2.1</v>
      </c>
      <c r="B114" s="375" t="s">
        <v>497</v>
      </c>
      <c r="C114" s="652"/>
      <c r="D114" s="653"/>
      <c r="E114" s="390">
        <v>136000.0</v>
      </c>
      <c r="F114" s="393"/>
      <c r="G114" s="654">
        <v>136000.0</v>
      </c>
      <c r="H114" s="421"/>
      <c r="I114" s="442"/>
      <c r="J114" s="467"/>
      <c r="K114" s="596"/>
    </row>
    <row r="115" hidden="1" outlineLevel="1">
      <c r="A115" s="610"/>
      <c r="B115" s="611"/>
      <c r="C115" s="650"/>
      <c r="D115" s="301"/>
      <c r="E115" s="368"/>
      <c r="F115" s="369"/>
      <c r="G115" s="669"/>
      <c r="H115" s="670"/>
      <c r="I115" s="304"/>
      <c r="J115" s="305"/>
      <c r="K115" s="598"/>
    </row>
    <row r="116" hidden="1">
      <c r="A116" s="294">
        <v>3.0</v>
      </c>
      <c r="B116" s="296" t="s">
        <v>498</v>
      </c>
      <c r="C116" s="299">
        <f>B117*C117</f>
        <v>4350000</v>
      </c>
      <c r="D116" s="300">
        <f>C117*I117</f>
        <v>18241000</v>
      </c>
      <c r="E116" s="368"/>
      <c r="F116" s="369">
        <f>SUM(E118:E119)</f>
        <v>1167000</v>
      </c>
      <c r="G116" s="301">
        <f>SUM(G118:G119)</f>
        <v>629000</v>
      </c>
      <c r="H116" s="302"/>
      <c r="I116" s="304">
        <f>G116-D116</f>
        <v>-17612000</v>
      </c>
      <c r="J116" s="305" t="s">
        <v>502</v>
      </c>
      <c r="K116" s="306"/>
    </row>
    <row r="117" hidden="1" collapsed="1">
      <c r="A117" s="307"/>
      <c r="B117" s="308">
        <v>150000.0</v>
      </c>
      <c r="C117" s="309">
        <v>29.0</v>
      </c>
      <c r="D117" s="316">
        <f>(D116/C116)-1</f>
        <v>3.193333333</v>
      </c>
      <c r="E117" s="648"/>
      <c r="F117" s="649"/>
      <c r="G117" s="317">
        <v>1.0</v>
      </c>
      <c r="H117" s="317"/>
      <c r="I117" s="319">
        <f>G116/G117</f>
        <v>629000</v>
      </c>
      <c r="J117" s="320"/>
      <c r="K117" s="322"/>
    </row>
    <row r="118" hidden="1" outlineLevel="1">
      <c r="A118" s="536">
        <v>3.1</v>
      </c>
      <c r="B118" s="375" t="s">
        <v>503</v>
      </c>
      <c r="C118" s="652"/>
      <c r="D118" s="653"/>
      <c r="E118" s="390">
        <v>629000.0</v>
      </c>
      <c r="F118" s="393"/>
      <c r="G118" s="654">
        <v>629000.0</v>
      </c>
      <c r="H118" s="421"/>
      <c r="I118" s="442"/>
      <c r="J118" s="467"/>
      <c r="K118" s="596"/>
    </row>
    <row r="119" hidden="1" outlineLevel="1">
      <c r="A119" s="610" t="s">
        <v>481</v>
      </c>
      <c r="B119" s="382" t="s">
        <v>504</v>
      </c>
      <c r="C119" s="650"/>
      <c r="D119" s="301"/>
      <c r="E119" s="368">
        <v>538000.0</v>
      </c>
      <c r="F119" s="369"/>
      <c r="G119" s="651">
        <v>0.0</v>
      </c>
      <c r="H119" s="470"/>
      <c r="I119" s="304"/>
      <c r="J119" s="305"/>
      <c r="K119" s="598"/>
    </row>
    <row r="120" hidden="1" outlineLevel="1">
      <c r="A120" s="536"/>
      <c r="B120" s="633"/>
      <c r="C120" s="652"/>
      <c r="D120" s="653"/>
      <c r="E120" s="390"/>
      <c r="F120" s="393"/>
      <c r="G120" s="675"/>
      <c r="H120" s="676"/>
      <c r="I120" s="442"/>
      <c r="J120" s="467"/>
      <c r="K120" s="596"/>
    </row>
    <row r="121" hidden="1">
      <c r="A121" s="294">
        <v>4.0</v>
      </c>
      <c r="B121" s="296" t="s">
        <v>505</v>
      </c>
      <c r="C121" s="299">
        <f>B122*C122</f>
        <v>1000000</v>
      </c>
      <c r="D121" s="300">
        <f>C122*I122</f>
        <v>0</v>
      </c>
      <c r="E121" s="368"/>
      <c r="F121" s="369">
        <f>SUM(E123:E126)</f>
        <v>0</v>
      </c>
      <c r="G121" s="301">
        <v>0.0</v>
      </c>
      <c r="H121" s="302"/>
      <c r="I121" s="304">
        <f>G121-D121</f>
        <v>0</v>
      </c>
      <c r="J121" s="305"/>
      <c r="K121" s="306"/>
    </row>
    <row r="122" hidden="1" collapsed="1">
      <c r="A122" s="307"/>
      <c r="B122" s="308">
        <v>250000.0</v>
      </c>
      <c r="C122" s="309">
        <v>4.0</v>
      </c>
      <c r="D122" s="316" t="s">
        <v>268</v>
      </c>
      <c r="E122" s="648"/>
      <c r="F122" s="649"/>
      <c r="G122" s="317">
        <v>4.0</v>
      </c>
      <c r="H122" s="317"/>
      <c r="I122" s="319">
        <f>G121/G122</f>
        <v>0</v>
      </c>
      <c r="J122" s="320"/>
      <c r="K122" s="322"/>
    </row>
    <row r="123" hidden="1" outlineLevel="1">
      <c r="A123" s="610">
        <v>4.1</v>
      </c>
      <c r="B123" s="382" t="s">
        <v>506</v>
      </c>
      <c r="C123" s="650"/>
      <c r="D123" s="301"/>
      <c r="E123" s="368">
        <v>0.0</v>
      </c>
      <c r="F123" s="369"/>
      <c r="G123" s="677">
        <v>0.0</v>
      </c>
      <c r="H123" s="678"/>
      <c r="I123" s="304"/>
      <c r="J123" s="305"/>
      <c r="K123" s="598"/>
    </row>
    <row r="124" hidden="1" outlineLevel="1">
      <c r="A124" s="536">
        <v>4.2</v>
      </c>
      <c r="B124" s="375" t="s">
        <v>507</v>
      </c>
      <c r="C124" s="652"/>
      <c r="D124" s="653"/>
      <c r="E124" s="390">
        <v>0.0</v>
      </c>
      <c r="F124" s="393"/>
      <c r="G124" s="679">
        <v>0.0</v>
      </c>
      <c r="H124" s="680"/>
      <c r="I124" s="442"/>
      <c r="J124" s="467"/>
      <c r="K124" s="596"/>
    </row>
    <row r="125" hidden="1" outlineLevel="1">
      <c r="A125" s="610">
        <v>4.3</v>
      </c>
      <c r="B125" s="382" t="s">
        <v>508</v>
      </c>
      <c r="C125" s="650"/>
      <c r="D125" s="301"/>
      <c r="E125" s="368">
        <v>0.0</v>
      </c>
      <c r="F125" s="369"/>
      <c r="G125" s="677">
        <v>0.0</v>
      </c>
      <c r="H125" s="678"/>
      <c r="I125" s="304"/>
      <c r="J125" s="305"/>
      <c r="K125" s="598"/>
    </row>
    <row r="126" hidden="1" outlineLevel="1">
      <c r="A126" s="536">
        <v>4.4</v>
      </c>
      <c r="B126" s="375" t="s">
        <v>509</v>
      </c>
      <c r="C126" s="652"/>
      <c r="D126" s="653"/>
      <c r="E126" s="390">
        <v>0.0</v>
      </c>
      <c r="F126" s="393"/>
      <c r="G126" s="679">
        <v>0.0</v>
      </c>
      <c r="H126" s="680"/>
      <c r="I126" s="442"/>
      <c r="J126" s="467"/>
      <c r="K126" s="596"/>
    </row>
    <row r="127" hidden="1" outlineLevel="1">
      <c r="A127" s="610"/>
      <c r="B127" s="611"/>
      <c r="C127" s="650"/>
      <c r="D127" s="301"/>
      <c r="E127" s="368"/>
      <c r="F127" s="369"/>
      <c r="G127" s="669"/>
      <c r="H127" s="670"/>
      <c r="I127" s="304"/>
      <c r="J127" s="305"/>
      <c r="K127" s="598"/>
    </row>
    <row r="128" hidden="1">
      <c r="A128" s="294">
        <v>5.0</v>
      </c>
      <c r="B128" s="296" t="s">
        <v>510</v>
      </c>
      <c r="C128" s="299">
        <f>250000+9*120000</f>
        <v>1330000</v>
      </c>
      <c r="D128" s="300">
        <f>C129*I129</f>
        <v>1951666.667</v>
      </c>
      <c r="E128" s="368"/>
      <c r="F128" s="369">
        <f>SUM(E130:E135)</f>
        <v>1171000</v>
      </c>
      <c r="G128" s="301">
        <f>SUM(G130:G135)</f>
        <v>1171000</v>
      </c>
      <c r="H128" s="302"/>
      <c r="I128" s="304">
        <f>G128-D128</f>
        <v>-780666.6667</v>
      </c>
      <c r="J128" s="305"/>
      <c r="K128" s="306"/>
    </row>
    <row r="129" hidden="1" collapsed="1">
      <c r="A129" s="307"/>
      <c r="B129" s="308" t="s">
        <v>511</v>
      </c>
      <c r="C129" s="309">
        <v>10.0</v>
      </c>
      <c r="D129" s="316">
        <f>(D128/C128)-1</f>
        <v>0.4674185464</v>
      </c>
      <c r="E129" s="648"/>
      <c r="F129" s="649"/>
      <c r="G129" s="317">
        <f>COUNT(G130:G135)</f>
        <v>6</v>
      </c>
      <c r="H129" s="317"/>
      <c r="I129" s="319">
        <f>G128/G129</f>
        <v>195166.6667</v>
      </c>
      <c r="J129" s="320"/>
      <c r="K129" s="322"/>
    </row>
    <row r="130" hidden="1" outlineLevel="1">
      <c r="A130" s="536">
        <v>5.1</v>
      </c>
      <c r="B130" s="375" t="s">
        <v>512</v>
      </c>
      <c r="C130" s="652"/>
      <c r="D130" s="653"/>
      <c r="E130" s="390">
        <v>169000.0</v>
      </c>
      <c r="F130" s="393"/>
      <c r="G130" s="654">
        <v>169000.0</v>
      </c>
      <c r="H130" s="421"/>
      <c r="I130" s="442"/>
      <c r="J130" s="467"/>
      <c r="K130" s="596"/>
    </row>
    <row r="131" hidden="1" outlineLevel="1">
      <c r="A131" s="610">
        <v>5.2</v>
      </c>
      <c r="B131" s="382" t="s">
        <v>513</v>
      </c>
      <c r="C131" s="650"/>
      <c r="D131" s="301"/>
      <c r="E131" s="368">
        <v>232000.0</v>
      </c>
      <c r="F131" s="369"/>
      <c r="G131" s="651">
        <v>232000.0</v>
      </c>
      <c r="H131" s="470"/>
      <c r="I131" s="304"/>
      <c r="J131" s="305"/>
      <c r="K131" s="598"/>
    </row>
    <row r="132" hidden="1" outlineLevel="1">
      <c r="A132" s="536">
        <v>5.3</v>
      </c>
      <c r="B132" s="375" t="s">
        <v>514</v>
      </c>
      <c r="C132" s="652"/>
      <c r="D132" s="653"/>
      <c r="E132" s="390">
        <v>204000.0</v>
      </c>
      <c r="F132" s="393"/>
      <c r="G132" s="654">
        <v>204000.0</v>
      </c>
      <c r="H132" s="421"/>
      <c r="I132" s="442"/>
      <c r="J132" s="467"/>
      <c r="K132" s="596"/>
    </row>
    <row r="133" hidden="1" outlineLevel="1">
      <c r="A133" s="610">
        <v>5.4</v>
      </c>
      <c r="B133" s="382" t="s">
        <v>515</v>
      </c>
      <c r="C133" s="650"/>
      <c r="D133" s="301"/>
      <c r="E133" s="368">
        <v>204000.0</v>
      </c>
      <c r="F133" s="369"/>
      <c r="G133" s="651">
        <v>204000.0</v>
      </c>
      <c r="H133" s="470"/>
      <c r="I133" s="304"/>
      <c r="J133" s="305"/>
      <c r="K133" s="598"/>
    </row>
    <row r="134" hidden="1" outlineLevel="1">
      <c r="A134" s="536">
        <v>5.5</v>
      </c>
      <c r="B134" s="375" t="s">
        <v>516</v>
      </c>
      <c r="C134" s="652"/>
      <c r="D134" s="653"/>
      <c r="E134" s="390">
        <v>181000.0</v>
      </c>
      <c r="F134" s="393"/>
      <c r="G134" s="654">
        <v>181000.0</v>
      </c>
      <c r="H134" s="421"/>
      <c r="I134" s="442"/>
      <c r="J134" s="467"/>
      <c r="K134" s="596"/>
    </row>
    <row r="135" hidden="1" outlineLevel="1">
      <c r="A135" s="610">
        <v>5.6</v>
      </c>
      <c r="B135" s="382" t="s">
        <v>517</v>
      </c>
      <c r="C135" s="650"/>
      <c r="D135" s="301"/>
      <c r="E135" s="368">
        <v>181000.0</v>
      </c>
      <c r="F135" s="369"/>
      <c r="G135" s="651">
        <v>181000.0</v>
      </c>
      <c r="H135" s="470"/>
      <c r="I135" s="304"/>
      <c r="J135" s="305"/>
      <c r="K135" s="598"/>
    </row>
    <row r="136" hidden="1" outlineLevel="1">
      <c r="A136" s="536"/>
      <c r="B136" s="633"/>
      <c r="C136" s="652"/>
      <c r="D136" s="653"/>
      <c r="E136" s="390"/>
      <c r="F136" s="393"/>
      <c r="G136" s="675"/>
      <c r="H136" s="676"/>
      <c r="I136" s="442"/>
      <c r="J136" s="467"/>
      <c r="K136" s="596"/>
    </row>
    <row r="137" hidden="1">
      <c r="A137" s="294">
        <v>6.0</v>
      </c>
      <c r="B137" s="296" t="s">
        <v>518</v>
      </c>
      <c r="C137" s="299">
        <f>B138*C138</f>
        <v>2000000</v>
      </c>
      <c r="D137" s="300">
        <f>C138*I138</f>
        <v>3529333.333</v>
      </c>
      <c r="E137" s="368"/>
      <c r="F137" s="369">
        <f>SUM(E139:E153)</f>
        <v>2647000</v>
      </c>
      <c r="G137" s="301">
        <f>SUM(G139:G153)</f>
        <v>2647000</v>
      </c>
      <c r="H137" s="302"/>
      <c r="I137" s="304">
        <f>G137-D137</f>
        <v>-882333.3333</v>
      </c>
      <c r="J137" s="305"/>
      <c r="K137" s="306"/>
    </row>
    <row r="138" hidden="1" collapsed="1">
      <c r="A138" s="307"/>
      <c r="B138" s="308">
        <v>100000.0</v>
      </c>
      <c r="C138" s="309">
        <v>20.0</v>
      </c>
      <c r="D138" s="316">
        <f>(D137/C137)-1</f>
        <v>0.7646666667</v>
      </c>
      <c r="E138" s="648"/>
      <c r="F138" s="649"/>
      <c r="G138" s="317">
        <f>COUNT(G139:G153)</f>
        <v>15</v>
      </c>
      <c r="H138" s="317"/>
      <c r="I138" s="319">
        <f>G137/G138</f>
        <v>176466.6667</v>
      </c>
      <c r="J138" s="320"/>
      <c r="K138" s="322"/>
    </row>
    <row r="139" outlineLevel="1">
      <c r="A139" s="610">
        <v>6.1</v>
      </c>
      <c r="B139" s="382" t="s">
        <v>519</v>
      </c>
      <c r="C139" s="650"/>
      <c r="D139" s="301"/>
      <c r="E139" s="368">
        <v>214000.0</v>
      </c>
      <c r="F139" s="369"/>
      <c r="G139" s="651">
        <v>214000.0</v>
      </c>
      <c r="H139" s="470">
        <v>214000.0</v>
      </c>
      <c r="I139" s="304"/>
      <c r="J139" s="305"/>
      <c r="K139" s="598"/>
    </row>
    <row r="140" hidden="1" outlineLevel="1">
      <c r="A140" s="536">
        <v>6.2</v>
      </c>
      <c r="B140" s="375" t="s">
        <v>520</v>
      </c>
      <c r="C140" s="652"/>
      <c r="D140" s="653"/>
      <c r="E140" s="390">
        <v>190000.0</v>
      </c>
      <c r="F140" s="393"/>
      <c r="G140" s="654">
        <v>190000.0</v>
      </c>
      <c r="H140" s="421"/>
      <c r="I140" s="442"/>
      <c r="J140" s="467"/>
      <c r="K140" s="596"/>
    </row>
    <row r="141" hidden="1" outlineLevel="1">
      <c r="A141" s="610">
        <v>6.3</v>
      </c>
      <c r="B141" s="382" t="s">
        <v>521</v>
      </c>
      <c r="C141" s="650"/>
      <c r="D141" s="301"/>
      <c r="E141" s="368">
        <v>202000.0</v>
      </c>
      <c r="F141" s="369"/>
      <c r="G141" s="651">
        <v>202000.0</v>
      </c>
      <c r="H141" s="470"/>
      <c r="I141" s="304"/>
      <c r="J141" s="305"/>
      <c r="K141" s="598"/>
    </row>
    <row r="142" hidden="1" outlineLevel="1">
      <c r="A142" s="536">
        <v>6.4</v>
      </c>
      <c r="B142" s="375" t="s">
        <v>522</v>
      </c>
      <c r="C142" s="652"/>
      <c r="D142" s="653"/>
      <c r="E142" s="390">
        <v>190000.0</v>
      </c>
      <c r="F142" s="393"/>
      <c r="G142" s="654">
        <v>190000.0</v>
      </c>
      <c r="H142" s="421"/>
      <c r="I142" s="442"/>
      <c r="J142" s="467"/>
      <c r="K142" s="596"/>
    </row>
    <row r="143" hidden="1" outlineLevel="1">
      <c r="A143" s="610">
        <v>6.5</v>
      </c>
      <c r="B143" s="382" t="s">
        <v>523</v>
      </c>
      <c r="C143" s="650"/>
      <c r="D143" s="301"/>
      <c r="E143" s="368">
        <v>220000.0</v>
      </c>
      <c r="F143" s="369"/>
      <c r="G143" s="651">
        <v>220000.0</v>
      </c>
      <c r="H143" s="470"/>
      <c r="I143" s="304"/>
      <c r="J143" s="305"/>
      <c r="K143" s="598"/>
    </row>
    <row r="144" hidden="1" outlineLevel="1">
      <c r="A144" s="536">
        <v>6.6</v>
      </c>
      <c r="B144" s="375" t="s">
        <v>524</v>
      </c>
      <c r="C144" s="652"/>
      <c r="D144" s="653"/>
      <c r="E144" s="390">
        <v>167000.0</v>
      </c>
      <c r="F144" s="393"/>
      <c r="G144" s="654">
        <v>167000.0</v>
      </c>
      <c r="H144" s="421"/>
      <c r="I144" s="442"/>
      <c r="J144" s="467"/>
      <c r="K144" s="596"/>
    </row>
    <row r="145" hidden="1" outlineLevel="1">
      <c r="A145" s="610">
        <v>6.7</v>
      </c>
      <c r="B145" s="382" t="s">
        <v>525</v>
      </c>
      <c r="C145" s="650"/>
      <c r="D145" s="301"/>
      <c r="E145" s="368">
        <v>193000.0</v>
      </c>
      <c r="F145" s="369"/>
      <c r="G145" s="651">
        <v>193000.0</v>
      </c>
      <c r="H145" s="470"/>
      <c r="I145" s="304"/>
      <c r="J145" s="305"/>
      <c r="K145" s="598"/>
    </row>
    <row r="146" outlineLevel="1">
      <c r="A146" s="536">
        <v>6.8</v>
      </c>
      <c r="B146" s="375" t="s">
        <v>526</v>
      </c>
      <c r="C146" s="652"/>
      <c r="D146" s="653"/>
      <c r="E146" s="390">
        <v>156000.0</v>
      </c>
      <c r="F146" s="393"/>
      <c r="G146" s="654">
        <v>156000.0</v>
      </c>
      <c r="H146" s="421">
        <v>156000.0</v>
      </c>
      <c r="I146" s="442"/>
      <c r="J146" s="467"/>
      <c r="K146" s="596"/>
    </row>
    <row r="147" outlineLevel="1">
      <c r="A147" s="610">
        <v>6.9</v>
      </c>
      <c r="B147" s="382" t="s">
        <v>527</v>
      </c>
      <c r="C147" s="650"/>
      <c r="D147" s="301"/>
      <c r="E147" s="368">
        <v>156000.0</v>
      </c>
      <c r="F147" s="369"/>
      <c r="G147" s="651">
        <v>156000.0</v>
      </c>
      <c r="H147" s="470">
        <v>156000.0</v>
      </c>
      <c r="I147" s="304"/>
      <c r="J147" s="305"/>
      <c r="K147" s="598"/>
    </row>
    <row r="148" hidden="1" outlineLevel="1">
      <c r="A148" s="655" t="s">
        <v>528</v>
      </c>
      <c r="B148" s="375" t="s">
        <v>529</v>
      </c>
      <c r="C148" s="652"/>
      <c r="D148" s="653"/>
      <c r="E148" s="390">
        <v>156000.0</v>
      </c>
      <c r="F148" s="393"/>
      <c r="G148" s="654">
        <v>156000.0</v>
      </c>
      <c r="H148" s="421"/>
      <c r="I148" s="442"/>
      <c r="J148" s="467"/>
      <c r="K148" s="596"/>
    </row>
    <row r="149" hidden="1" outlineLevel="1">
      <c r="A149" s="610">
        <v>6.11</v>
      </c>
      <c r="B149" s="382" t="s">
        <v>530</v>
      </c>
      <c r="C149" s="650"/>
      <c r="D149" s="301"/>
      <c r="E149" s="368">
        <v>156000.0</v>
      </c>
      <c r="F149" s="369"/>
      <c r="G149" s="651">
        <v>156000.0</v>
      </c>
      <c r="H149" s="470"/>
      <c r="I149" s="304"/>
      <c r="J149" s="305"/>
      <c r="K149" s="598"/>
    </row>
    <row r="150" hidden="1" outlineLevel="1">
      <c r="A150" s="536">
        <v>6.12</v>
      </c>
      <c r="B150" s="375" t="s">
        <v>531</v>
      </c>
      <c r="C150" s="652"/>
      <c r="D150" s="653"/>
      <c r="E150" s="390">
        <v>165000.0</v>
      </c>
      <c r="F150" s="393"/>
      <c r="G150" s="654">
        <v>165000.0</v>
      </c>
      <c r="H150" s="421"/>
      <c r="I150" s="442"/>
      <c r="J150" s="467"/>
      <c r="K150" s="596"/>
    </row>
    <row r="151" hidden="1" outlineLevel="1">
      <c r="A151" s="610">
        <v>6.13</v>
      </c>
      <c r="B151" s="382" t="s">
        <v>532</v>
      </c>
      <c r="C151" s="650"/>
      <c r="D151" s="301"/>
      <c r="E151" s="368">
        <v>165000.0</v>
      </c>
      <c r="F151" s="369"/>
      <c r="G151" s="651">
        <v>165000.0</v>
      </c>
      <c r="H151" s="470"/>
      <c r="I151" s="304"/>
      <c r="J151" s="305"/>
      <c r="K151" s="598"/>
    </row>
    <row r="152" hidden="1" outlineLevel="1">
      <c r="A152" s="536">
        <v>6.14</v>
      </c>
      <c r="B152" s="375" t="s">
        <v>533</v>
      </c>
      <c r="C152" s="652"/>
      <c r="D152" s="653"/>
      <c r="E152" s="390">
        <v>165000.0</v>
      </c>
      <c r="F152" s="393"/>
      <c r="G152" s="654">
        <v>165000.0</v>
      </c>
      <c r="H152" s="421"/>
      <c r="I152" s="442"/>
      <c r="J152" s="467"/>
      <c r="K152" s="596"/>
    </row>
    <row r="153" outlineLevel="1">
      <c r="A153" s="610">
        <v>6.15</v>
      </c>
      <c r="B153" s="382" t="s">
        <v>534</v>
      </c>
      <c r="C153" s="650"/>
      <c r="D153" s="301"/>
      <c r="E153" s="368">
        <v>152000.0</v>
      </c>
      <c r="F153" s="369"/>
      <c r="G153" s="651">
        <v>152000.0</v>
      </c>
      <c r="H153" s="470">
        <v>152000.0</v>
      </c>
      <c r="I153" s="304"/>
      <c r="J153" s="305"/>
      <c r="K153" s="598"/>
    </row>
    <row r="154" hidden="1" outlineLevel="1">
      <c r="A154" s="536"/>
      <c r="B154" s="633"/>
      <c r="C154" s="652"/>
      <c r="D154" s="653"/>
      <c r="E154" s="390"/>
      <c r="F154" s="393"/>
      <c r="G154" s="675"/>
      <c r="H154" s="676"/>
      <c r="I154" s="442"/>
      <c r="J154" s="467"/>
      <c r="K154" s="596"/>
    </row>
    <row r="155" hidden="1">
      <c r="A155" s="294">
        <v>7.0</v>
      </c>
      <c r="B155" s="296" t="s">
        <v>535</v>
      </c>
      <c r="C155" s="299">
        <f>2*150000+3*120000+18*100000</f>
        <v>2460000</v>
      </c>
      <c r="D155" s="300">
        <f>C156*I156</f>
        <v>4573461.538</v>
      </c>
      <c r="E155" s="368"/>
      <c r="F155" s="369">
        <f>SUM(E157:E169)</f>
        <v>2585000</v>
      </c>
      <c r="G155" s="301">
        <f>SUM(G157:G169)</f>
        <v>2585000</v>
      </c>
      <c r="H155" s="302"/>
      <c r="I155" s="304">
        <f>G155-D155</f>
        <v>-1988461.538</v>
      </c>
      <c r="J155" s="305"/>
      <c r="K155" s="306"/>
    </row>
    <row r="156" hidden="1" collapsed="1">
      <c r="A156" s="307"/>
      <c r="B156" s="308" t="s">
        <v>536</v>
      </c>
      <c r="C156" s="309">
        <v>23.0</v>
      </c>
      <c r="D156" s="316">
        <f>(D155/C155)-1</f>
        <v>0.8591307067</v>
      </c>
      <c r="E156" s="648"/>
      <c r="F156" s="649"/>
      <c r="G156" s="317">
        <f>COUNT(G157:G169)</f>
        <v>13</v>
      </c>
      <c r="H156" s="317"/>
      <c r="I156" s="319">
        <f>G155/G156</f>
        <v>198846.1538</v>
      </c>
      <c r="J156" s="320"/>
      <c r="K156" s="322"/>
    </row>
    <row r="157" hidden="1" outlineLevel="1">
      <c r="A157" s="610">
        <v>7.1</v>
      </c>
      <c r="B157" s="382" t="s">
        <v>537</v>
      </c>
      <c r="C157" s="650"/>
      <c r="D157" s="301"/>
      <c r="E157" s="368">
        <v>437000.0</v>
      </c>
      <c r="F157" s="369"/>
      <c r="G157" s="651">
        <v>437000.0</v>
      </c>
      <c r="H157" s="470"/>
      <c r="I157" s="304"/>
      <c r="J157" s="305"/>
      <c r="K157" s="598"/>
    </row>
    <row r="158" hidden="1" outlineLevel="1">
      <c r="A158" s="536">
        <v>7.2</v>
      </c>
      <c r="B158" s="375" t="s">
        <v>538</v>
      </c>
      <c r="C158" s="652"/>
      <c r="D158" s="653"/>
      <c r="E158" s="390">
        <v>437000.0</v>
      </c>
      <c r="F158" s="393"/>
      <c r="G158" s="654">
        <v>437000.0</v>
      </c>
      <c r="H158" s="421"/>
      <c r="I158" s="442"/>
      <c r="J158" s="467"/>
      <c r="K158" s="596"/>
    </row>
    <row r="159" outlineLevel="1">
      <c r="A159" s="610">
        <v>7.3</v>
      </c>
      <c r="B159" s="382" t="s">
        <v>539</v>
      </c>
      <c r="C159" s="650"/>
      <c r="D159" s="301"/>
      <c r="E159" s="368">
        <v>160000.0</v>
      </c>
      <c r="F159" s="369"/>
      <c r="G159" s="651">
        <v>160000.0</v>
      </c>
      <c r="H159" s="470">
        <v>160000.0</v>
      </c>
      <c r="I159" s="304"/>
      <c r="J159" s="305"/>
      <c r="K159" s="598"/>
    </row>
    <row r="160" hidden="1" outlineLevel="1">
      <c r="A160" s="536">
        <v>7.4</v>
      </c>
      <c r="B160" s="375" t="s">
        <v>540</v>
      </c>
      <c r="C160" s="652"/>
      <c r="D160" s="653"/>
      <c r="E160" s="390">
        <v>149000.0</v>
      </c>
      <c r="F160" s="393"/>
      <c r="G160" s="654">
        <v>149000.0</v>
      </c>
      <c r="H160" s="421"/>
      <c r="I160" s="442"/>
      <c r="J160" s="467"/>
      <c r="K160" s="596"/>
    </row>
    <row r="161" hidden="1" outlineLevel="1">
      <c r="A161" s="610">
        <v>7.5</v>
      </c>
      <c r="B161" s="382" t="s">
        <v>541</v>
      </c>
      <c r="C161" s="650"/>
      <c r="D161" s="301"/>
      <c r="E161" s="368">
        <v>149000.0</v>
      </c>
      <c r="F161" s="369"/>
      <c r="G161" s="651">
        <v>149000.0</v>
      </c>
      <c r="H161" s="470"/>
      <c r="I161" s="304"/>
      <c r="J161" s="305"/>
      <c r="K161" s="598"/>
    </row>
    <row r="162" hidden="1" outlineLevel="1">
      <c r="A162" s="536">
        <v>7.6</v>
      </c>
      <c r="B162" s="375" t="s">
        <v>542</v>
      </c>
      <c r="C162" s="652"/>
      <c r="D162" s="653"/>
      <c r="E162" s="390">
        <v>149000.0</v>
      </c>
      <c r="F162" s="393"/>
      <c r="G162" s="654">
        <v>149000.0</v>
      </c>
      <c r="H162" s="421"/>
      <c r="I162" s="442"/>
      <c r="J162" s="467"/>
      <c r="K162" s="596"/>
    </row>
    <row r="163" hidden="1" outlineLevel="1">
      <c r="A163" s="610">
        <v>7.69999999999999</v>
      </c>
      <c r="B163" s="382" t="s">
        <v>543</v>
      </c>
      <c r="C163" s="650"/>
      <c r="D163" s="301"/>
      <c r="E163" s="368">
        <v>149000.0</v>
      </c>
      <c r="F163" s="369"/>
      <c r="G163" s="651">
        <v>149000.0</v>
      </c>
      <c r="H163" s="470"/>
      <c r="I163" s="304"/>
      <c r="J163" s="305"/>
      <c r="K163" s="598"/>
    </row>
    <row r="164" outlineLevel="1">
      <c r="A164" s="536">
        <v>7.79999999999999</v>
      </c>
      <c r="B164" s="375" t="s">
        <v>544</v>
      </c>
      <c r="C164" s="652"/>
      <c r="D164" s="653"/>
      <c r="E164" s="390">
        <v>159000.0</v>
      </c>
      <c r="F164" s="393"/>
      <c r="G164" s="654">
        <v>159000.0</v>
      </c>
      <c r="H164" s="421">
        <v>159000.0</v>
      </c>
      <c r="I164" s="442"/>
      <c r="J164" s="467"/>
      <c r="K164" s="596"/>
    </row>
    <row r="165" outlineLevel="1">
      <c r="A165" s="610">
        <v>7.89999999999999</v>
      </c>
      <c r="B165" s="382" t="s">
        <v>545</v>
      </c>
      <c r="C165" s="650"/>
      <c r="D165" s="301"/>
      <c r="E165" s="368">
        <v>159000.0</v>
      </c>
      <c r="F165" s="369"/>
      <c r="G165" s="651">
        <v>159000.0</v>
      </c>
      <c r="H165" s="470">
        <v>159000.0</v>
      </c>
      <c r="I165" s="304"/>
      <c r="J165" s="305"/>
      <c r="K165" s="598"/>
    </row>
    <row r="166" hidden="1" outlineLevel="1">
      <c r="A166" s="655" t="s">
        <v>546</v>
      </c>
      <c r="B166" s="375" t="s">
        <v>547</v>
      </c>
      <c r="C166" s="652"/>
      <c r="D166" s="653"/>
      <c r="E166" s="390">
        <v>160000.0</v>
      </c>
      <c r="F166" s="393"/>
      <c r="G166" s="654">
        <v>160000.0</v>
      </c>
      <c r="H166" s="421"/>
      <c r="I166" s="442"/>
      <c r="J166" s="467"/>
      <c r="K166" s="596"/>
    </row>
    <row r="167" hidden="1" outlineLevel="1">
      <c r="A167" s="610">
        <v>7.11</v>
      </c>
      <c r="B167" s="382" t="s">
        <v>548</v>
      </c>
      <c r="C167" s="650"/>
      <c r="D167" s="301"/>
      <c r="E167" s="368">
        <v>167000.0</v>
      </c>
      <c r="F167" s="369"/>
      <c r="G167" s="651">
        <v>167000.0</v>
      </c>
      <c r="H167" s="470"/>
      <c r="I167" s="304"/>
      <c r="J167" s="305"/>
      <c r="K167" s="598"/>
    </row>
    <row r="168" hidden="1" outlineLevel="1">
      <c r="A168" s="536">
        <v>7.12</v>
      </c>
      <c r="B168" s="375" t="s">
        <v>549</v>
      </c>
      <c r="C168" s="652"/>
      <c r="D168" s="653"/>
      <c r="E168" s="390">
        <v>155000.0</v>
      </c>
      <c r="F168" s="393"/>
      <c r="G168" s="654">
        <v>155000.0</v>
      </c>
      <c r="H168" s="421"/>
      <c r="I168" s="442"/>
      <c r="J168" s="467"/>
      <c r="K168" s="596"/>
    </row>
    <row r="169" hidden="1" outlineLevel="1">
      <c r="A169" s="610">
        <v>7.13</v>
      </c>
      <c r="B169" s="382" t="s">
        <v>550</v>
      </c>
      <c r="C169" s="650"/>
      <c r="D169" s="301"/>
      <c r="E169" s="368">
        <v>155000.0</v>
      </c>
      <c r="F169" s="369"/>
      <c r="G169" s="651">
        <v>155000.0</v>
      </c>
      <c r="H169" s="470"/>
      <c r="I169" s="304"/>
      <c r="J169" s="305"/>
      <c r="K169" s="598"/>
    </row>
    <row r="170" hidden="1" outlineLevel="1">
      <c r="A170" s="536"/>
      <c r="B170" s="633"/>
      <c r="C170" s="652"/>
      <c r="D170" s="653"/>
      <c r="E170" s="390"/>
      <c r="F170" s="393"/>
      <c r="G170" s="675"/>
      <c r="H170" s="676"/>
      <c r="I170" s="442"/>
      <c r="J170" s="467"/>
      <c r="K170" s="596"/>
    </row>
    <row r="171" hidden="1">
      <c r="A171" s="294">
        <v>8.0</v>
      </c>
      <c r="B171" s="296" t="s">
        <v>551</v>
      </c>
      <c r="C171" s="299">
        <f>8*200000+12*150000+16*110000</f>
        <v>5160000</v>
      </c>
      <c r="D171" s="300">
        <f>C172*I172</f>
        <v>11594769.23</v>
      </c>
      <c r="E171" s="368"/>
      <c r="F171" s="369">
        <f>SUM(E173:E204)</f>
        <v>8374000</v>
      </c>
      <c r="G171" s="301">
        <f>SUM(G173:G206)</f>
        <v>8374000</v>
      </c>
      <c r="H171" s="302"/>
      <c r="I171" s="304">
        <f>G171-D171</f>
        <v>-3220769.231</v>
      </c>
      <c r="J171" s="305" t="s">
        <v>552</v>
      </c>
      <c r="K171" s="306"/>
    </row>
    <row r="172" hidden="1" collapsed="1">
      <c r="A172" s="307"/>
      <c r="B172" s="308" t="s">
        <v>553</v>
      </c>
      <c r="C172" s="309">
        <v>36.0</v>
      </c>
      <c r="D172" s="316">
        <f>(D171/C171)-1</f>
        <v>1.247048301</v>
      </c>
      <c r="E172" s="648"/>
      <c r="F172" s="649"/>
      <c r="G172" s="317">
        <f>COUNT(G173:G196,G203:G204)</f>
        <v>26</v>
      </c>
      <c r="H172" s="317"/>
      <c r="I172" s="319">
        <f>G171/G172</f>
        <v>322076.9231</v>
      </c>
      <c r="J172" s="320"/>
      <c r="K172" s="322"/>
    </row>
    <row r="173" hidden="1" outlineLevel="1">
      <c r="A173" s="610">
        <v>8.1</v>
      </c>
      <c r="B173" s="382" t="s">
        <v>554</v>
      </c>
      <c r="C173" s="650"/>
      <c r="D173" s="301"/>
      <c r="E173" s="368">
        <v>259000.0</v>
      </c>
      <c r="F173" s="696"/>
      <c r="G173" s="651">
        <v>259000.0</v>
      </c>
      <c r="H173" s="470"/>
      <c r="I173" s="304"/>
      <c r="J173" s="305"/>
      <c r="K173" s="598"/>
    </row>
    <row r="174" hidden="1" outlineLevel="1">
      <c r="A174" s="536">
        <v>8.2</v>
      </c>
      <c r="B174" s="375" t="s">
        <v>555</v>
      </c>
      <c r="C174" s="652"/>
      <c r="D174" s="653"/>
      <c r="E174" s="390">
        <v>276000.0</v>
      </c>
      <c r="F174" s="697"/>
      <c r="G174" s="654">
        <v>276000.0</v>
      </c>
      <c r="H174" s="421"/>
      <c r="I174" s="442"/>
      <c r="J174" s="467"/>
      <c r="K174" s="596"/>
    </row>
    <row r="175" hidden="1" outlineLevel="1">
      <c r="A175" s="610">
        <v>8.3</v>
      </c>
      <c r="B175" s="382" t="s">
        <v>556</v>
      </c>
      <c r="C175" s="650"/>
      <c r="D175" s="301"/>
      <c r="E175" s="368">
        <v>294000.0</v>
      </c>
      <c r="F175" s="696"/>
      <c r="G175" s="651">
        <v>294000.0</v>
      </c>
      <c r="H175" s="470"/>
      <c r="I175" s="304"/>
      <c r="J175" s="305"/>
      <c r="K175" s="598"/>
    </row>
    <row r="176" hidden="1" outlineLevel="1">
      <c r="A176" s="536">
        <v>8.4</v>
      </c>
      <c r="B176" s="375" t="s">
        <v>557</v>
      </c>
      <c r="C176" s="652"/>
      <c r="D176" s="653"/>
      <c r="E176" s="390">
        <v>311000.0</v>
      </c>
      <c r="F176" s="697"/>
      <c r="G176" s="654">
        <v>311000.0</v>
      </c>
      <c r="H176" s="421"/>
      <c r="I176" s="442"/>
      <c r="J176" s="467"/>
      <c r="K176" s="596"/>
    </row>
    <row r="177" hidden="1" outlineLevel="1">
      <c r="A177" s="610">
        <v>8.5</v>
      </c>
      <c r="B177" s="382" t="s">
        <v>558</v>
      </c>
      <c r="C177" s="650"/>
      <c r="D177" s="301"/>
      <c r="E177" s="368">
        <v>342000.0</v>
      </c>
      <c r="F177" s="696"/>
      <c r="G177" s="651">
        <v>342000.0</v>
      </c>
      <c r="H177" s="470"/>
      <c r="I177" s="304"/>
      <c r="J177" s="305"/>
      <c r="K177" s="598"/>
    </row>
    <row r="178" hidden="1" outlineLevel="1">
      <c r="A178" s="536">
        <v>8.6</v>
      </c>
      <c r="B178" s="375" t="s">
        <v>559</v>
      </c>
      <c r="C178" s="652"/>
      <c r="D178" s="653"/>
      <c r="E178" s="390">
        <v>328000.0</v>
      </c>
      <c r="F178" s="697"/>
      <c r="G178" s="654">
        <v>328000.0</v>
      </c>
      <c r="H178" s="421"/>
      <c r="I178" s="442"/>
      <c r="J178" s="467"/>
      <c r="K178" s="596"/>
    </row>
    <row r="179" hidden="1" outlineLevel="1">
      <c r="A179" s="610">
        <v>8.7</v>
      </c>
      <c r="B179" s="382" t="s">
        <v>560</v>
      </c>
      <c r="C179" s="650"/>
      <c r="D179" s="301"/>
      <c r="E179" s="368">
        <v>340000.0</v>
      </c>
      <c r="F179" s="696"/>
      <c r="G179" s="651">
        <v>340000.0</v>
      </c>
      <c r="H179" s="470"/>
      <c r="I179" s="304"/>
      <c r="J179" s="305"/>
      <c r="K179" s="598"/>
    </row>
    <row r="180" hidden="1" outlineLevel="1">
      <c r="A180" s="536">
        <v>8.8</v>
      </c>
      <c r="B180" s="375" t="s">
        <v>561</v>
      </c>
      <c r="C180" s="652"/>
      <c r="D180" s="653"/>
      <c r="E180" s="390">
        <v>358000.0</v>
      </c>
      <c r="F180" s="697"/>
      <c r="G180" s="654">
        <v>358000.0</v>
      </c>
      <c r="H180" s="421"/>
      <c r="I180" s="442"/>
      <c r="J180" s="467"/>
      <c r="K180" s="596"/>
    </row>
    <row r="181" hidden="1" outlineLevel="1">
      <c r="A181" s="610">
        <v>8.9</v>
      </c>
      <c r="B181" s="382" t="s">
        <v>562</v>
      </c>
      <c r="C181" s="650"/>
      <c r="D181" s="301"/>
      <c r="E181" s="368">
        <v>414000.0</v>
      </c>
      <c r="F181" s="696"/>
      <c r="G181" s="651">
        <v>414000.0</v>
      </c>
      <c r="H181" s="470"/>
      <c r="I181" s="304"/>
      <c r="J181" s="305"/>
      <c r="K181" s="598"/>
    </row>
    <row r="182" outlineLevel="1">
      <c r="A182" s="655" t="s">
        <v>563</v>
      </c>
      <c r="B182" s="375" t="s">
        <v>564</v>
      </c>
      <c r="C182" s="652"/>
      <c r="D182" s="653"/>
      <c r="E182" s="390">
        <v>413000.0</v>
      </c>
      <c r="F182" s="697"/>
      <c r="G182" s="654">
        <v>413000.0</v>
      </c>
      <c r="H182" s="421">
        <v>413000.0</v>
      </c>
      <c r="I182" s="442"/>
      <c r="J182" s="467"/>
      <c r="K182" s="596"/>
    </row>
    <row r="183" outlineLevel="1">
      <c r="A183" s="610">
        <v>8.11</v>
      </c>
      <c r="B183" s="382" t="s">
        <v>565</v>
      </c>
      <c r="C183" s="650"/>
      <c r="D183" s="301"/>
      <c r="E183" s="368">
        <v>440000.0</v>
      </c>
      <c r="F183" s="696"/>
      <c r="G183" s="651">
        <v>440000.0</v>
      </c>
      <c r="H183" s="470">
        <v>440000.0</v>
      </c>
      <c r="I183" s="304"/>
      <c r="J183" s="305"/>
      <c r="K183" s="598"/>
    </row>
    <row r="184" outlineLevel="1">
      <c r="A184" s="536">
        <v>8.12</v>
      </c>
      <c r="B184" s="375" t="s">
        <v>566</v>
      </c>
      <c r="C184" s="652"/>
      <c r="D184" s="653"/>
      <c r="E184" s="390">
        <v>326000.0</v>
      </c>
      <c r="F184" s="697"/>
      <c r="G184" s="654">
        <v>326000.0</v>
      </c>
      <c r="H184" s="421">
        <v>326000.0</v>
      </c>
      <c r="I184" s="442"/>
      <c r="J184" s="467"/>
      <c r="K184" s="596"/>
    </row>
    <row r="185" outlineLevel="1">
      <c r="A185" s="610">
        <v>8.13</v>
      </c>
      <c r="B185" s="382" t="s">
        <v>567</v>
      </c>
      <c r="C185" s="650"/>
      <c r="D185" s="301"/>
      <c r="E185" s="368">
        <v>309000.0</v>
      </c>
      <c r="F185" s="696"/>
      <c r="G185" s="651">
        <v>309000.0</v>
      </c>
      <c r="H185" s="470">
        <v>309000.0</v>
      </c>
      <c r="I185" s="304"/>
      <c r="J185" s="305"/>
      <c r="K185" s="598"/>
    </row>
    <row r="186" outlineLevel="1">
      <c r="A186" s="536">
        <v>8.14</v>
      </c>
      <c r="B186" s="375" t="s">
        <v>568</v>
      </c>
      <c r="C186" s="652"/>
      <c r="D186" s="653"/>
      <c r="E186" s="390">
        <v>301000.0</v>
      </c>
      <c r="F186" s="697"/>
      <c r="G186" s="654">
        <v>301000.0</v>
      </c>
      <c r="H186" s="421">
        <v>301000.0</v>
      </c>
      <c r="I186" s="442"/>
      <c r="J186" s="467"/>
      <c r="K186" s="596"/>
    </row>
    <row r="187" hidden="1" outlineLevel="1">
      <c r="A187" s="610">
        <v>8.15</v>
      </c>
      <c r="B187" s="382" t="s">
        <v>569</v>
      </c>
      <c r="C187" s="650"/>
      <c r="D187" s="301"/>
      <c r="E187" s="368">
        <v>286000.0</v>
      </c>
      <c r="F187" s="696"/>
      <c r="G187" s="651">
        <v>286000.0</v>
      </c>
      <c r="H187" s="470"/>
      <c r="I187" s="304"/>
      <c r="J187" s="305"/>
      <c r="K187" s="598"/>
    </row>
    <row r="188" hidden="1" outlineLevel="1">
      <c r="A188" s="536">
        <v>8.16</v>
      </c>
      <c r="B188" s="375" t="s">
        <v>570</v>
      </c>
      <c r="C188" s="652"/>
      <c r="D188" s="653"/>
      <c r="E188" s="390">
        <v>189000.0</v>
      </c>
      <c r="F188" s="697"/>
      <c r="G188" s="654">
        <v>189000.0</v>
      </c>
      <c r="H188" s="421"/>
      <c r="I188" s="442"/>
      <c r="J188" s="467"/>
      <c r="K188" s="596"/>
    </row>
    <row r="189" hidden="1" outlineLevel="1">
      <c r="A189" s="610">
        <v>8.17</v>
      </c>
      <c r="B189" s="382" t="s">
        <v>571</v>
      </c>
      <c r="C189" s="650"/>
      <c r="D189" s="301"/>
      <c r="E189" s="368">
        <v>291000.0</v>
      </c>
      <c r="F189" s="696"/>
      <c r="G189" s="651">
        <v>291000.0</v>
      </c>
      <c r="H189" s="470"/>
      <c r="I189" s="304"/>
      <c r="J189" s="305"/>
      <c r="K189" s="598"/>
    </row>
    <row r="190" hidden="1" outlineLevel="1">
      <c r="A190" s="536">
        <v>8.18</v>
      </c>
      <c r="B190" s="375" t="s">
        <v>572</v>
      </c>
      <c r="C190" s="652"/>
      <c r="D190" s="653"/>
      <c r="E190" s="390">
        <v>291000.0</v>
      </c>
      <c r="F190" s="697"/>
      <c r="G190" s="654">
        <v>291000.0</v>
      </c>
      <c r="H190" s="421"/>
      <c r="I190" s="442"/>
      <c r="J190" s="467"/>
      <c r="K190" s="596"/>
    </row>
    <row r="191" hidden="1" outlineLevel="1">
      <c r="A191" s="610">
        <v>8.19</v>
      </c>
      <c r="B191" s="382" t="s">
        <v>573</v>
      </c>
      <c r="C191" s="650"/>
      <c r="D191" s="301"/>
      <c r="E191" s="368">
        <v>291000.0</v>
      </c>
      <c r="F191" s="696"/>
      <c r="G191" s="651">
        <v>291000.0</v>
      </c>
      <c r="H191" s="470"/>
      <c r="I191" s="304"/>
      <c r="J191" s="305"/>
      <c r="K191" s="598"/>
    </row>
    <row r="192" hidden="1" outlineLevel="1">
      <c r="A192" s="655" t="s">
        <v>574</v>
      </c>
      <c r="B192" s="375" t="s">
        <v>575</v>
      </c>
      <c r="C192" s="652"/>
      <c r="D192" s="653"/>
      <c r="E192" s="390">
        <v>282000.0</v>
      </c>
      <c r="F192" s="697"/>
      <c r="G192" s="654">
        <v>282000.0</v>
      </c>
      <c r="H192" s="421"/>
      <c r="I192" s="442"/>
      <c r="J192" s="467"/>
      <c r="K192" s="596"/>
    </row>
    <row r="193" hidden="1" outlineLevel="1">
      <c r="A193" s="610">
        <v>8.21</v>
      </c>
      <c r="B193" s="382" t="s">
        <v>576</v>
      </c>
      <c r="C193" s="650"/>
      <c r="D193" s="301"/>
      <c r="E193" s="368">
        <v>282000.0</v>
      </c>
      <c r="F193" s="696"/>
      <c r="G193" s="651">
        <v>282000.0</v>
      </c>
      <c r="H193" s="470"/>
      <c r="I193" s="304"/>
      <c r="J193" s="305"/>
      <c r="K193" s="598"/>
    </row>
    <row r="194" hidden="1" outlineLevel="1">
      <c r="A194" s="536">
        <v>8.22</v>
      </c>
      <c r="B194" s="375" t="s">
        <v>577</v>
      </c>
      <c r="C194" s="652"/>
      <c r="D194" s="653"/>
      <c r="E194" s="390">
        <v>283000.0</v>
      </c>
      <c r="F194" s="697"/>
      <c r="G194" s="654">
        <v>283000.0</v>
      </c>
      <c r="H194" s="421"/>
      <c r="I194" s="442"/>
      <c r="J194" s="467"/>
      <c r="K194" s="596"/>
    </row>
    <row r="195" hidden="1" outlineLevel="1">
      <c r="A195" s="610">
        <v>8.23</v>
      </c>
      <c r="B195" s="382" t="s">
        <v>578</v>
      </c>
      <c r="C195" s="650"/>
      <c r="D195" s="301"/>
      <c r="E195" s="368">
        <v>321000.0</v>
      </c>
      <c r="F195" s="696"/>
      <c r="G195" s="651">
        <v>321000.0</v>
      </c>
      <c r="H195" s="470"/>
      <c r="I195" s="304"/>
      <c r="J195" s="305"/>
      <c r="K195" s="598"/>
    </row>
    <row r="196" hidden="1" outlineLevel="1">
      <c r="A196" s="536">
        <v>8.24</v>
      </c>
      <c r="B196" s="375" t="s">
        <v>579</v>
      </c>
      <c r="C196" s="652"/>
      <c r="D196" s="653"/>
      <c r="E196" s="390">
        <v>387000.0</v>
      </c>
      <c r="F196" s="697"/>
      <c r="G196" s="654">
        <v>387000.0</v>
      </c>
      <c r="H196" s="421"/>
      <c r="I196" s="442"/>
      <c r="J196" s="467"/>
      <c r="K196" s="596"/>
    </row>
    <row r="197" hidden="1" outlineLevel="1">
      <c r="A197" s="610">
        <v>8.25</v>
      </c>
      <c r="B197" s="382" t="s">
        <v>580</v>
      </c>
      <c r="C197" s="650"/>
      <c r="D197" s="301"/>
      <c r="E197" s="368">
        <v>0.0</v>
      </c>
      <c r="F197" s="696"/>
      <c r="G197" s="651">
        <v>0.0</v>
      </c>
      <c r="H197" s="470"/>
      <c r="I197" s="384"/>
      <c r="J197" s="472" t="s">
        <v>581</v>
      </c>
      <c r="K197" s="598"/>
    </row>
    <row r="198" hidden="1" outlineLevel="1">
      <c r="A198" s="536">
        <v>8.26</v>
      </c>
      <c r="B198" s="375" t="s">
        <v>582</v>
      </c>
      <c r="C198" s="652"/>
      <c r="D198" s="653"/>
      <c r="E198" s="390">
        <v>0.0</v>
      </c>
      <c r="F198" s="697"/>
      <c r="G198" s="654">
        <v>0.0</v>
      </c>
      <c r="H198" s="421"/>
      <c r="I198" s="378"/>
      <c r="J198" s="471" t="s">
        <v>581</v>
      </c>
      <c r="K198" s="596"/>
    </row>
    <row r="199" hidden="1" outlineLevel="1">
      <c r="A199" s="610">
        <v>8.27</v>
      </c>
      <c r="B199" s="382" t="s">
        <v>583</v>
      </c>
      <c r="C199" s="650"/>
      <c r="D199" s="301"/>
      <c r="E199" s="368">
        <v>0.0</v>
      </c>
      <c r="F199" s="696"/>
      <c r="G199" s="651">
        <v>0.0</v>
      </c>
      <c r="H199" s="470"/>
      <c r="I199" s="384"/>
      <c r="J199" s="472" t="s">
        <v>581</v>
      </c>
      <c r="K199" s="598"/>
    </row>
    <row r="200" hidden="1" outlineLevel="1">
      <c r="A200" s="536">
        <v>8.28</v>
      </c>
      <c r="B200" s="375" t="s">
        <v>584</v>
      </c>
      <c r="C200" s="652"/>
      <c r="D200" s="653"/>
      <c r="E200" s="390">
        <v>0.0</v>
      </c>
      <c r="F200" s="697"/>
      <c r="G200" s="654">
        <v>0.0</v>
      </c>
      <c r="H200" s="421"/>
      <c r="I200" s="378"/>
      <c r="J200" s="471" t="s">
        <v>581</v>
      </c>
      <c r="K200" s="596"/>
    </row>
    <row r="201" hidden="1" outlineLevel="1">
      <c r="A201" s="610">
        <v>8.29</v>
      </c>
      <c r="B201" s="382" t="s">
        <v>585</v>
      </c>
      <c r="C201" s="650"/>
      <c r="D201" s="301"/>
      <c r="E201" s="368">
        <v>0.0</v>
      </c>
      <c r="F201" s="696"/>
      <c r="G201" s="651">
        <v>0.0</v>
      </c>
      <c r="H201" s="470"/>
      <c r="I201" s="384"/>
      <c r="J201" s="472" t="s">
        <v>581</v>
      </c>
      <c r="K201" s="598"/>
    </row>
    <row r="202" hidden="1" outlineLevel="1">
      <c r="A202" s="655" t="s">
        <v>586</v>
      </c>
      <c r="B202" s="375" t="s">
        <v>587</v>
      </c>
      <c r="C202" s="652"/>
      <c r="D202" s="653"/>
      <c r="E202" s="390">
        <v>0.0</v>
      </c>
      <c r="F202" s="697"/>
      <c r="G202" s="654">
        <v>0.0</v>
      </c>
      <c r="H202" s="421"/>
      <c r="I202" s="378"/>
      <c r="J202" s="471" t="s">
        <v>581</v>
      </c>
      <c r="K202" s="596"/>
    </row>
    <row r="203" hidden="1" outlineLevel="1">
      <c r="A203" s="610">
        <v>8.31</v>
      </c>
      <c r="B203" s="382" t="s">
        <v>588</v>
      </c>
      <c r="C203" s="650"/>
      <c r="D203" s="301"/>
      <c r="E203" s="368">
        <v>374000.0</v>
      </c>
      <c r="F203" s="696"/>
      <c r="G203" s="651">
        <v>374000.0</v>
      </c>
      <c r="H203" s="470"/>
      <c r="I203" s="304"/>
      <c r="J203" s="305"/>
      <c r="K203" s="598"/>
    </row>
    <row r="204" hidden="1" outlineLevel="1">
      <c r="A204" s="536">
        <v>8.32</v>
      </c>
      <c r="B204" s="375" t="s">
        <v>589</v>
      </c>
      <c r="C204" s="652"/>
      <c r="D204" s="653"/>
      <c r="E204" s="390">
        <v>386000.0</v>
      </c>
      <c r="F204" s="697"/>
      <c r="G204" s="654">
        <v>386000.0</v>
      </c>
      <c r="H204" s="421"/>
      <c r="I204" s="442"/>
      <c r="J204" s="467"/>
      <c r="K204" s="596"/>
    </row>
    <row r="205" hidden="1" outlineLevel="1">
      <c r="A205" s="610" t="s">
        <v>481</v>
      </c>
      <c r="B205" s="382" t="s">
        <v>590</v>
      </c>
      <c r="C205" s="650"/>
      <c r="D205" s="301"/>
      <c r="E205" s="368">
        <v>0.0</v>
      </c>
      <c r="F205" s="696"/>
      <c r="G205" s="651">
        <v>0.0</v>
      </c>
      <c r="H205" s="470"/>
      <c r="I205" s="304"/>
      <c r="J205" s="305"/>
      <c r="K205" s="598"/>
    </row>
    <row r="206" hidden="1" outlineLevel="1">
      <c r="A206" s="536" t="s">
        <v>481</v>
      </c>
      <c r="B206" s="375" t="s">
        <v>591</v>
      </c>
      <c r="C206" s="652"/>
      <c r="D206" s="653">
        <v>230000.0</v>
      </c>
      <c r="E206" s="390">
        <v>0.0</v>
      </c>
      <c r="F206" s="697"/>
      <c r="G206" s="654">
        <v>0.0</v>
      </c>
      <c r="H206" s="421"/>
      <c r="I206" s="378"/>
      <c r="J206" s="471"/>
      <c r="K206" s="596"/>
    </row>
    <row r="207" hidden="1" outlineLevel="1">
      <c r="A207" s="610"/>
      <c r="B207" s="611"/>
      <c r="C207" s="650"/>
      <c r="D207" s="301"/>
      <c r="E207" s="368"/>
      <c r="F207" s="369"/>
      <c r="G207" s="669"/>
      <c r="H207" s="670"/>
      <c r="I207" s="304"/>
      <c r="J207" s="305"/>
      <c r="K207" s="598"/>
    </row>
    <row r="208" hidden="1">
      <c r="A208" s="294">
        <v>9.0</v>
      </c>
      <c r="B208" s="296" t="s">
        <v>592</v>
      </c>
      <c r="C208" s="299">
        <f>B209*C209</f>
        <v>9450000</v>
      </c>
      <c r="D208" s="300">
        <f>C209*I209</f>
        <v>20774558.82</v>
      </c>
      <c r="E208" s="368"/>
      <c r="F208" s="369">
        <f>SUM(E210:E308)</f>
        <v>0</v>
      </c>
      <c r="G208" s="301">
        <f>SUM(G210:G315)</f>
        <v>20181000</v>
      </c>
      <c r="H208" s="302"/>
      <c r="I208" s="304">
        <f>G208-D208</f>
        <v>-593558.8235</v>
      </c>
      <c r="J208" s="305"/>
      <c r="K208" s="306"/>
    </row>
    <row r="209" hidden="1" collapsed="1">
      <c r="A209" s="307"/>
      <c r="B209" s="308">
        <v>90000.0</v>
      </c>
      <c r="C209" s="309">
        <v>105.0</v>
      </c>
      <c r="D209" s="316">
        <f>(D208/C208)-1</f>
        <v>1.198366013</v>
      </c>
      <c r="E209" s="648"/>
      <c r="F209" s="649"/>
      <c r="G209" s="317">
        <f>COUNT(G210:G311)</f>
        <v>102</v>
      </c>
      <c r="H209" s="317"/>
      <c r="I209" s="319">
        <f>G208/G209</f>
        <v>197852.9412</v>
      </c>
      <c r="J209" s="320"/>
      <c r="K209" s="322"/>
    </row>
    <row r="210" outlineLevel="1">
      <c r="A210" s="536">
        <v>9.100000000000003</v>
      </c>
      <c r="B210" s="375" t="s">
        <v>593</v>
      </c>
      <c r="C210" s="652"/>
      <c r="D210" s="653"/>
      <c r="E210" s="390">
        <v>0.0</v>
      </c>
      <c r="F210" s="393"/>
      <c r="G210" s="654">
        <v>225000.0</v>
      </c>
      <c r="H210" s="421">
        <v>225000.0</v>
      </c>
      <c r="I210" s="442"/>
      <c r="J210" s="467"/>
      <c r="K210" s="596"/>
    </row>
    <row r="211" outlineLevel="1">
      <c r="A211" s="610">
        <v>9.200000000000003</v>
      </c>
      <c r="B211" s="382" t="s">
        <v>594</v>
      </c>
      <c r="C211" s="650"/>
      <c r="D211" s="301"/>
      <c r="E211" s="368">
        <v>0.0</v>
      </c>
      <c r="F211" s="369"/>
      <c r="G211" s="651">
        <v>232000.0</v>
      </c>
      <c r="H211" s="470">
        <v>232000.0</v>
      </c>
      <c r="I211" s="304"/>
      <c r="J211" s="305"/>
      <c r="K211" s="598"/>
    </row>
    <row r="212" outlineLevel="1">
      <c r="A212" s="536">
        <v>9.300000000000002</v>
      </c>
      <c r="B212" s="375" t="s">
        <v>595</v>
      </c>
      <c r="C212" s="652"/>
      <c r="D212" s="653"/>
      <c r="E212" s="390">
        <v>0.0</v>
      </c>
      <c r="F212" s="393"/>
      <c r="G212" s="654">
        <v>189000.0</v>
      </c>
      <c r="H212" s="421">
        <v>189000.0</v>
      </c>
      <c r="I212" s="442"/>
      <c r="J212" s="467"/>
      <c r="K212" s="596"/>
    </row>
    <row r="213" outlineLevel="1">
      <c r="A213" s="610">
        <v>9.400000000000002</v>
      </c>
      <c r="B213" s="382" t="s">
        <v>596</v>
      </c>
      <c r="C213" s="650"/>
      <c r="D213" s="301"/>
      <c r="E213" s="368">
        <v>0.0</v>
      </c>
      <c r="F213" s="369"/>
      <c r="G213" s="651">
        <v>199000.0</v>
      </c>
      <c r="H213" s="470">
        <v>199000.0</v>
      </c>
      <c r="I213" s="304"/>
      <c r="J213" s="305"/>
      <c r="K213" s="598"/>
    </row>
    <row r="214" outlineLevel="1">
      <c r="A214" s="536">
        <v>9.500000000000002</v>
      </c>
      <c r="B214" s="375" t="s">
        <v>597</v>
      </c>
      <c r="C214" s="652"/>
      <c r="D214" s="653"/>
      <c r="E214" s="390">
        <v>0.0</v>
      </c>
      <c r="F214" s="393"/>
      <c r="G214" s="654">
        <v>212000.0</v>
      </c>
      <c r="H214" s="421">
        <v>212000.0</v>
      </c>
      <c r="I214" s="442"/>
      <c r="J214" s="467"/>
      <c r="K214" s="596"/>
    </row>
    <row r="215" hidden="1" outlineLevel="1">
      <c r="A215" s="610">
        <v>9.600000000000001</v>
      </c>
      <c r="B215" s="382" t="s">
        <v>598</v>
      </c>
      <c r="C215" s="650"/>
      <c r="D215" s="301"/>
      <c r="E215" s="368">
        <v>0.0</v>
      </c>
      <c r="F215" s="369"/>
      <c r="G215" s="651">
        <v>310000.0</v>
      </c>
      <c r="H215" s="470"/>
      <c r="I215" s="304"/>
      <c r="J215" s="305"/>
      <c r="K215" s="598"/>
    </row>
    <row r="216" hidden="1" outlineLevel="1">
      <c r="A216" s="536">
        <v>9.700000000000001</v>
      </c>
      <c r="B216" s="375" t="s">
        <v>599</v>
      </c>
      <c r="C216" s="652"/>
      <c r="D216" s="653"/>
      <c r="E216" s="390">
        <v>0.0</v>
      </c>
      <c r="F216" s="393"/>
      <c r="G216" s="654">
        <v>215000.0</v>
      </c>
      <c r="H216" s="421"/>
      <c r="I216" s="442"/>
      <c r="J216" s="467"/>
      <c r="K216" s="596"/>
    </row>
    <row r="217" hidden="1" outlineLevel="1">
      <c r="A217" s="610">
        <v>9.8</v>
      </c>
      <c r="B217" s="382" t="s">
        <v>600</v>
      </c>
      <c r="C217" s="650"/>
      <c r="D217" s="301"/>
      <c r="E217" s="368">
        <v>0.0</v>
      </c>
      <c r="F217" s="369"/>
      <c r="G217" s="651">
        <v>258000.0</v>
      </c>
      <c r="H217" s="470"/>
      <c r="I217" s="304"/>
      <c r="J217" s="305"/>
      <c r="K217" s="598"/>
    </row>
    <row r="218" outlineLevel="1">
      <c r="A218" s="536">
        <v>9.9</v>
      </c>
      <c r="B218" s="375" t="s">
        <v>601</v>
      </c>
      <c r="C218" s="652"/>
      <c r="D218" s="653"/>
      <c r="E218" s="390">
        <v>0.0</v>
      </c>
      <c r="F218" s="393"/>
      <c r="G218" s="654">
        <v>191000.0</v>
      </c>
      <c r="H218" s="421">
        <v>191000.0</v>
      </c>
      <c r="I218" s="442"/>
      <c r="J218" s="467"/>
      <c r="K218" s="596"/>
    </row>
    <row r="219" outlineLevel="1">
      <c r="A219" s="656" t="s">
        <v>602</v>
      </c>
      <c r="B219" s="382" t="s">
        <v>603</v>
      </c>
      <c r="C219" s="650"/>
      <c r="D219" s="301"/>
      <c r="E219" s="368">
        <v>0.0</v>
      </c>
      <c r="F219" s="369"/>
      <c r="G219" s="651">
        <v>191000.0</v>
      </c>
      <c r="H219" s="470">
        <v>191000.0</v>
      </c>
      <c r="I219" s="304"/>
      <c r="J219" s="305"/>
      <c r="K219" s="598"/>
    </row>
    <row r="220" outlineLevel="1">
      <c r="A220" s="536">
        <v>9.110000000000001</v>
      </c>
      <c r="B220" s="375" t="s">
        <v>604</v>
      </c>
      <c r="C220" s="652"/>
      <c r="D220" s="653"/>
      <c r="E220" s="390">
        <v>0.0</v>
      </c>
      <c r="F220" s="393"/>
      <c r="G220" s="654">
        <v>212000.0</v>
      </c>
      <c r="H220" s="421">
        <v>212000.0</v>
      </c>
      <c r="I220" s="442"/>
      <c r="J220" s="467"/>
      <c r="K220" s="596"/>
    </row>
    <row r="221" outlineLevel="1">
      <c r="A221" s="610">
        <v>9.120000000000001</v>
      </c>
      <c r="B221" s="382" t="s">
        <v>605</v>
      </c>
      <c r="C221" s="650"/>
      <c r="D221" s="301"/>
      <c r="E221" s="368">
        <v>0.0</v>
      </c>
      <c r="F221" s="369"/>
      <c r="G221" s="651">
        <v>185000.0</v>
      </c>
      <c r="H221" s="470">
        <v>185000.0</v>
      </c>
      <c r="I221" s="304"/>
      <c r="J221" s="305"/>
      <c r="K221" s="598"/>
    </row>
    <row r="222" outlineLevel="1">
      <c r="A222" s="536">
        <v>9.13</v>
      </c>
      <c r="B222" s="375" t="s">
        <v>606</v>
      </c>
      <c r="C222" s="652"/>
      <c r="D222" s="653"/>
      <c r="E222" s="390">
        <v>0.0</v>
      </c>
      <c r="F222" s="393"/>
      <c r="G222" s="654">
        <v>191000.0</v>
      </c>
      <c r="H222" s="421">
        <v>191000.0</v>
      </c>
      <c r="I222" s="442"/>
      <c r="J222" s="467"/>
      <c r="K222" s="596"/>
    </row>
    <row r="223" outlineLevel="1">
      <c r="A223" s="610">
        <v>9.14</v>
      </c>
      <c r="B223" s="382" t="s">
        <v>607</v>
      </c>
      <c r="C223" s="650"/>
      <c r="D223" s="301"/>
      <c r="E223" s="368">
        <v>0.0</v>
      </c>
      <c r="F223" s="369"/>
      <c r="G223" s="651">
        <v>191000.0</v>
      </c>
      <c r="H223" s="470">
        <v>191000.0</v>
      </c>
      <c r="I223" s="304"/>
      <c r="J223" s="305"/>
      <c r="K223" s="598"/>
    </row>
    <row r="224" hidden="1" outlineLevel="1">
      <c r="A224" s="536">
        <v>9.15</v>
      </c>
      <c r="B224" s="375" t="s">
        <v>608</v>
      </c>
      <c r="C224" s="652"/>
      <c r="D224" s="653"/>
      <c r="E224" s="390">
        <v>0.0</v>
      </c>
      <c r="F224" s="393"/>
      <c r="G224" s="654">
        <v>206000.0</v>
      </c>
      <c r="H224" s="421"/>
      <c r="I224" s="442"/>
      <c r="J224" s="467"/>
      <c r="K224" s="596"/>
    </row>
    <row r="225" hidden="1" outlineLevel="1">
      <c r="A225" s="610">
        <v>9.16</v>
      </c>
      <c r="B225" s="382" t="s">
        <v>609</v>
      </c>
      <c r="C225" s="650"/>
      <c r="D225" s="301"/>
      <c r="E225" s="368">
        <v>0.0</v>
      </c>
      <c r="F225" s="369"/>
      <c r="G225" s="651">
        <v>242000.0</v>
      </c>
      <c r="H225" s="470"/>
      <c r="I225" s="304"/>
      <c r="J225" s="305"/>
      <c r="K225" s="598"/>
    </row>
    <row r="226" hidden="1" outlineLevel="1">
      <c r="A226" s="536">
        <v>9.17</v>
      </c>
      <c r="B226" s="375" t="s">
        <v>610</v>
      </c>
      <c r="C226" s="652"/>
      <c r="D226" s="653"/>
      <c r="E226" s="390">
        <v>0.0</v>
      </c>
      <c r="F226" s="393"/>
      <c r="G226" s="654">
        <v>191000.0</v>
      </c>
      <c r="H226" s="421"/>
      <c r="I226" s="442"/>
      <c r="J226" s="467"/>
      <c r="K226" s="596"/>
    </row>
    <row r="227" hidden="1" outlineLevel="1">
      <c r="A227" s="610">
        <v>9.18</v>
      </c>
      <c r="B227" s="382" t="s">
        <v>611</v>
      </c>
      <c r="C227" s="650"/>
      <c r="D227" s="301"/>
      <c r="E227" s="368">
        <v>0.0</v>
      </c>
      <c r="F227" s="369"/>
      <c r="G227" s="651">
        <v>192000.0</v>
      </c>
      <c r="H227" s="470"/>
      <c r="I227" s="304"/>
      <c r="J227" s="305"/>
      <c r="K227" s="598"/>
    </row>
    <row r="228" hidden="1" outlineLevel="1">
      <c r="A228" s="536">
        <v>9.19</v>
      </c>
      <c r="B228" s="375" t="s">
        <v>612</v>
      </c>
      <c r="C228" s="652"/>
      <c r="D228" s="653"/>
      <c r="E228" s="390">
        <v>0.0</v>
      </c>
      <c r="F228" s="393"/>
      <c r="G228" s="654">
        <v>191000.0</v>
      </c>
      <c r="H228" s="421"/>
      <c r="I228" s="442"/>
      <c r="J228" s="467"/>
      <c r="K228" s="596"/>
    </row>
    <row r="229" outlineLevel="1">
      <c r="A229" s="656" t="s">
        <v>613</v>
      </c>
      <c r="B229" s="382" t="s">
        <v>614</v>
      </c>
      <c r="C229" s="650"/>
      <c r="D229" s="301"/>
      <c r="E229" s="368">
        <v>0.0</v>
      </c>
      <c r="F229" s="369"/>
      <c r="G229" s="651">
        <v>206000.0</v>
      </c>
      <c r="H229" s="470">
        <v>206000.0</v>
      </c>
      <c r="I229" s="304"/>
      <c r="J229" s="305"/>
      <c r="K229" s="598"/>
    </row>
    <row r="230" outlineLevel="1">
      <c r="A230" s="536">
        <v>9.210000000000003</v>
      </c>
      <c r="B230" s="375" t="s">
        <v>615</v>
      </c>
      <c r="C230" s="652"/>
      <c r="D230" s="653"/>
      <c r="E230" s="390">
        <v>0.0</v>
      </c>
      <c r="F230" s="393"/>
      <c r="G230" s="654">
        <v>182000.0</v>
      </c>
      <c r="H230" s="421">
        <v>182000.0</v>
      </c>
      <c r="I230" s="378"/>
      <c r="J230" s="471" t="s">
        <v>616</v>
      </c>
      <c r="K230" s="596"/>
    </row>
    <row r="231" hidden="1" outlineLevel="1">
      <c r="A231" s="610">
        <v>9.220000000000002</v>
      </c>
      <c r="B231" s="382" t="s">
        <v>617</v>
      </c>
      <c r="C231" s="650"/>
      <c r="D231" s="301"/>
      <c r="E231" s="368">
        <v>0.0</v>
      </c>
      <c r="F231" s="369"/>
      <c r="G231" s="651">
        <v>182000.0</v>
      </c>
      <c r="H231" s="470"/>
      <c r="I231" s="304"/>
      <c r="J231" s="305"/>
      <c r="K231" s="598"/>
    </row>
    <row r="232" hidden="1" outlineLevel="1">
      <c r="A232" s="536">
        <v>9.230000000000002</v>
      </c>
      <c r="B232" s="375" t="s">
        <v>618</v>
      </c>
      <c r="C232" s="652"/>
      <c r="D232" s="653"/>
      <c r="E232" s="390">
        <v>0.0</v>
      </c>
      <c r="F232" s="393"/>
      <c r="G232" s="654">
        <v>182000.0</v>
      </c>
      <c r="H232" s="421"/>
      <c r="I232" s="442"/>
      <c r="J232" s="467"/>
      <c r="K232" s="596"/>
    </row>
    <row r="233" hidden="1" outlineLevel="1">
      <c r="A233" s="610">
        <v>9.240000000000002</v>
      </c>
      <c r="B233" s="382" t="s">
        <v>619</v>
      </c>
      <c r="C233" s="650"/>
      <c r="D233" s="301"/>
      <c r="E233" s="368">
        <v>0.0</v>
      </c>
      <c r="F233" s="369"/>
      <c r="G233" s="651">
        <v>180000.0</v>
      </c>
      <c r="H233" s="470"/>
      <c r="I233" s="304"/>
      <c r="J233" s="305"/>
      <c r="K233" s="598"/>
    </row>
    <row r="234" hidden="1" outlineLevel="1">
      <c r="A234" s="536">
        <v>9.250000000000002</v>
      </c>
      <c r="B234" s="375" t="s">
        <v>620</v>
      </c>
      <c r="C234" s="652"/>
      <c r="D234" s="653"/>
      <c r="E234" s="390">
        <v>0.0</v>
      </c>
      <c r="F234" s="393"/>
      <c r="G234" s="654">
        <v>180000.0</v>
      </c>
      <c r="H234" s="421"/>
      <c r="I234" s="442"/>
      <c r="J234" s="467"/>
      <c r="K234" s="596"/>
    </row>
    <row r="235" hidden="1" outlineLevel="1">
      <c r="A235" s="610">
        <v>9.260000000000002</v>
      </c>
      <c r="B235" s="382" t="s">
        <v>621</v>
      </c>
      <c r="C235" s="650"/>
      <c r="D235" s="301"/>
      <c r="E235" s="368">
        <v>0.0</v>
      </c>
      <c r="F235" s="369"/>
      <c r="G235" s="651">
        <v>198000.0</v>
      </c>
      <c r="H235" s="470"/>
      <c r="I235" s="304"/>
      <c r="J235" s="305"/>
      <c r="K235" s="598"/>
    </row>
    <row r="236" hidden="1" outlineLevel="1">
      <c r="A236" s="536">
        <v>9.270000000000001</v>
      </c>
      <c r="B236" s="375" t="s">
        <v>622</v>
      </c>
      <c r="C236" s="652"/>
      <c r="D236" s="653"/>
      <c r="E236" s="390">
        <v>0.0</v>
      </c>
      <c r="F236" s="393"/>
      <c r="G236" s="654">
        <v>180000.0</v>
      </c>
      <c r="H236" s="421"/>
      <c r="I236" s="442"/>
      <c r="J236" s="467"/>
      <c r="K236" s="596"/>
    </row>
    <row r="237" hidden="1" outlineLevel="1">
      <c r="A237" s="610">
        <v>9.280000000000001</v>
      </c>
      <c r="B237" s="382" t="s">
        <v>623</v>
      </c>
      <c r="C237" s="650"/>
      <c r="D237" s="301"/>
      <c r="E237" s="368">
        <v>0.0</v>
      </c>
      <c r="F237" s="369"/>
      <c r="G237" s="651">
        <v>180000.0</v>
      </c>
      <c r="H237" s="470"/>
      <c r="I237" s="304"/>
      <c r="J237" s="305"/>
      <c r="K237" s="598"/>
    </row>
    <row r="238" hidden="1" outlineLevel="1">
      <c r="A238" s="536">
        <v>9.290000000000001</v>
      </c>
      <c r="B238" s="375" t="s">
        <v>624</v>
      </c>
      <c r="C238" s="652"/>
      <c r="D238" s="653"/>
      <c r="E238" s="390">
        <v>0.0</v>
      </c>
      <c r="F238" s="393"/>
      <c r="G238" s="654">
        <v>182000.0</v>
      </c>
      <c r="H238" s="421"/>
      <c r="I238" s="442"/>
      <c r="J238" s="467"/>
      <c r="K238" s="596"/>
    </row>
    <row r="239" hidden="1" outlineLevel="1">
      <c r="A239" s="656" t="s">
        <v>625</v>
      </c>
      <c r="B239" s="382" t="s">
        <v>626</v>
      </c>
      <c r="C239" s="650"/>
      <c r="D239" s="301"/>
      <c r="E239" s="368">
        <v>0.0</v>
      </c>
      <c r="F239" s="369"/>
      <c r="G239" s="651">
        <v>182000.0</v>
      </c>
      <c r="H239" s="470"/>
      <c r="I239" s="304"/>
      <c r="J239" s="305"/>
      <c r="K239" s="598"/>
    </row>
    <row r="240" hidden="1" outlineLevel="1">
      <c r="A240" s="536">
        <v>9.310000000000002</v>
      </c>
      <c r="B240" s="375" t="s">
        <v>627</v>
      </c>
      <c r="C240" s="652"/>
      <c r="D240" s="653"/>
      <c r="E240" s="390">
        <v>0.0</v>
      </c>
      <c r="F240" s="393"/>
      <c r="G240" s="654">
        <v>195000.0</v>
      </c>
      <c r="H240" s="421"/>
      <c r="I240" s="442"/>
      <c r="J240" s="467"/>
      <c r="K240" s="596"/>
    </row>
    <row r="241" hidden="1" outlineLevel="1">
      <c r="A241" s="610">
        <v>9.320000000000002</v>
      </c>
      <c r="B241" s="382" t="s">
        <v>628</v>
      </c>
      <c r="C241" s="650"/>
      <c r="D241" s="301"/>
      <c r="E241" s="368">
        <v>0.0</v>
      </c>
      <c r="F241" s="369"/>
      <c r="G241" s="651">
        <v>195000.0</v>
      </c>
      <c r="H241" s="470"/>
      <c r="I241" s="304"/>
      <c r="J241" s="305"/>
      <c r="K241" s="598"/>
    </row>
    <row r="242" hidden="1" outlineLevel="1">
      <c r="A242" s="536">
        <v>9.330000000000002</v>
      </c>
      <c r="B242" s="375" t="s">
        <v>629</v>
      </c>
      <c r="C242" s="652"/>
      <c r="D242" s="653"/>
      <c r="E242" s="390">
        <v>0.0</v>
      </c>
      <c r="F242" s="393"/>
      <c r="G242" s="654">
        <v>195000.0</v>
      </c>
      <c r="H242" s="421"/>
      <c r="I242" s="442"/>
      <c r="J242" s="467"/>
      <c r="K242" s="596"/>
    </row>
    <row r="243" hidden="1" outlineLevel="1">
      <c r="A243" s="610">
        <v>9.340000000000002</v>
      </c>
      <c r="B243" s="382" t="s">
        <v>630</v>
      </c>
      <c r="C243" s="650"/>
      <c r="D243" s="301"/>
      <c r="E243" s="368">
        <v>0.0</v>
      </c>
      <c r="F243" s="369"/>
      <c r="G243" s="651">
        <v>184000.0</v>
      </c>
      <c r="H243" s="470"/>
      <c r="I243" s="304"/>
      <c r="J243" s="305"/>
      <c r="K243" s="598"/>
    </row>
    <row r="244" hidden="1" outlineLevel="1">
      <c r="A244" s="536">
        <v>9.350000000000001</v>
      </c>
      <c r="B244" s="375" t="s">
        <v>631</v>
      </c>
      <c r="C244" s="652"/>
      <c r="D244" s="653"/>
      <c r="E244" s="390">
        <v>0.0</v>
      </c>
      <c r="F244" s="393"/>
      <c r="G244" s="654">
        <v>180000.0</v>
      </c>
      <c r="H244" s="421"/>
      <c r="I244" s="442"/>
      <c r="J244" s="467"/>
      <c r="K244" s="596"/>
    </row>
    <row r="245" hidden="1" outlineLevel="1">
      <c r="A245" s="610">
        <v>9.360000000000001</v>
      </c>
      <c r="B245" s="382" t="s">
        <v>632</v>
      </c>
      <c r="C245" s="650"/>
      <c r="D245" s="301"/>
      <c r="E245" s="368"/>
      <c r="F245" s="369"/>
      <c r="G245" s="651">
        <v>184000.0</v>
      </c>
      <c r="H245" s="470"/>
      <c r="I245" s="384"/>
      <c r="J245" s="472" t="s">
        <v>633</v>
      </c>
      <c r="K245" s="598"/>
    </row>
    <row r="246" hidden="1" outlineLevel="1">
      <c r="A246" s="536">
        <v>9.370000000000001</v>
      </c>
      <c r="B246" s="375" t="s">
        <v>634</v>
      </c>
      <c r="C246" s="652"/>
      <c r="D246" s="653"/>
      <c r="E246" s="390">
        <v>0.0</v>
      </c>
      <c r="F246" s="393"/>
      <c r="G246" s="654">
        <v>184000.0</v>
      </c>
      <c r="H246" s="421"/>
      <c r="I246" s="442"/>
      <c r="J246" s="467"/>
      <c r="K246" s="596"/>
    </row>
    <row r="247" hidden="1" outlineLevel="1">
      <c r="A247" s="610">
        <v>9.38</v>
      </c>
      <c r="B247" s="382" t="s">
        <v>635</v>
      </c>
      <c r="C247" s="650"/>
      <c r="D247" s="301"/>
      <c r="E247" s="368">
        <v>0.0</v>
      </c>
      <c r="F247" s="369"/>
      <c r="G247" s="651">
        <v>199000.0</v>
      </c>
      <c r="H247" s="470"/>
      <c r="I247" s="304"/>
      <c r="J247" s="305"/>
      <c r="K247" s="598"/>
    </row>
    <row r="248" hidden="1" outlineLevel="1">
      <c r="A248" s="536">
        <v>9.39</v>
      </c>
      <c r="B248" s="375" t="s">
        <v>636</v>
      </c>
      <c r="C248" s="652"/>
      <c r="D248" s="653"/>
      <c r="E248" s="390"/>
      <c r="F248" s="393"/>
      <c r="G248" s="654">
        <v>181000.0</v>
      </c>
      <c r="H248" s="421"/>
      <c r="I248" s="378"/>
      <c r="J248" s="471" t="s">
        <v>633</v>
      </c>
      <c r="K248" s="596"/>
    </row>
    <row r="249" hidden="1" outlineLevel="1">
      <c r="A249" s="656" t="s">
        <v>637</v>
      </c>
      <c r="B249" s="382" t="s">
        <v>638</v>
      </c>
      <c r="C249" s="650"/>
      <c r="D249" s="301"/>
      <c r="E249" s="368">
        <v>0.0</v>
      </c>
      <c r="F249" s="369"/>
      <c r="G249" s="651">
        <v>195000.0</v>
      </c>
      <c r="H249" s="470"/>
      <c r="I249" s="304"/>
      <c r="J249" s="305"/>
      <c r="K249" s="598"/>
    </row>
    <row r="250" hidden="1" outlineLevel="1">
      <c r="A250" s="536">
        <v>9.410000000000002</v>
      </c>
      <c r="B250" s="375" t="s">
        <v>639</v>
      </c>
      <c r="C250" s="652"/>
      <c r="D250" s="653"/>
      <c r="E250" s="390">
        <v>0.0</v>
      </c>
      <c r="F250" s="393"/>
      <c r="G250" s="654">
        <v>195000.0</v>
      </c>
      <c r="H250" s="421"/>
      <c r="I250" s="442"/>
      <c r="J250" s="467"/>
      <c r="K250" s="596"/>
    </row>
    <row r="251" hidden="1" outlineLevel="1">
      <c r="A251" s="610">
        <v>9.420000000000002</v>
      </c>
      <c r="B251" s="382" t="s">
        <v>640</v>
      </c>
      <c r="C251" s="650"/>
      <c r="D251" s="301"/>
      <c r="E251" s="368">
        <v>0.0</v>
      </c>
      <c r="F251" s="369"/>
      <c r="G251" s="651">
        <v>180000.0</v>
      </c>
      <c r="H251" s="470"/>
      <c r="I251" s="304"/>
      <c r="J251" s="305"/>
      <c r="K251" s="598"/>
    </row>
    <row r="252" hidden="1" outlineLevel="1">
      <c r="A252" s="536">
        <v>9.430000000000001</v>
      </c>
      <c r="B252" s="375" t="s">
        <v>641</v>
      </c>
      <c r="C252" s="652"/>
      <c r="D252" s="653"/>
      <c r="E252" s="390">
        <v>0.0</v>
      </c>
      <c r="F252" s="393"/>
      <c r="G252" s="654">
        <v>179000.0</v>
      </c>
      <c r="H252" s="421"/>
      <c r="I252" s="442"/>
      <c r="J252" s="467"/>
      <c r="K252" s="596"/>
    </row>
    <row r="253" hidden="1" outlineLevel="1">
      <c r="A253" s="610">
        <v>9.440000000000001</v>
      </c>
      <c r="B253" s="382" t="s">
        <v>642</v>
      </c>
      <c r="C253" s="650"/>
      <c r="D253" s="301"/>
      <c r="E253" s="368">
        <v>0.0</v>
      </c>
      <c r="F253" s="369"/>
      <c r="G253" s="651">
        <v>226000.0</v>
      </c>
      <c r="H253" s="470"/>
      <c r="I253" s="304"/>
      <c r="J253" s="305"/>
      <c r="K253" s="598"/>
    </row>
    <row r="254" hidden="1" outlineLevel="1">
      <c r="A254" s="536">
        <v>9.450000000000001</v>
      </c>
      <c r="B254" s="375" t="s">
        <v>643</v>
      </c>
      <c r="C254" s="652"/>
      <c r="D254" s="653"/>
      <c r="E254" s="390">
        <v>0.0</v>
      </c>
      <c r="F254" s="393"/>
      <c r="G254" s="654">
        <v>180000.0</v>
      </c>
      <c r="H254" s="421"/>
      <c r="I254" s="442"/>
      <c r="J254" s="467"/>
      <c r="K254" s="596"/>
    </row>
    <row r="255" hidden="1" outlineLevel="1">
      <c r="A255" s="610">
        <v>9.46</v>
      </c>
      <c r="B255" s="382" t="s">
        <v>644</v>
      </c>
      <c r="C255" s="650"/>
      <c r="D255" s="301"/>
      <c r="E255" s="368">
        <v>0.0</v>
      </c>
      <c r="F255" s="369"/>
      <c r="G255" s="651">
        <v>180000.0</v>
      </c>
      <c r="H255" s="470"/>
      <c r="I255" s="304"/>
      <c r="J255" s="305"/>
      <c r="K255" s="598"/>
    </row>
    <row r="256" hidden="1" outlineLevel="1">
      <c r="A256" s="536">
        <v>9.47</v>
      </c>
      <c r="B256" s="375" t="s">
        <v>645</v>
      </c>
      <c r="C256" s="652"/>
      <c r="D256" s="653"/>
      <c r="E256" s="390">
        <v>0.0</v>
      </c>
      <c r="F256" s="393"/>
      <c r="G256" s="654">
        <v>180000.0</v>
      </c>
      <c r="H256" s="421"/>
      <c r="I256" s="378"/>
      <c r="J256" s="471" t="s">
        <v>616</v>
      </c>
      <c r="K256" s="596"/>
    </row>
    <row r="257" hidden="1" outlineLevel="1">
      <c r="A257" s="610">
        <v>9.48</v>
      </c>
      <c r="B257" s="382" t="s">
        <v>646</v>
      </c>
      <c r="C257" s="650"/>
      <c r="D257" s="301"/>
      <c r="E257" s="368">
        <v>0.0</v>
      </c>
      <c r="F257" s="369"/>
      <c r="G257" s="651">
        <v>228000.0</v>
      </c>
      <c r="H257" s="470"/>
      <c r="I257" s="384"/>
      <c r="J257" s="472" t="s">
        <v>616</v>
      </c>
      <c r="K257" s="598"/>
    </row>
    <row r="258" hidden="1" outlineLevel="1">
      <c r="A258" s="536">
        <v>9.49</v>
      </c>
      <c r="B258" s="375" t="s">
        <v>647</v>
      </c>
      <c r="C258" s="652"/>
      <c r="D258" s="653"/>
      <c r="E258" s="390">
        <v>0.0</v>
      </c>
      <c r="F258" s="393"/>
      <c r="G258" s="654">
        <v>179000.0</v>
      </c>
      <c r="H258" s="421"/>
      <c r="I258" s="442"/>
      <c r="J258" s="467"/>
      <c r="K258" s="596"/>
    </row>
    <row r="259" hidden="1" outlineLevel="1">
      <c r="A259" s="656" t="s">
        <v>648</v>
      </c>
      <c r="B259" s="382" t="s">
        <v>649</v>
      </c>
      <c r="C259" s="650"/>
      <c r="D259" s="301"/>
      <c r="E259" s="368">
        <v>0.0</v>
      </c>
      <c r="F259" s="369"/>
      <c r="G259" s="651">
        <v>168000.0</v>
      </c>
      <c r="H259" s="470"/>
      <c r="I259" s="304"/>
      <c r="J259" s="305"/>
      <c r="K259" s="598"/>
    </row>
    <row r="260" hidden="1" outlineLevel="1">
      <c r="A260" s="536">
        <v>9.510000000000002</v>
      </c>
      <c r="B260" s="375" t="s">
        <v>650</v>
      </c>
      <c r="C260" s="652"/>
      <c r="D260" s="653"/>
      <c r="E260" s="390">
        <v>0.0</v>
      </c>
      <c r="F260" s="393"/>
      <c r="G260" s="654">
        <v>169000.0</v>
      </c>
      <c r="H260" s="421"/>
      <c r="I260" s="442"/>
      <c r="J260" s="467"/>
      <c r="K260" s="596"/>
    </row>
    <row r="261" hidden="1" outlineLevel="1">
      <c r="A261" s="610">
        <v>9.520000000000001</v>
      </c>
      <c r="B261" s="382" t="s">
        <v>651</v>
      </c>
      <c r="C261" s="650"/>
      <c r="D261" s="301"/>
      <c r="E261" s="368">
        <v>0.0</v>
      </c>
      <c r="F261" s="369"/>
      <c r="G261" s="651">
        <v>169000.0</v>
      </c>
      <c r="H261" s="470"/>
      <c r="I261" s="304"/>
      <c r="J261" s="305"/>
      <c r="K261" s="598"/>
    </row>
    <row r="262" hidden="1" outlineLevel="1">
      <c r="A262" s="536">
        <v>9.530000000000001</v>
      </c>
      <c r="B262" s="375" t="s">
        <v>652</v>
      </c>
      <c r="C262" s="652"/>
      <c r="D262" s="653"/>
      <c r="E262" s="390">
        <v>0.0</v>
      </c>
      <c r="F262" s="393"/>
      <c r="G262" s="654">
        <v>203000.0</v>
      </c>
      <c r="H262" s="421"/>
      <c r="I262" s="378"/>
      <c r="J262" s="471" t="s">
        <v>616</v>
      </c>
      <c r="K262" s="596"/>
    </row>
    <row r="263" hidden="1" outlineLevel="1">
      <c r="A263" s="610">
        <v>9.540000000000001</v>
      </c>
      <c r="B263" s="382" t="s">
        <v>653</v>
      </c>
      <c r="C263" s="650"/>
      <c r="D263" s="301"/>
      <c r="E263" s="368">
        <v>0.0</v>
      </c>
      <c r="F263" s="369"/>
      <c r="G263" s="651">
        <v>174000.0</v>
      </c>
      <c r="H263" s="470"/>
      <c r="I263" s="384"/>
      <c r="J263" s="472" t="s">
        <v>616</v>
      </c>
      <c r="K263" s="598"/>
    </row>
    <row r="264" hidden="1" outlineLevel="1">
      <c r="A264" s="536">
        <v>9.55</v>
      </c>
      <c r="B264" s="375" t="s">
        <v>654</v>
      </c>
      <c r="C264" s="652"/>
      <c r="D264" s="653"/>
      <c r="E264" s="390">
        <v>0.0</v>
      </c>
      <c r="F264" s="393"/>
      <c r="G264" s="654">
        <v>175000.0</v>
      </c>
      <c r="H264" s="421"/>
      <c r="I264" s="442"/>
      <c r="J264" s="467"/>
      <c r="K264" s="596"/>
    </row>
    <row r="265" hidden="1" outlineLevel="1">
      <c r="A265" s="610">
        <v>9.56</v>
      </c>
      <c r="B265" s="382" t="s">
        <v>655</v>
      </c>
      <c r="C265" s="650"/>
      <c r="D265" s="301"/>
      <c r="E265" s="368">
        <v>0.0</v>
      </c>
      <c r="F265" s="369"/>
      <c r="G265" s="651">
        <v>207000.0</v>
      </c>
      <c r="H265" s="470"/>
      <c r="I265" s="304"/>
      <c r="J265" s="305"/>
      <c r="K265" s="598"/>
    </row>
    <row r="266" hidden="1" outlineLevel="1">
      <c r="A266" s="536">
        <v>9.57</v>
      </c>
      <c r="B266" s="375" t="s">
        <v>656</v>
      </c>
      <c r="C266" s="652"/>
      <c r="D266" s="653"/>
      <c r="E266" s="390">
        <v>0.0</v>
      </c>
      <c r="F266" s="393"/>
      <c r="G266" s="654">
        <v>169000.0</v>
      </c>
      <c r="H266" s="421"/>
      <c r="I266" s="442"/>
      <c r="J266" s="467"/>
      <c r="K266" s="596"/>
    </row>
    <row r="267" hidden="1" outlineLevel="1">
      <c r="A267" s="610">
        <v>9.58</v>
      </c>
      <c r="B267" s="382" t="s">
        <v>657</v>
      </c>
      <c r="C267" s="650"/>
      <c r="D267" s="301"/>
      <c r="E267" s="368">
        <v>0.0</v>
      </c>
      <c r="F267" s="369"/>
      <c r="G267" s="651">
        <v>168000.0</v>
      </c>
      <c r="H267" s="470"/>
      <c r="I267" s="304"/>
      <c r="J267" s="305"/>
      <c r="K267" s="598"/>
    </row>
    <row r="268" outlineLevel="1">
      <c r="A268" s="536">
        <v>9.59</v>
      </c>
      <c r="B268" s="375" t="s">
        <v>658</v>
      </c>
      <c r="C268" s="652"/>
      <c r="D268" s="653"/>
      <c r="E268" s="390">
        <v>0.0</v>
      </c>
      <c r="F268" s="393"/>
      <c r="G268" s="654">
        <v>162000.0</v>
      </c>
      <c r="H268" s="421">
        <v>162000.0</v>
      </c>
      <c r="I268" s="442"/>
      <c r="J268" s="467"/>
      <c r="K268" s="596"/>
    </row>
    <row r="269" outlineLevel="1">
      <c r="A269" s="656" t="s">
        <v>659</v>
      </c>
      <c r="B269" s="382" t="s">
        <v>660</v>
      </c>
      <c r="C269" s="650"/>
      <c r="D269" s="301"/>
      <c r="E269" s="368">
        <v>0.0</v>
      </c>
      <c r="F269" s="369"/>
      <c r="G269" s="651">
        <v>169000.0</v>
      </c>
      <c r="H269" s="470">
        <v>169000.0</v>
      </c>
      <c r="I269" s="304"/>
      <c r="J269" s="305"/>
      <c r="K269" s="598"/>
    </row>
    <row r="270" outlineLevel="1">
      <c r="A270" s="536">
        <v>9.610000000000001</v>
      </c>
      <c r="B270" s="375" t="s">
        <v>661</v>
      </c>
      <c r="C270" s="652"/>
      <c r="D270" s="653"/>
      <c r="E270" s="390">
        <v>0.0</v>
      </c>
      <c r="F270" s="393"/>
      <c r="G270" s="654">
        <v>204000.0</v>
      </c>
      <c r="H270" s="421">
        <v>204000.0</v>
      </c>
      <c r="I270" s="442"/>
      <c r="J270" s="467"/>
      <c r="K270" s="596"/>
    </row>
    <row r="271" outlineLevel="1">
      <c r="A271" s="610">
        <v>9.620000000000001</v>
      </c>
      <c r="B271" s="382" t="s">
        <v>662</v>
      </c>
      <c r="C271" s="650"/>
      <c r="D271" s="301"/>
      <c r="E271" s="368">
        <v>0.0</v>
      </c>
      <c r="F271" s="369"/>
      <c r="G271" s="651">
        <v>162000.0</v>
      </c>
      <c r="H271" s="470">
        <v>162000.0</v>
      </c>
      <c r="I271" s="304"/>
      <c r="J271" s="305"/>
      <c r="K271" s="598"/>
    </row>
    <row r="272" outlineLevel="1">
      <c r="A272" s="536">
        <v>9.63</v>
      </c>
      <c r="B272" s="375" t="s">
        <v>663</v>
      </c>
      <c r="C272" s="652"/>
      <c r="D272" s="653"/>
      <c r="E272" s="390">
        <v>0.0</v>
      </c>
      <c r="F272" s="393"/>
      <c r="G272" s="654">
        <v>168000.0</v>
      </c>
      <c r="H272" s="421">
        <v>168000.0</v>
      </c>
      <c r="I272" s="442"/>
      <c r="J272" s="467"/>
      <c r="K272" s="596"/>
    </row>
    <row r="273" hidden="1" outlineLevel="1">
      <c r="A273" s="610">
        <v>9.64</v>
      </c>
      <c r="B273" s="382" t="s">
        <v>664</v>
      </c>
      <c r="C273" s="650"/>
      <c r="D273" s="301"/>
      <c r="E273" s="368">
        <v>0.0</v>
      </c>
      <c r="F273" s="369"/>
      <c r="G273" s="651">
        <v>209000.0</v>
      </c>
      <c r="H273" s="470"/>
      <c r="I273" s="304"/>
      <c r="J273" s="305"/>
      <c r="K273" s="598"/>
    </row>
    <row r="274" hidden="1" outlineLevel="1">
      <c r="A274" s="536">
        <v>9.65</v>
      </c>
      <c r="B274" s="375" t="s">
        <v>665</v>
      </c>
      <c r="C274" s="652"/>
      <c r="D274" s="653"/>
      <c r="E274" s="390">
        <v>0.0</v>
      </c>
      <c r="F274" s="393"/>
      <c r="G274" s="654">
        <v>201000.0</v>
      </c>
      <c r="H274" s="421"/>
      <c r="I274" s="442"/>
      <c r="J274" s="467"/>
      <c r="K274" s="596"/>
    </row>
    <row r="275" hidden="1" outlineLevel="1">
      <c r="A275" s="610">
        <v>9.66</v>
      </c>
      <c r="B275" s="382" t="s">
        <v>666</v>
      </c>
      <c r="C275" s="650"/>
      <c r="D275" s="301"/>
      <c r="E275" s="368">
        <v>0.0</v>
      </c>
      <c r="F275" s="369"/>
      <c r="G275" s="651">
        <v>186000.0</v>
      </c>
      <c r="H275" s="470"/>
      <c r="I275" s="384"/>
      <c r="J275" s="472" t="s">
        <v>616</v>
      </c>
      <c r="K275" s="598"/>
    </row>
    <row r="276" hidden="1" outlineLevel="1">
      <c r="A276" s="536">
        <v>9.67</v>
      </c>
      <c r="B276" s="375" t="s">
        <v>667</v>
      </c>
      <c r="C276" s="652"/>
      <c r="D276" s="653"/>
      <c r="E276" s="390">
        <v>0.0</v>
      </c>
      <c r="F276" s="393"/>
      <c r="G276" s="654">
        <v>186000.0</v>
      </c>
      <c r="H276" s="421"/>
      <c r="I276" s="442"/>
      <c r="J276" s="467"/>
      <c r="K276" s="596"/>
    </row>
    <row r="277" hidden="1" outlineLevel="1">
      <c r="A277" s="610">
        <v>9.68</v>
      </c>
      <c r="B277" s="382" t="s">
        <v>668</v>
      </c>
      <c r="C277" s="650"/>
      <c r="D277" s="301"/>
      <c r="E277" s="368">
        <v>0.0</v>
      </c>
      <c r="F277" s="369"/>
      <c r="G277" s="651">
        <v>186000.0</v>
      </c>
      <c r="H277" s="470"/>
      <c r="I277" s="304"/>
      <c r="J277" s="305"/>
      <c r="K277" s="598"/>
    </row>
    <row r="278" hidden="1" outlineLevel="1">
      <c r="A278" s="536">
        <v>9.69</v>
      </c>
      <c r="B278" s="375" t="s">
        <v>669</v>
      </c>
      <c r="C278" s="652"/>
      <c r="D278" s="653"/>
      <c r="E278" s="390">
        <v>0.0</v>
      </c>
      <c r="F278" s="393"/>
      <c r="G278" s="654">
        <v>186000.0</v>
      </c>
      <c r="H278" s="421"/>
      <c r="I278" s="442"/>
      <c r="J278" s="467"/>
      <c r="K278" s="596"/>
    </row>
    <row r="279" hidden="1" outlineLevel="1">
      <c r="A279" s="656" t="s">
        <v>670</v>
      </c>
      <c r="B279" s="382" t="s">
        <v>671</v>
      </c>
      <c r="C279" s="650"/>
      <c r="D279" s="301"/>
      <c r="E279" s="368">
        <v>0.0</v>
      </c>
      <c r="F279" s="369"/>
      <c r="G279" s="651">
        <v>202000.0</v>
      </c>
      <c r="H279" s="470"/>
      <c r="I279" s="304"/>
      <c r="J279" s="305"/>
      <c r="K279" s="598"/>
    </row>
    <row r="280" hidden="1" outlineLevel="1">
      <c r="A280" s="536">
        <v>9.71</v>
      </c>
      <c r="B280" s="375" t="s">
        <v>672</v>
      </c>
      <c r="C280" s="652"/>
      <c r="D280" s="653"/>
      <c r="E280" s="390">
        <v>0.0</v>
      </c>
      <c r="F280" s="393"/>
      <c r="G280" s="654">
        <v>215000.0</v>
      </c>
      <c r="H280" s="421"/>
      <c r="I280" s="442"/>
      <c r="J280" s="467"/>
      <c r="K280" s="596"/>
    </row>
    <row r="281" hidden="1" outlineLevel="1">
      <c r="A281" s="610">
        <v>9.72</v>
      </c>
      <c r="B281" s="382" t="s">
        <v>673</v>
      </c>
      <c r="C281" s="650"/>
      <c r="D281" s="301"/>
      <c r="E281" s="368">
        <v>0.0</v>
      </c>
      <c r="F281" s="369"/>
      <c r="G281" s="651">
        <v>213000.0</v>
      </c>
      <c r="H281" s="470"/>
      <c r="I281" s="304"/>
      <c r="J281" s="305"/>
      <c r="K281" s="598"/>
    </row>
    <row r="282" hidden="1" outlineLevel="1">
      <c r="A282" s="536">
        <v>9.73</v>
      </c>
      <c r="B282" s="375" t="s">
        <v>674</v>
      </c>
      <c r="C282" s="652"/>
      <c r="D282" s="653"/>
      <c r="E282" s="390">
        <v>0.0</v>
      </c>
      <c r="F282" s="393"/>
      <c r="G282" s="654">
        <v>193000.0</v>
      </c>
      <c r="H282" s="421"/>
      <c r="I282" s="442"/>
      <c r="J282" s="467"/>
      <c r="K282" s="596"/>
    </row>
    <row r="283" hidden="1" outlineLevel="1">
      <c r="A283" s="610">
        <v>9.74</v>
      </c>
      <c r="B283" s="382" t="s">
        <v>675</v>
      </c>
      <c r="C283" s="650"/>
      <c r="D283" s="301"/>
      <c r="E283" s="368">
        <v>0.0</v>
      </c>
      <c r="F283" s="369"/>
      <c r="G283" s="651">
        <v>187000.0</v>
      </c>
      <c r="H283" s="470"/>
      <c r="I283" s="304"/>
      <c r="J283" s="305"/>
      <c r="K283" s="598"/>
    </row>
    <row r="284" hidden="1" outlineLevel="1">
      <c r="A284" s="536">
        <v>9.75</v>
      </c>
      <c r="B284" s="375" t="s">
        <v>676</v>
      </c>
      <c r="C284" s="652"/>
      <c r="D284" s="653"/>
      <c r="E284" s="390">
        <v>0.0</v>
      </c>
      <c r="F284" s="393"/>
      <c r="G284" s="654">
        <v>211000.0</v>
      </c>
      <c r="H284" s="421"/>
      <c r="I284" s="442"/>
      <c r="J284" s="467"/>
      <c r="K284" s="596"/>
    </row>
    <row r="285" hidden="1" outlineLevel="1">
      <c r="A285" s="610">
        <v>9.76</v>
      </c>
      <c r="B285" s="382" t="s">
        <v>677</v>
      </c>
      <c r="C285" s="650"/>
      <c r="D285" s="301"/>
      <c r="E285" s="368">
        <v>0.0</v>
      </c>
      <c r="F285" s="369"/>
      <c r="G285" s="651">
        <v>203000.0</v>
      </c>
      <c r="H285" s="470"/>
      <c r="I285" s="304"/>
      <c r="J285" s="305"/>
      <c r="K285" s="598"/>
    </row>
    <row r="286" hidden="1" outlineLevel="1">
      <c r="A286" s="536">
        <v>9.77</v>
      </c>
      <c r="B286" s="375" t="s">
        <v>678</v>
      </c>
      <c r="C286" s="652"/>
      <c r="D286" s="653"/>
      <c r="E286" s="390">
        <v>0.0</v>
      </c>
      <c r="F286" s="393"/>
      <c r="G286" s="654">
        <v>188000.0</v>
      </c>
      <c r="H286" s="421"/>
      <c r="I286" s="378"/>
      <c r="J286" s="471" t="s">
        <v>616</v>
      </c>
      <c r="K286" s="596"/>
    </row>
    <row r="287" hidden="1" outlineLevel="1">
      <c r="A287" s="610">
        <v>9.78</v>
      </c>
      <c r="B287" s="382" t="s">
        <v>679</v>
      </c>
      <c r="C287" s="650"/>
      <c r="D287" s="301"/>
      <c r="E287" s="368">
        <v>0.0</v>
      </c>
      <c r="F287" s="369"/>
      <c r="G287" s="651">
        <v>188000.0</v>
      </c>
      <c r="H287" s="470"/>
      <c r="I287" s="384"/>
      <c r="J287" s="472" t="s">
        <v>616</v>
      </c>
      <c r="K287" s="598"/>
    </row>
    <row r="288" hidden="1" outlineLevel="1">
      <c r="A288" s="536">
        <v>9.79</v>
      </c>
      <c r="B288" s="375" t="s">
        <v>680</v>
      </c>
      <c r="C288" s="652"/>
      <c r="D288" s="653"/>
      <c r="E288" s="390">
        <v>0.0</v>
      </c>
      <c r="F288" s="393"/>
      <c r="G288" s="654">
        <v>188000.0</v>
      </c>
      <c r="H288" s="421"/>
      <c r="I288" s="442"/>
      <c r="J288" s="467"/>
      <c r="K288" s="596"/>
    </row>
    <row r="289" hidden="1" outlineLevel="1">
      <c r="A289" s="656" t="s">
        <v>681</v>
      </c>
      <c r="B289" s="382" t="s">
        <v>682</v>
      </c>
      <c r="C289" s="650"/>
      <c r="D289" s="301"/>
      <c r="E289" s="368">
        <v>0.0</v>
      </c>
      <c r="F289" s="369"/>
      <c r="G289" s="651">
        <v>188000.0</v>
      </c>
      <c r="H289" s="470"/>
      <c r="I289" s="304"/>
      <c r="J289" s="305"/>
      <c r="K289" s="598"/>
    </row>
    <row r="290" hidden="1" outlineLevel="1">
      <c r="A290" s="536">
        <v>9.810000000000002</v>
      </c>
      <c r="B290" s="375" t="s">
        <v>683</v>
      </c>
      <c r="C290" s="652"/>
      <c r="D290" s="653"/>
      <c r="E290" s="390">
        <v>0.0</v>
      </c>
      <c r="F290" s="393"/>
      <c r="G290" s="654">
        <v>187000.0</v>
      </c>
      <c r="H290" s="421"/>
      <c r="I290" s="442"/>
      <c r="J290" s="467"/>
      <c r="K290" s="596"/>
    </row>
    <row r="291" hidden="1" outlineLevel="1">
      <c r="A291" s="610">
        <v>9.820000000000002</v>
      </c>
      <c r="B291" s="382" t="s">
        <v>684</v>
      </c>
      <c r="C291" s="650"/>
      <c r="D291" s="301"/>
      <c r="E291" s="368">
        <v>0.0</v>
      </c>
      <c r="F291" s="369"/>
      <c r="G291" s="651">
        <v>187000.0</v>
      </c>
      <c r="H291" s="470"/>
      <c r="I291" s="304"/>
      <c r="J291" s="305"/>
      <c r="K291" s="598"/>
    </row>
    <row r="292" hidden="1" outlineLevel="1">
      <c r="A292" s="536">
        <v>9.830000000000002</v>
      </c>
      <c r="B292" s="375" t="s">
        <v>685</v>
      </c>
      <c r="C292" s="652"/>
      <c r="D292" s="653"/>
      <c r="E292" s="390">
        <v>0.0</v>
      </c>
      <c r="F292" s="393"/>
      <c r="G292" s="654">
        <v>215000.0</v>
      </c>
      <c r="H292" s="421"/>
      <c r="I292" s="442"/>
      <c r="J292" s="467"/>
      <c r="K292" s="596"/>
    </row>
    <row r="293" hidden="1" outlineLevel="1">
      <c r="A293" s="610">
        <v>9.840000000000002</v>
      </c>
      <c r="B293" s="382" t="s">
        <v>686</v>
      </c>
      <c r="C293" s="650"/>
      <c r="D293" s="301"/>
      <c r="E293" s="368">
        <v>0.0</v>
      </c>
      <c r="F293" s="369"/>
      <c r="G293" s="651">
        <v>212000.0</v>
      </c>
      <c r="H293" s="470"/>
      <c r="I293" s="304"/>
      <c r="J293" s="305"/>
      <c r="K293" s="598"/>
    </row>
    <row r="294" hidden="1" outlineLevel="1">
      <c r="A294" s="536">
        <v>9.850000000000001</v>
      </c>
      <c r="B294" s="375" t="s">
        <v>687</v>
      </c>
      <c r="C294" s="652"/>
      <c r="D294" s="653"/>
      <c r="E294" s="390">
        <v>0.0</v>
      </c>
      <c r="F294" s="393"/>
      <c r="G294" s="654">
        <v>198000.0</v>
      </c>
      <c r="H294" s="421"/>
      <c r="I294" s="442"/>
      <c r="J294" s="467"/>
      <c r="K294" s="596"/>
    </row>
    <row r="295" hidden="1" outlineLevel="1">
      <c r="A295" s="610">
        <v>9.860000000000001</v>
      </c>
      <c r="B295" s="382" t="s">
        <v>688</v>
      </c>
      <c r="C295" s="650"/>
      <c r="D295" s="301"/>
      <c r="E295" s="368">
        <v>0.0</v>
      </c>
      <c r="F295" s="369"/>
      <c r="G295" s="651">
        <v>199000.0</v>
      </c>
      <c r="H295" s="470"/>
      <c r="I295" s="304"/>
      <c r="J295" s="305"/>
      <c r="K295" s="598"/>
    </row>
    <row r="296" hidden="1" outlineLevel="1">
      <c r="A296" s="536">
        <v>9.870000000000001</v>
      </c>
      <c r="B296" s="375" t="s">
        <v>689</v>
      </c>
      <c r="C296" s="652"/>
      <c r="D296" s="653"/>
      <c r="E296" s="390">
        <v>0.0</v>
      </c>
      <c r="F296" s="393"/>
      <c r="G296" s="654">
        <v>220000.0</v>
      </c>
      <c r="H296" s="421"/>
      <c r="I296" s="442"/>
      <c r="J296" s="467"/>
      <c r="K296" s="596"/>
    </row>
    <row r="297" hidden="1" outlineLevel="1">
      <c r="A297" s="610">
        <v>9.88</v>
      </c>
      <c r="B297" s="382" t="s">
        <v>690</v>
      </c>
      <c r="C297" s="650"/>
      <c r="D297" s="301"/>
      <c r="E297" s="368"/>
      <c r="F297" s="369"/>
      <c r="G297" s="651">
        <v>221000.0</v>
      </c>
      <c r="H297" s="470"/>
      <c r="I297" s="384"/>
      <c r="J297" s="472" t="s">
        <v>633</v>
      </c>
      <c r="K297" s="598"/>
    </row>
    <row r="298" hidden="1" outlineLevel="1">
      <c r="A298" s="536">
        <v>9.89</v>
      </c>
      <c r="B298" s="375" t="s">
        <v>691</v>
      </c>
      <c r="C298" s="652"/>
      <c r="D298" s="653"/>
      <c r="E298" s="390">
        <v>0.0</v>
      </c>
      <c r="F298" s="393"/>
      <c r="G298" s="654">
        <v>223000.0</v>
      </c>
      <c r="H298" s="421"/>
      <c r="I298" s="378"/>
      <c r="J298" s="471" t="s">
        <v>616</v>
      </c>
      <c r="K298" s="596"/>
    </row>
    <row r="299" hidden="1" outlineLevel="1">
      <c r="A299" s="656" t="s">
        <v>692</v>
      </c>
      <c r="B299" s="382" t="s">
        <v>693</v>
      </c>
      <c r="C299" s="650"/>
      <c r="D299" s="301"/>
      <c r="E299" s="368">
        <v>0.0</v>
      </c>
      <c r="F299" s="369"/>
      <c r="G299" s="651">
        <v>227000.0</v>
      </c>
      <c r="H299" s="470"/>
      <c r="I299" s="384"/>
      <c r="J299" s="472" t="s">
        <v>616</v>
      </c>
      <c r="K299" s="598"/>
    </row>
    <row r="300" hidden="1" outlineLevel="1">
      <c r="A300" s="536">
        <v>9.910000000000002</v>
      </c>
      <c r="B300" s="375" t="s">
        <v>694</v>
      </c>
      <c r="C300" s="652"/>
      <c r="D300" s="653"/>
      <c r="E300" s="390">
        <v>0.0</v>
      </c>
      <c r="F300" s="393"/>
      <c r="G300" s="654">
        <v>233000.0</v>
      </c>
      <c r="H300" s="421"/>
      <c r="I300" s="442"/>
      <c r="J300" s="467"/>
      <c r="K300" s="596"/>
    </row>
    <row r="301" hidden="1" outlineLevel="1">
      <c r="A301" s="610">
        <v>9.920000000000002</v>
      </c>
      <c r="B301" s="382" t="s">
        <v>701</v>
      </c>
      <c r="C301" s="650"/>
      <c r="D301" s="301"/>
      <c r="E301" s="368">
        <v>0.0</v>
      </c>
      <c r="F301" s="369"/>
      <c r="G301" s="651">
        <v>221000.0</v>
      </c>
      <c r="H301" s="470"/>
      <c r="I301" s="304"/>
      <c r="J301" s="305"/>
      <c r="K301" s="598"/>
    </row>
    <row r="302" outlineLevel="1">
      <c r="A302" s="536">
        <v>9.930000000000001</v>
      </c>
      <c r="B302" s="375" t="s">
        <v>703</v>
      </c>
      <c r="C302" s="652"/>
      <c r="D302" s="653"/>
      <c r="E302" s="390">
        <v>0.0</v>
      </c>
      <c r="F302" s="393"/>
      <c r="G302" s="654">
        <v>175000.0</v>
      </c>
      <c r="H302" s="421">
        <v>175000.0</v>
      </c>
      <c r="I302" s="442"/>
      <c r="J302" s="467"/>
      <c r="K302" s="596"/>
    </row>
    <row r="303" hidden="1" outlineLevel="1">
      <c r="A303" s="610">
        <v>9.940000000000001</v>
      </c>
      <c r="B303" s="382" t="s">
        <v>704</v>
      </c>
      <c r="C303" s="650"/>
      <c r="D303" s="301"/>
      <c r="E303" s="368">
        <v>0.0</v>
      </c>
      <c r="F303" s="369"/>
      <c r="G303" s="651">
        <v>211000.0</v>
      </c>
      <c r="H303" s="470"/>
      <c r="I303" s="304"/>
      <c r="J303" s="305"/>
      <c r="K303" s="598"/>
    </row>
    <row r="304" hidden="1" outlineLevel="1">
      <c r="A304" s="536">
        <v>9.950000000000001</v>
      </c>
      <c r="B304" s="375" t="s">
        <v>705</v>
      </c>
      <c r="C304" s="652"/>
      <c r="D304" s="653"/>
      <c r="E304" s="390">
        <v>0.0</v>
      </c>
      <c r="F304" s="393"/>
      <c r="G304" s="654">
        <v>270000.0</v>
      </c>
      <c r="H304" s="421"/>
      <c r="I304" s="442"/>
      <c r="J304" s="467"/>
      <c r="K304" s="596"/>
    </row>
    <row r="305" hidden="1" outlineLevel="1">
      <c r="A305" s="610">
        <v>9.96</v>
      </c>
      <c r="B305" s="382" t="s">
        <v>706</v>
      </c>
      <c r="C305" s="650"/>
      <c r="D305" s="301"/>
      <c r="E305" s="368">
        <v>0.0</v>
      </c>
      <c r="F305" s="369"/>
      <c r="G305" s="651">
        <v>239000.0</v>
      </c>
      <c r="H305" s="470"/>
      <c r="I305" s="304"/>
      <c r="J305" s="305"/>
      <c r="K305" s="598"/>
    </row>
    <row r="306" hidden="1" outlineLevel="1">
      <c r="A306" s="536">
        <v>9.97</v>
      </c>
      <c r="B306" s="375" t="s">
        <v>707</v>
      </c>
      <c r="C306" s="652"/>
      <c r="D306" s="653"/>
      <c r="E306" s="390">
        <v>0.0</v>
      </c>
      <c r="F306" s="393"/>
      <c r="G306" s="654">
        <v>214000.0</v>
      </c>
      <c r="H306" s="421"/>
      <c r="I306" s="442"/>
      <c r="J306" s="467"/>
      <c r="K306" s="596"/>
    </row>
    <row r="307" hidden="1" outlineLevel="1">
      <c r="A307" s="610">
        <v>9.98</v>
      </c>
      <c r="B307" s="382" t="s">
        <v>708</v>
      </c>
      <c r="C307" s="650"/>
      <c r="D307" s="301"/>
      <c r="E307" s="368">
        <v>0.0</v>
      </c>
      <c r="F307" s="369"/>
      <c r="G307" s="651">
        <v>200000.0</v>
      </c>
      <c r="H307" s="470"/>
      <c r="I307" s="384"/>
      <c r="J307" s="472" t="s">
        <v>616</v>
      </c>
      <c r="K307" s="598"/>
    </row>
    <row r="308" hidden="1" outlineLevel="1">
      <c r="A308" s="536">
        <v>9.99</v>
      </c>
      <c r="B308" s="375" t="s">
        <v>709</v>
      </c>
      <c r="C308" s="652"/>
      <c r="D308" s="653"/>
      <c r="E308" s="390">
        <v>0.0</v>
      </c>
      <c r="F308" s="393"/>
      <c r="G308" s="654">
        <v>199000.0</v>
      </c>
      <c r="H308" s="421"/>
      <c r="I308" s="378"/>
      <c r="J308" s="471" t="s">
        <v>616</v>
      </c>
      <c r="K308" s="596"/>
    </row>
    <row r="309" hidden="1" outlineLevel="1">
      <c r="A309" s="656" t="s">
        <v>711</v>
      </c>
      <c r="B309" s="382" t="s">
        <v>712</v>
      </c>
      <c r="C309" s="650"/>
      <c r="D309" s="301"/>
      <c r="E309" s="368">
        <v>0.0</v>
      </c>
      <c r="F309" s="369"/>
      <c r="G309" s="651">
        <v>201000.0</v>
      </c>
      <c r="H309" s="470"/>
      <c r="I309" s="384"/>
      <c r="J309" s="472" t="s">
        <v>616</v>
      </c>
      <c r="K309" s="598"/>
    </row>
    <row r="310" hidden="1" outlineLevel="1">
      <c r="A310" s="655" t="s">
        <v>713</v>
      </c>
      <c r="B310" s="375" t="s">
        <v>714</v>
      </c>
      <c r="C310" s="652"/>
      <c r="D310" s="653"/>
      <c r="E310" s="390">
        <v>0.0</v>
      </c>
      <c r="F310" s="393"/>
      <c r="G310" s="654">
        <v>221000.0</v>
      </c>
      <c r="H310" s="421"/>
      <c r="I310" s="442"/>
      <c r="J310" s="467"/>
      <c r="K310" s="596"/>
    </row>
    <row r="311" outlineLevel="1">
      <c r="A311" s="656" t="s">
        <v>715</v>
      </c>
      <c r="B311" s="382" t="s">
        <v>716</v>
      </c>
      <c r="C311" s="650"/>
      <c r="D311" s="301"/>
      <c r="E311" s="368">
        <v>0.0</v>
      </c>
      <c r="F311" s="369"/>
      <c r="G311" s="651">
        <v>235000.0</v>
      </c>
      <c r="H311" s="470">
        <v>235000.0</v>
      </c>
      <c r="I311" s="304"/>
      <c r="J311" s="305"/>
      <c r="K311" s="598"/>
    </row>
    <row r="312" hidden="1" outlineLevel="1">
      <c r="A312" s="536" t="s">
        <v>481</v>
      </c>
      <c r="B312" s="375" t="s">
        <v>717</v>
      </c>
      <c r="C312" s="652"/>
      <c r="D312" s="653"/>
      <c r="E312" s="390">
        <v>0.0</v>
      </c>
      <c r="F312" s="393"/>
      <c r="G312" s="654">
        <v>0.0</v>
      </c>
      <c r="H312" s="421"/>
      <c r="I312" s="378"/>
      <c r="J312" s="471" t="s">
        <v>718</v>
      </c>
      <c r="K312" s="596"/>
    </row>
    <row r="313" hidden="1" outlineLevel="1">
      <c r="A313" s="610" t="s">
        <v>481</v>
      </c>
      <c r="B313" s="382" t="s">
        <v>719</v>
      </c>
      <c r="C313" s="650"/>
      <c r="D313" s="301"/>
      <c r="E313" s="368">
        <v>0.0</v>
      </c>
      <c r="F313" s="369"/>
      <c r="G313" s="651">
        <v>0.0</v>
      </c>
      <c r="H313" s="470"/>
      <c r="I313" s="384"/>
      <c r="J313" s="472" t="s">
        <v>718</v>
      </c>
      <c r="K313" s="598"/>
    </row>
    <row r="314" hidden="1" outlineLevel="1">
      <c r="A314" s="536" t="s">
        <v>481</v>
      </c>
      <c r="B314" s="375" t="s">
        <v>720</v>
      </c>
      <c r="C314" s="652"/>
      <c r="D314" s="653"/>
      <c r="E314" s="390">
        <v>0.0</v>
      </c>
      <c r="F314" s="393"/>
      <c r="G314" s="654">
        <v>0.0</v>
      </c>
      <c r="H314" s="421"/>
      <c r="I314" s="378"/>
      <c r="J314" s="471" t="s">
        <v>718</v>
      </c>
      <c r="K314" s="596"/>
    </row>
    <row r="315" hidden="1" outlineLevel="1">
      <c r="A315" s="610" t="s">
        <v>481</v>
      </c>
      <c r="B315" s="382" t="s">
        <v>721</v>
      </c>
      <c r="C315" s="650"/>
      <c r="D315" s="301"/>
      <c r="E315" s="368">
        <v>0.0</v>
      </c>
      <c r="F315" s="369"/>
      <c r="G315" s="651">
        <v>0.0</v>
      </c>
      <c r="H315" s="470"/>
      <c r="I315" s="384"/>
      <c r="J315" s="472" t="s">
        <v>718</v>
      </c>
      <c r="K315" s="598"/>
    </row>
    <row r="316" hidden="1" outlineLevel="1">
      <c r="A316" s="536"/>
      <c r="B316" s="633"/>
      <c r="C316" s="652"/>
      <c r="D316" s="653"/>
      <c r="E316" s="390"/>
      <c r="F316" s="393"/>
      <c r="G316" s="675"/>
      <c r="H316" s="676"/>
      <c r="I316" s="442"/>
      <c r="J316" s="467"/>
      <c r="K316" s="596"/>
    </row>
    <row r="317" hidden="1">
      <c r="A317" s="294">
        <v>10.0</v>
      </c>
      <c r="B317" s="296" t="s">
        <v>722</v>
      </c>
      <c r="C317" s="299">
        <f>550000+450000+37*230000</f>
        <v>9510000</v>
      </c>
      <c r="D317" s="300">
        <f>C318*I318</f>
        <v>13819838.71</v>
      </c>
      <c r="E317" s="368"/>
      <c r="F317" s="369">
        <f>SUM(E319:E349)</f>
        <v>10985000</v>
      </c>
      <c r="G317" s="301">
        <f>SUM(G319:G349)</f>
        <v>10985000</v>
      </c>
      <c r="H317" s="302"/>
      <c r="I317" s="304">
        <f>G317-D317</f>
        <v>-2834838.71</v>
      </c>
      <c r="J317" s="305"/>
      <c r="K317" s="306"/>
    </row>
    <row r="318" hidden="1" collapsed="1">
      <c r="A318" s="307"/>
      <c r="B318" s="308" t="s">
        <v>723</v>
      </c>
      <c r="C318" s="309">
        <v>39.0</v>
      </c>
      <c r="D318" s="316">
        <f>(D317/C317)-1</f>
        <v>0.4531901903</v>
      </c>
      <c r="E318" s="648"/>
      <c r="F318" s="649"/>
      <c r="G318" s="317">
        <f>COUNT(G319:G349)</f>
        <v>31</v>
      </c>
      <c r="H318" s="317"/>
      <c r="I318" s="319">
        <f>G317/G318</f>
        <v>354354.8387</v>
      </c>
      <c r="J318" s="320"/>
      <c r="K318" s="322"/>
    </row>
    <row r="319" hidden="1" outlineLevel="1">
      <c r="A319" s="610">
        <v>10.1</v>
      </c>
      <c r="B319" s="382" t="s">
        <v>724</v>
      </c>
      <c r="C319" s="650"/>
      <c r="D319" s="301"/>
      <c r="E319" s="368">
        <v>273000.0</v>
      </c>
      <c r="F319" s="369"/>
      <c r="G319" s="651">
        <v>273000.0</v>
      </c>
      <c r="H319" s="470"/>
      <c r="I319" s="304"/>
      <c r="J319" s="305"/>
      <c r="K319" s="598"/>
    </row>
    <row r="320" hidden="1" outlineLevel="1">
      <c r="A320" s="536">
        <v>10.2</v>
      </c>
      <c r="B320" s="375" t="s">
        <v>725</v>
      </c>
      <c r="C320" s="652"/>
      <c r="D320" s="653"/>
      <c r="E320" s="390">
        <v>273000.0</v>
      </c>
      <c r="F320" s="393"/>
      <c r="G320" s="654">
        <v>273000.0</v>
      </c>
      <c r="H320" s="421"/>
      <c r="I320" s="442"/>
      <c r="J320" s="467"/>
      <c r="K320" s="596"/>
    </row>
    <row r="321" hidden="1" outlineLevel="1">
      <c r="A321" s="610">
        <v>10.3</v>
      </c>
      <c r="B321" s="382" t="s">
        <v>726</v>
      </c>
      <c r="C321" s="650"/>
      <c r="D321" s="301"/>
      <c r="E321" s="368">
        <v>273000.0</v>
      </c>
      <c r="F321" s="369"/>
      <c r="G321" s="651">
        <v>273000.0</v>
      </c>
      <c r="H321" s="470"/>
      <c r="I321" s="304"/>
      <c r="J321" s="305"/>
      <c r="K321" s="598"/>
    </row>
    <row r="322" hidden="1" outlineLevel="1">
      <c r="A322" s="536">
        <v>10.4</v>
      </c>
      <c r="B322" s="375" t="s">
        <v>727</v>
      </c>
      <c r="C322" s="652"/>
      <c r="D322" s="653"/>
      <c r="E322" s="390">
        <v>273000.0</v>
      </c>
      <c r="F322" s="393"/>
      <c r="G322" s="654">
        <v>273000.0</v>
      </c>
      <c r="H322" s="421"/>
      <c r="I322" s="442"/>
      <c r="J322" s="467"/>
      <c r="K322" s="596"/>
    </row>
    <row r="323" hidden="1" outlineLevel="1">
      <c r="A323" s="610">
        <v>10.5</v>
      </c>
      <c r="B323" s="382" t="s">
        <v>728</v>
      </c>
      <c r="C323" s="650"/>
      <c r="D323" s="301"/>
      <c r="E323" s="368">
        <v>283000.0</v>
      </c>
      <c r="F323" s="369"/>
      <c r="G323" s="651">
        <v>283000.0</v>
      </c>
      <c r="H323" s="470"/>
      <c r="I323" s="304"/>
      <c r="J323" s="305"/>
      <c r="K323" s="598"/>
    </row>
    <row r="324" hidden="1" outlineLevel="1">
      <c r="A324" s="536">
        <v>10.6</v>
      </c>
      <c r="B324" s="375" t="s">
        <v>729</v>
      </c>
      <c r="C324" s="652"/>
      <c r="D324" s="653"/>
      <c r="E324" s="390">
        <v>293000.0</v>
      </c>
      <c r="F324" s="393"/>
      <c r="G324" s="654">
        <v>293000.0</v>
      </c>
      <c r="H324" s="421"/>
      <c r="I324" s="442"/>
      <c r="J324" s="467"/>
      <c r="K324" s="596"/>
    </row>
    <row r="325" outlineLevel="1">
      <c r="A325" s="610">
        <v>10.7</v>
      </c>
      <c r="B325" s="382" t="s">
        <v>730</v>
      </c>
      <c r="C325" s="650"/>
      <c r="D325" s="301"/>
      <c r="E325" s="368">
        <v>274000.0</v>
      </c>
      <c r="F325" s="369"/>
      <c r="G325" s="651">
        <v>274000.0</v>
      </c>
      <c r="H325" s="470">
        <v>274000.0</v>
      </c>
      <c r="I325" s="304"/>
      <c r="J325" s="305"/>
      <c r="K325" s="598"/>
    </row>
    <row r="326" outlineLevel="1">
      <c r="A326" s="536">
        <v>10.8</v>
      </c>
      <c r="B326" s="375" t="s">
        <v>731</v>
      </c>
      <c r="C326" s="652"/>
      <c r="D326" s="653"/>
      <c r="E326" s="390">
        <v>274000.0</v>
      </c>
      <c r="F326" s="393"/>
      <c r="G326" s="654">
        <v>274000.0</v>
      </c>
      <c r="H326" s="421">
        <v>274000.0</v>
      </c>
      <c r="I326" s="442"/>
      <c r="J326" s="467"/>
      <c r="K326" s="596"/>
    </row>
    <row r="327" outlineLevel="1">
      <c r="A327" s="610">
        <v>10.9</v>
      </c>
      <c r="B327" s="382" t="s">
        <v>732</v>
      </c>
      <c r="C327" s="650"/>
      <c r="D327" s="301"/>
      <c r="E327" s="368">
        <v>274000.0</v>
      </c>
      <c r="F327" s="369"/>
      <c r="G327" s="651">
        <v>274000.0</v>
      </c>
      <c r="H327" s="470">
        <v>274000.0</v>
      </c>
      <c r="I327" s="304"/>
      <c r="J327" s="305"/>
      <c r="K327" s="598"/>
    </row>
    <row r="328" outlineLevel="1">
      <c r="A328" s="655" t="s">
        <v>733</v>
      </c>
      <c r="B328" s="375" t="s">
        <v>734</v>
      </c>
      <c r="C328" s="652"/>
      <c r="D328" s="653"/>
      <c r="E328" s="390">
        <v>277000.0</v>
      </c>
      <c r="F328" s="393"/>
      <c r="G328" s="654">
        <v>277000.0</v>
      </c>
      <c r="H328" s="421">
        <v>277000.0</v>
      </c>
      <c r="I328" s="442"/>
      <c r="J328" s="467"/>
      <c r="K328" s="596"/>
    </row>
    <row r="329" outlineLevel="1">
      <c r="A329" s="656" t="s">
        <v>735</v>
      </c>
      <c r="B329" s="382" t="s">
        <v>736</v>
      </c>
      <c r="C329" s="650"/>
      <c r="D329" s="301"/>
      <c r="E329" s="368">
        <v>293000.0</v>
      </c>
      <c r="F329" s="369"/>
      <c r="G329" s="651">
        <v>293000.0</v>
      </c>
      <c r="H329" s="470">
        <v>293000.0</v>
      </c>
      <c r="I329" s="304"/>
      <c r="J329" s="305"/>
      <c r="K329" s="598"/>
    </row>
    <row r="330" hidden="1" outlineLevel="1">
      <c r="A330" s="536" t="s">
        <v>737</v>
      </c>
      <c r="B330" s="375" t="s">
        <v>738</v>
      </c>
      <c r="C330" s="652"/>
      <c r="D330" s="653"/>
      <c r="E330" s="390">
        <v>293000.0</v>
      </c>
      <c r="F330" s="393"/>
      <c r="G330" s="654">
        <v>293000.0</v>
      </c>
      <c r="H330" s="421"/>
      <c r="I330" s="442"/>
      <c r="J330" s="467"/>
      <c r="K330" s="596"/>
    </row>
    <row r="331" hidden="1" outlineLevel="1">
      <c r="A331" s="610" t="s">
        <v>739</v>
      </c>
      <c r="B331" s="382" t="s">
        <v>740</v>
      </c>
      <c r="C331" s="650"/>
      <c r="D331" s="301"/>
      <c r="E331" s="368">
        <v>291000.0</v>
      </c>
      <c r="F331" s="369"/>
      <c r="G331" s="651">
        <v>291000.0</v>
      </c>
      <c r="H331" s="470"/>
      <c r="I331" s="304"/>
      <c r="J331" s="305"/>
      <c r="K331" s="598"/>
    </row>
    <row r="332" hidden="1" outlineLevel="1">
      <c r="A332" s="536" t="s">
        <v>741</v>
      </c>
      <c r="B332" s="375" t="s">
        <v>742</v>
      </c>
      <c r="C332" s="652"/>
      <c r="D332" s="653"/>
      <c r="E332" s="390">
        <v>450000.0</v>
      </c>
      <c r="F332" s="393"/>
      <c r="G332" s="654">
        <v>450000.0</v>
      </c>
      <c r="H332" s="421"/>
      <c r="I332" s="442"/>
      <c r="J332" s="467"/>
      <c r="K332" s="596"/>
    </row>
    <row r="333" hidden="1" outlineLevel="1">
      <c r="A333" s="610" t="s">
        <v>743</v>
      </c>
      <c r="B333" s="382" t="s">
        <v>744</v>
      </c>
      <c r="C333" s="650"/>
      <c r="D333" s="301"/>
      <c r="E333" s="368">
        <v>438000.0</v>
      </c>
      <c r="F333" s="369"/>
      <c r="G333" s="651">
        <v>438000.0</v>
      </c>
      <c r="H333" s="470"/>
      <c r="I333" s="304"/>
      <c r="J333" s="305"/>
      <c r="K333" s="598"/>
    </row>
    <row r="334" outlineLevel="1">
      <c r="A334" s="536" t="s">
        <v>745</v>
      </c>
      <c r="B334" s="375" t="s">
        <v>746</v>
      </c>
      <c r="C334" s="652"/>
      <c r="D334" s="653"/>
      <c r="E334" s="390">
        <v>301000.0</v>
      </c>
      <c r="F334" s="393"/>
      <c r="G334" s="654">
        <v>301000.0</v>
      </c>
      <c r="H334" s="421">
        <v>301000.0</v>
      </c>
      <c r="I334" s="442"/>
      <c r="J334" s="467"/>
      <c r="K334" s="596"/>
    </row>
    <row r="335" outlineLevel="1">
      <c r="A335" s="610" t="s">
        <v>747</v>
      </c>
      <c r="B335" s="382" t="s">
        <v>748</v>
      </c>
      <c r="C335" s="650"/>
      <c r="D335" s="301"/>
      <c r="E335" s="368">
        <v>301000.0</v>
      </c>
      <c r="F335" s="369"/>
      <c r="G335" s="651">
        <v>301000.0</v>
      </c>
      <c r="H335" s="470">
        <v>301000.0</v>
      </c>
      <c r="I335" s="304"/>
      <c r="J335" s="305"/>
      <c r="K335" s="598"/>
    </row>
    <row r="336" outlineLevel="1">
      <c r="A336" s="536" t="s">
        <v>749</v>
      </c>
      <c r="B336" s="375" t="s">
        <v>750</v>
      </c>
      <c r="C336" s="652"/>
      <c r="D336" s="653"/>
      <c r="E336" s="390">
        <v>301000.0</v>
      </c>
      <c r="F336" s="393"/>
      <c r="G336" s="654">
        <v>301000.0</v>
      </c>
      <c r="H336" s="421">
        <v>301000.0</v>
      </c>
      <c r="I336" s="442"/>
      <c r="J336" s="467"/>
      <c r="K336" s="596"/>
    </row>
    <row r="337" hidden="1" outlineLevel="1">
      <c r="A337" s="610" t="s">
        <v>751</v>
      </c>
      <c r="B337" s="382" t="s">
        <v>752</v>
      </c>
      <c r="C337" s="650"/>
      <c r="D337" s="301"/>
      <c r="E337" s="368">
        <v>398000.0</v>
      </c>
      <c r="F337" s="369"/>
      <c r="G337" s="651">
        <v>398000.0</v>
      </c>
      <c r="H337" s="470"/>
      <c r="I337" s="304"/>
      <c r="J337" s="305"/>
      <c r="K337" s="598"/>
    </row>
    <row r="338" hidden="1" outlineLevel="1">
      <c r="A338" s="536" t="s">
        <v>753</v>
      </c>
      <c r="B338" s="375" t="s">
        <v>754</v>
      </c>
      <c r="C338" s="652"/>
      <c r="D338" s="653"/>
      <c r="E338" s="390">
        <v>332000.0</v>
      </c>
      <c r="F338" s="393"/>
      <c r="G338" s="654">
        <v>332000.0</v>
      </c>
      <c r="H338" s="421"/>
      <c r="I338" s="442"/>
      <c r="J338" s="467"/>
      <c r="K338" s="596"/>
    </row>
    <row r="339" hidden="1" outlineLevel="1">
      <c r="A339" s="610" t="s">
        <v>755</v>
      </c>
      <c r="B339" s="382" t="s">
        <v>756</v>
      </c>
      <c r="C339" s="650"/>
      <c r="D339" s="301"/>
      <c r="E339" s="368">
        <v>366000.0</v>
      </c>
      <c r="F339" s="369"/>
      <c r="G339" s="651">
        <v>366000.0</v>
      </c>
      <c r="H339" s="470"/>
      <c r="I339" s="304"/>
      <c r="J339" s="305"/>
      <c r="K339" s="598"/>
    </row>
    <row r="340" hidden="1" outlineLevel="1">
      <c r="A340" s="536" t="s">
        <v>757</v>
      </c>
      <c r="B340" s="375" t="s">
        <v>758</v>
      </c>
      <c r="C340" s="652"/>
      <c r="D340" s="653"/>
      <c r="E340" s="390">
        <v>332000.0</v>
      </c>
      <c r="F340" s="393"/>
      <c r="G340" s="654">
        <v>332000.0</v>
      </c>
      <c r="H340" s="421"/>
      <c r="I340" s="442"/>
      <c r="J340" s="467"/>
      <c r="K340" s="596"/>
    </row>
    <row r="341" hidden="1" outlineLevel="1">
      <c r="A341" s="610" t="s">
        <v>760</v>
      </c>
      <c r="B341" s="382" t="s">
        <v>761</v>
      </c>
      <c r="C341" s="650"/>
      <c r="D341" s="301"/>
      <c r="E341" s="368">
        <v>332000.0</v>
      </c>
      <c r="F341" s="369"/>
      <c r="G341" s="651">
        <v>332000.0</v>
      </c>
      <c r="H341" s="470"/>
      <c r="I341" s="304"/>
      <c r="J341" s="305"/>
      <c r="K341" s="598"/>
    </row>
    <row r="342" hidden="1" outlineLevel="1">
      <c r="A342" s="536" t="s">
        <v>762</v>
      </c>
      <c r="B342" s="375" t="s">
        <v>763</v>
      </c>
      <c r="C342" s="652"/>
      <c r="D342" s="653"/>
      <c r="E342" s="390">
        <v>366000.0</v>
      </c>
      <c r="F342" s="393"/>
      <c r="G342" s="654">
        <v>366000.0</v>
      </c>
      <c r="H342" s="421"/>
      <c r="I342" s="442"/>
      <c r="J342" s="467"/>
      <c r="K342" s="596"/>
    </row>
    <row r="343" hidden="1" outlineLevel="1">
      <c r="A343" s="610" t="s">
        <v>764</v>
      </c>
      <c r="B343" s="382" t="s">
        <v>765</v>
      </c>
      <c r="C343" s="650"/>
      <c r="D343" s="301"/>
      <c r="E343" s="368">
        <v>356000.0</v>
      </c>
      <c r="F343" s="369"/>
      <c r="G343" s="651">
        <v>356000.0</v>
      </c>
      <c r="H343" s="470"/>
      <c r="I343" s="304"/>
      <c r="J343" s="305"/>
      <c r="K343" s="598"/>
    </row>
    <row r="344" hidden="1" outlineLevel="1">
      <c r="A344" s="536" t="s">
        <v>766</v>
      </c>
      <c r="B344" s="375" t="s">
        <v>767</v>
      </c>
      <c r="C344" s="652"/>
      <c r="D344" s="653"/>
      <c r="E344" s="390">
        <v>345000.0</v>
      </c>
      <c r="F344" s="393"/>
      <c r="G344" s="654">
        <v>345000.0</v>
      </c>
      <c r="H344" s="421"/>
      <c r="I344" s="442"/>
      <c r="J344" s="467"/>
      <c r="K344" s="596"/>
    </row>
    <row r="345" hidden="1" outlineLevel="1">
      <c r="A345" s="610" t="s">
        <v>768</v>
      </c>
      <c r="B345" s="382" t="s">
        <v>769</v>
      </c>
      <c r="C345" s="650"/>
      <c r="D345" s="301"/>
      <c r="E345" s="368">
        <v>377000.0</v>
      </c>
      <c r="F345" s="369"/>
      <c r="G345" s="651">
        <v>377000.0</v>
      </c>
      <c r="H345" s="470"/>
      <c r="I345" s="304"/>
      <c r="J345" s="305"/>
      <c r="K345" s="598"/>
    </row>
    <row r="346" hidden="1" outlineLevel="1">
      <c r="A346" s="536" t="s">
        <v>771</v>
      </c>
      <c r="B346" s="375" t="s">
        <v>772</v>
      </c>
      <c r="C346" s="652"/>
      <c r="D346" s="653"/>
      <c r="E346" s="390">
        <v>366000.0</v>
      </c>
      <c r="F346" s="393"/>
      <c r="G346" s="654">
        <v>366000.0</v>
      </c>
      <c r="H346" s="421"/>
      <c r="I346" s="442"/>
      <c r="J346" s="467"/>
      <c r="K346" s="596"/>
    </row>
    <row r="347" hidden="1" outlineLevel="1">
      <c r="A347" s="610" t="s">
        <v>773</v>
      </c>
      <c r="B347" s="382" t="s">
        <v>774</v>
      </c>
      <c r="C347" s="650"/>
      <c r="D347" s="301"/>
      <c r="E347" s="368">
        <v>356000.0</v>
      </c>
      <c r="F347" s="369"/>
      <c r="G347" s="651">
        <v>356000.0</v>
      </c>
      <c r="H347" s="470"/>
      <c r="I347" s="304"/>
      <c r="J347" s="305"/>
      <c r="K347" s="598"/>
    </row>
    <row r="348" hidden="1" outlineLevel="1">
      <c r="A348" s="536" t="s">
        <v>776</v>
      </c>
      <c r="B348" s="375" t="s">
        <v>777</v>
      </c>
      <c r="C348" s="652"/>
      <c r="D348" s="653"/>
      <c r="E348" s="390">
        <v>943000.0</v>
      </c>
      <c r="F348" s="393"/>
      <c r="G348" s="654">
        <v>943000.0</v>
      </c>
      <c r="H348" s="421"/>
      <c r="I348" s="442"/>
      <c r="J348" s="467"/>
      <c r="K348" s="596"/>
    </row>
    <row r="349" hidden="1" outlineLevel="1">
      <c r="A349" s="610" t="s">
        <v>778</v>
      </c>
      <c r="B349" s="382" t="s">
        <v>779</v>
      </c>
      <c r="C349" s="650"/>
      <c r="D349" s="301"/>
      <c r="E349" s="368">
        <v>681000.0</v>
      </c>
      <c r="F349" s="369"/>
      <c r="G349" s="651">
        <v>681000.0</v>
      </c>
      <c r="H349" s="470"/>
      <c r="I349" s="304"/>
      <c r="J349" s="305"/>
      <c r="K349" s="598"/>
    </row>
    <row r="350" hidden="1" outlineLevel="1">
      <c r="A350" s="698"/>
      <c r="B350" s="699"/>
      <c r="C350" s="700"/>
      <c r="D350" s="701"/>
      <c r="E350" s="702"/>
      <c r="F350" s="703"/>
      <c r="G350" s="704"/>
      <c r="H350" s="705"/>
      <c r="I350" s="706"/>
      <c r="J350" s="707"/>
      <c r="K350" s="708"/>
    </row>
    <row r="351" hidden="1">
      <c r="A351" s="294">
        <v>11.0</v>
      </c>
      <c r="B351" s="296" t="s">
        <v>781</v>
      </c>
      <c r="C351" s="299">
        <f>B352*C352</f>
        <v>110000</v>
      </c>
      <c r="D351" s="300">
        <f>C352*I352</f>
        <v>241000</v>
      </c>
      <c r="E351" s="368"/>
      <c r="F351" s="369">
        <f>E353</f>
        <v>241000</v>
      </c>
      <c r="G351" s="301">
        <f>G353</f>
        <v>241000</v>
      </c>
      <c r="H351" s="302"/>
      <c r="I351" s="304">
        <f>G351-D351</f>
        <v>0</v>
      </c>
      <c r="J351" s="305"/>
      <c r="K351" s="306"/>
    </row>
    <row r="352" hidden="1" collapsed="1">
      <c r="A352" s="307"/>
      <c r="B352" s="308">
        <v>110000.0</v>
      </c>
      <c r="C352" s="309">
        <v>1.0</v>
      </c>
      <c r="D352" s="316">
        <f>(D351/C351)-1</f>
        <v>1.190909091</v>
      </c>
      <c r="E352" s="648"/>
      <c r="F352" s="649"/>
      <c r="G352" s="317">
        <v>1.0</v>
      </c>
      <c r="H352" s="317"/>
      <c r="I352" s="319">
        <f>G351/G352</f>
        <v>241000</v>
      </c>
      <c r="J352" s="320"/>
      <c r="K352" s="322"/>
    </row>
    <row r="353" hidden="1" outlineLevel="1">
      <c r="A353" s="610">
        <v>11.1</v>
      </c>
      <c r="B353" s="382" t="s">
        <v>782</v>
      </c>
      <c r="C353" s="650"/>
      <c r="D353" s="301"/>
      <c r="E353" s="368">
        <v>241000.0</v>
      </c>
      <c r="F353" s="369"/>
      <c r="G353" s="651">
        <v>241000.0</v>
      </c>
      <c r="H353" s="470"/>
      <c r="I353" s="304"/>
      <c r="J353" s="305"/>
      <c r="K353" s="598"/>
    </row>
    <row r="354" hidden="1" outlineLevel="1">
      <c r="A354" s="536"/>
      <c r="B354" s="633"/>
      <c r="C354" s="652"/>
      <c r="D354" s="653"/>
      <c r="E354" s="390"/>
      <c r="F354" s="393"/>
      <c r="G354" s="675"/>
      <c r="H354" s="676"/>
      <c r="I354" s="442"/>
      <c r="J354" s="467"/>
      <c r="K354" s="596"/>
    </row>
    <row r="355" hidden="1">
      <c r="A355" s="294">
        <v>12.0</v>
      </c>
      <c r="B355" s="296" t="s">
        <v>783</v>
      </c>
      <c r="C355" s="299">
        <f>B356*C356</f>
        <v>1800000</v>
      </c>
      <c r="D355" s="300">
        <f>C356*I356</f>
        <v>4257000</v>
      </c>
      <c r="E355" s="368"/>
      <c r="F355" s="369">
        <f>SUM(E357:E361)</f>
        <v>1419000</v>
      </c>
      <c r="G355" s="301">
        <f>SUM(G357:G361)</f>
        <v>1419000</v>
      </c>
      <c r="H355" s="302"/>
      <c r="I355" s="304">
        <f>G355-D355</f>
        <v>-2838000</v>
      </c>
      <c r="J355" s="305"/>
      <c r="K355" s="306"/>
    </row>
    <row r="356" hidden="1" collapsed="1">
      <c r="A356" s="307"/>
      <c r="B356" s="308">
        <v>120000.0</v>
      </c>
      <c r="C356" s="309">
        <v>15.0</v>
      </c>
      <c r="D356" s="316">
        <f>(D355/C355)-1</f>
        <v>1.365</v>
      </c>
      <c r="E356" s="648"/>
      <c r="F356" s="649"/>
      <c r="G356" s="317">
        <f>COUNT(G357:G361)</f>
        <v>5</v>
      </c>
      <c r="H356" s="317"/>
      <c r="I356" s="319">
        <f>G355/G356</f>
        <v>283800</v>
      </c>
      <c r="J356" s="320"/>
      <c r="K356" s="322"/>
    </row>
    <row r="357" hidden="1" outlineLevel="1">
      <c r="A357" s="610">
        <v>12.1</v>
      </c>
      <c r="B357" s="382" t="s">
        <v>786</v>
      </c>
      <c r="C357" s="650"/>
      <c r="D357" s="301"/>
      <c r="E357" s="368">
        <v>293000.0</v>
      </c>
      <c r="F357" s="369"/>
      <c r="G357" s="651">
        <v>293000.0</v>
      </c>
      <c r="H357" s="470"/>
      <c r="I357" s="304"/>
      <c r="J357" s="305"/>
      <c r="K357" s="598"/>
    </row>
    <row r="358" hidden="1" outlineLevel="1">
      <c r="A358" s="536">
        <v>12.2</v>
      </c>
      <c r="B358" s="633" t="s">
        <v>788</v>
      </c>
      <c r="C358" s="652"/>
      <c r="D358" s="653"/>
      <c r="E358" s="390">
        <v>304000.0</v>
      </c>
      <c r="F358" s="393"/>
      <c r="G358" s="654">
        <v>304000.0</v>
      </c>
      <c r="H358" s="421"/>
      <c r="I358" s="442"/>
      <c r="J358" s="467"/>
      <c r="K358" s="596"/>
    </row>
    <row r="359" outlineLevel="1">
      <c r="A359" s="610">
        <v>12.3</v>
      </c>
      <c r="B359" s="611" t="s">
        <v>789</v>
      </c>
      <c r="C359" s="650"/>
      <c r="D359" s="301"/>
      <c r="E359" s="368">
        <v>272000.0</v>
      </c>
      <c r="F359" s="369"/>
      <c r="G359" s="651">
        <v>272000.0</v>
      </c>
      <c r="H359" s="470">
        <v>272000.0</v>
      </c>
      <c r="I359" s="304"/>
      <c r="J359" s="305"/>
      <c r="K359" s="598"/>
    </row>
    <row r="360" hidden="1" outlineLevel="1">
      <c r="A360" s="536">
        <v>12.4</v>
      </c>
      <c r="B360" s="633" t="s">
        <v>790</v>
      </c>
      <c r="C360" s="652"/>
      <c r="D360" s="653"/>
      <c r="E360" s="390">
        <v>262000.0</v>
      </c>
      <c r="F360" s="393"/>
      <c r="G360" s="654">
        <v>262000.0</v>
      </c>
      <c r="H360" s="421"/>
      <c r="I360" s="442"/>
      <c r="J360" s="467"/>
      <c r="K360" s="596"/>
    </row>
    <row r="361" hidden="1" outlineLevel="1">
      <c r="A361" s="610">
        <v>12.5</v>
      </c>
      <c r="B361" s="611" t="s">
        <v>792</v>
      </c>
      <c r="C361" s="650"/>
      <c r="D361" s="301"/>
      <c r="E361" s="368">
        <v>288000.0</v>
      </c>
      <c r="F361" s="369"/>
      <c r="G361" s="651">
        <v>288000.0</v>
      </c>
      <c r="H361" s="470"/>
      <c r="I361" s="304"/>
      <c r="J361" s="305"/>
      <c r="K361" s="598"/>
    </row>
    <row r="362" hidden="1" outlineLevel="1">
      <c r="A362" s="536"/>
      <c r="B362" s="633"/>
      <c r="C362" s="652"/>
      <c r="D362" s="653"/>
      <c r="E362" s="390"/>
      <c r="F362" s="393"/>
      <c r="G362" s="675"/>
      <c r="H362" s="676"/>
      <c r="I362" s="442"/>
      <c r="J362" s="467"/>
      <c r="K362" s="596"/>
    </row>
    <row r="363" hidden="1">
      <c r="A363" s="294">
        <v>13.0</v>
      </c>
      <c r="B363" s="296" t="s">
        <v>793</v>
      </c>
      <c r="C363" s="299">
        <f>B364*C364</f>
        <v>1260000</v>
      </c>
      <c r="D363" s="300">
        <f>C364*I364</f>
        <v>2180000</v>
      </c>
      <c r="E363" s="368"/>
      <c r="F363" s="369">
        <f>SUM(E365:E378)</f>
        <v>2180000</v>
      </c>
      <c r="G363" s="301">
        <f>SUM(G365:G378)</f>
        <v>2180000</v>
      </c>
      <c r="H363" s="302"/>
      <c r="I363" s="304">
        <f>G363-D363</f>
        <v>0</v>
      </c>
      <c r="J363" s="305"/>
      <c r="K363" s="306"/>
    </row>
    <row r="364" hidden="1" collapsed="1">
      <c r="A364" s="307"/>
      <c r="B364" s="308">
        <v>90000.0</v>
      </c>
      <c r="C364" s="309">
        <v>14.0</v>
      </c>
      <c r="D364" s="316">
        <f>(D363/C363)-1</f>
        <v>0.7301587302</v>
      </c>
      <c r="E364" s="648"/>
      <c r="F364" s="649"/>
      <c r="G364" s="317">
        <f>COUNT(G365:G378)</f>
        <v>14</v>
      </c>
      <c r="H364" s="317"/>
      <c r="I364" s="319">
        <f>G363/G364</f>
        <v>155714.2857</v>
      </c>
      <c r="J364" s="320"/>
      <c r="K364" s="322"/>
    </row>
    <row r="365" outlineLevel="1">
      <c r="A365" s="610">
        <v>13.1</v>
      </c>
      <c r="B365" s="382" t="s">
        <v>794</v>
      </c>
      <c r="C365" s="650"/>
      <c r="D365" s="301"/>
      <c r="E365" s="368">
        <v>167000.0</v>
      </c>
      <c r="F365" s="369"/>
      <c r="G365" s="651">
        <v>167000.0</v>
      </c>
      <c r="H365" s="470">
        <v>167000.0</v>
      </c>
      <c r="I365" s="304"/>
      <c r="J365" s="305"/>
      <c r="K365" s="598"/>
    </row>
    <row r="366" hidden="1" outlineLevel="1">
      <c r="A366" s="536">
        <v>13.2</v>
      </c>
      <c r="B366" s="375" t="s">
        <v>795</v>
      </c>
      <c r="C366" s="652"/>
      <c r="D366" s="653"/>
      <c r="E366" s="390">
        <v>167000.0</v>
      </c>
      <c r="F366" s="393"/>
      <c r="G366" s="654">
        <v>167000.0</v>
      </c>
      <c r="H366" s="421"/>
      <c r="I366" s="442"/>
      <c r="J366" s="467"/>
      <c r="K366" s="596"/>
    </row>
    <row r="367" hidden="1" outlineLevel="1">
      <c r="A367" s="610">
        <v>13.3</v>
      </c>
      <c r="B367" s="382" t="s">
        <v>796</v>
      </c>
      <c r="C367" s="650"/>
      <c r="D367" s="301"/>
      <c r="E367" s="368">
        <v>167000.0</v>
      </c>
      <c r="F367" s="369"/>
      <c r="G367" s="651">
        <v>167000.0</v>
      </c>
      <c r="H367" s="470"/>
      <c r="I367" s="304"/>
      <c r="J367" s="305"/>
      <c r="K367" s="598"/>
    </row>
    <row r="368" hidden="1" outlineLevel="1">
      <c r="A368" s="536">
        <v>13.4</v>
      </c>
      <c r="B368" s="375" t="s">
        <v>797</v>
      </c>
      <c r="C368" s="652"/>
      <c r="D368" s="653"/>
      <c r="E368" s="390">
        <v>220000.0</v>
      </c>
      <c r="F368" s="393"/>
      <c r="G368" s="654">
        <v>220000.0</v>
      </c>
      <c r="H368" s="421"/>
      <c r="I368" s="442"/>
      <c r="J368" s="467"/>
      <c r="K368" s="596"/>
    </row>
    <row r="369" outlineLevel="1">
      <c r="A369" s="610">
        <v>13.5</v>
      </c>
      <c r="B369" s="382" t="s">
        <v>798</v>
      </c>
      <c r="C369" s="650"/>
      <c r="D369" s="301"/>
      <c r="E369" s="368">
        <v>167000.0</v>
      </c>
      <c r="F369" s="369"/>
      <c r="G369" s="651">
        <v>167000.0</v>
      </c>
      <c r="H369" s="470">
        <v>167000.0</v>
      </c>
      <c r="I369" s="304"/>
      <c r="J369" s="305"/>
      <c r="K369" s="598"/>
    </row>
    <row r="370" outlineLevel="1">
      <c r="A370" s="536">
        <v>13.6</v>
      </c>
      <c r="B370" s="375" t="s">
        <v>799</v>
      </c>
      <c r="C370" s="652"/>
      <c r="D370" s="653"/>
      <c r="E370" s="390">
        <v>188000.0</v>
      </c>
      <c r="F370" s="393"/>
      <c r="G370" s="654">
        <v>188000.0</v>
      </c>
      <c r="H370" s="421">
        <v>188000.0</v>
      </c>
      <c r="I370" s="442"/>
      <c r="J370" s="467"/>
      <c r="K370" s="596"/>
    </row>
    <row r="371" hidden="1" outlineLevel="1">
      <c r="A371" s="610">
        <v>13.7</v>
      </c>
      <c r="B371" s="382" t="s">
        <v>800</v>
      </c>
      <c r="C371" s="650"/>
      <c r="D371" s="301"/>
      <c r="E371" s="368">
        <v>131000.0</v>
      </c>
      <c r="F371" s="369"/>
      <c r="G371" s="651">
        <v>131000.0</v>
      </c>
      <c r="H371" s="470"/>
      <c r="I371" s="304"/>
      <c r="J371" s="305"/>
      <c r="K371" s="598"/>
    </row>
    <row r="372" hidden="1" outlineLevel="1">
      <c r="A372" s="536">
        <v>13.8</v>
      </c>
      <c r="B372" s="375" t="s">
        <v>801</v>
      </c>
      <c r="C372" s="652"/>
      <c r="D372" s="653"/>
      <c r="E372" s="390">
        <v>131000.0</v>
      </c>
      <c r="F372" s="393"/>
      <c r="G372" s="654">
        <v>131000.0</v>
      </c>
      <c r="H372" s="421"/>
      <c r="I372" s="442"/>
      <c r="J372" s="467"/>
      <c r="K372" s="596"/>
    </row>
    <row r="373" outlineLevel="1">
      <c r="A373" s="610">
        <v>13.9</v>
      </c>
      <c r="B373" s="382" t="s">
        <v>802</v>
      </c>
      <c r="C373" s="650"/>
      <c r="D373" s="301"/>
      <c r="E373" s="368">
        <v>131000.0</v>
      </c>
      <c r="F373" s="369"/>
      <c r="G373" s="651">
        <v>131000.0</v>
      </c>
      <c r="H373" s="470">
        <v>131000.0</v>
      </c>
      <c r="I373" s="304"/>
      <c r="J373" s="305"/>
      <c r="K373" s="598"/>
    </row>
    <row r="374" hidden="1" outlineLevel="1">
      <c r="A374" s="655" t="s">
        <v>803</v>
      </c>
      <c r="B374" s="375" t="s">
        <v>804</v>
      </c>
      <c r="C374" s="652"/>
      <c r="D374" s="653"/>
      <c r="E374" s="390">
        <v>157000.0</v>
      </c>
      <c r="F374" s="393"/>
      <c r="G374" s="654">
        <v>157000.0</v>
      </c>
      <c r="H374" s="421"/>
      <c r="I374" s="442"/>
      <c r="J374" s="467"/>
      <c r="K374" s="596"/>
    </row>
    <row r="375" hidden="1" outlineLevel="1">
      <c r="A375" s="656" t="s">
        <v>805</v>
      </c>
      <c r="B375" s="382" t="s">
        <v>806</v>
      </c>
      <c r="C375" s="650"/>
      <c r="D375" s="301"/>
      <c r="E375" s="368">
        <v>157000.0</v>
      </c>
      <c r="F375" s="369"/>
      <c r="G375" s="651">
        <v>157000.0</v>
      </c>
      <c r="H375" s="470"/>
      <c r="I375" s="304"/>
      <c r="J375" s="305"/>
      <c r="K375" s="598"/>
    </row>
    <row r="376" hidden="1" outlineLevel="1">
      <c r="A376" s="536" t="s">
        <v>807</v>
      </c>
      <c r="B376" s="375" t="s">
        <v>808</v>
      </c>
      <c r="C376" s="652"/>
      <c r="D376" s="653"/>
      <c r="E376" s="390">
        <v>136000.0</v>
      </c>
      <c r="F376" s="393"/>
      <c r="G376" s="654">
        <v>136000.0</v>
      </c>
      <c r="H376" s="421"/>
      <c r="I376" s="442"/>
      <c r="J376" s="467"/>
      <c r="K376" s="596"/>
    </row>
    <row r="377" hidden="1" outlineLevel="1">
      <c r="A377" s="610" t="s">
        <v>809</v>
      </c>
      <c r="B377" s="382" t="s">
        <v>810</v>
      </c>
      <c r="C377" s="650"/>
      <c r="D377" s="301"/>
      <c r="E377" s="368">
        <v>136000.0</v>
      </c>
      <c r="F377" s="369"/>
      <c r="G377" s="651">
        <v>136000.0</v>
      </c>
      <c r="H377" s="470"/>
      <c r="I377" s="304"/>
      <c r="J377" s="305"/>
      <c r="K377" s="598"/>
    </row>
    <row r="378" outlineLevel="1">
      <c r="A378" s="536" t="s">
        <v>811</v>
      </c>
      <c r="B378" s="375" t="s">
        <v>812</v>
      </c>
      <c r="C378" s="652"/>
      <c r="D378" s="653"/>
      <c r="E378" s="390">
        <v>125000.0</v>
      </c>
      <c r="F378" s="393"/>
      <c r="G378" s="654">
        <v>125000.0</v>
      </c>
      <c r="H378" s="421">
        <v>125000.0</v>
      </c>
      <c r="I378" s="442"/>
      <c r="J378" s="467"/>
      <c r="K378" s="596"/>
    </row>
    <row r="379" hidden="1" outlineLevel="1">
      <c r="A379" s="610"/>
      <c r="B379" s="611"/>
      <c r="C379" s="650"/>
      <c r="D379" s="301"/>
      <c r="E379" s="368"/>
      <c r="F379" s="369"/>
      <c r="G379" s="669"/>
      <c r="H379" s="670"/>
      <c r="I379" s="304"/>
      <c r="J379" s="305"/>
      <c r="K379" s="598"/>
    </row>
    <row r="380" hidden="1">
      <c r="A380" s="294">
        <v>14.0</v>
      </c>
      <c r="B380" s="296" t="s">
        <v>813</v>
      </c>
      <c r="C380" s="299">
        <f>B381*C381</f>
        <v>1530000</v>
      </c>
      <c r="D380" s="300">
        <f>C381*I381</f>
        <v>3496333.333</v>
      </c>
      <c r="E380" s="368"/>
      <c r="F380" s="369">
        <f>SUM(E382:E384)</f>
        <v>617000</v>
      </c>
      <c r="G380" s="301">
        <f>SUM(G382:G384)</f>
        <v>617000</v>
      </c>
      <c r="H380" s="302"/>
      <c r="I380" s="304">
        <f>G380-D380</f>
        <v>-2879333.333</v>
      </c>
      <c r="J380" s="305"/>
      <c r="K380" s="306"/>
    </row>
    <row r="381" hidden="1" collapsed="1">
      <c r="A381" s="307"/>
      <c r="B381" s="308">
        <v>90000.0</v>
      </c>
      <c r="C381" s="309">
        <v>17.0</v>
      </c>
      <c r="D381" s="316">
        <f>(D380/C380)-1</f>
        <v>1.285185185</v>
      </c>
      <c r="E381" s="648"/>
      <c r="F381" s="649"/>
      <c r="G381" s="317">
        <f>COUNT(G382:G384)</f>
        <v>3</v>
      </c>
      <c r="H381" s="317"/>
      <c r="I381" s="319">
        <f>G380/G381</f>
        <v>205666.6667</v>
      </c>
      <c r="J381" s="320"/>
      <c r="K381" s="322"/>
    </row>
    <row r="382" hidden="1" outlineLevel="1">
      <c r="A382" s="536">
        <v>14.1</v>
      </c>
      <c r="B382" s="375" t="s">
        <v>815</v>
      </c>
      <c r="C382" s="652"/>
      <c r="D382" s="653"/>
      <c r="E382" s="390">
        <v>188000.0</v>
      </c>
      <c r="F382" s="393"/>
      <c r="G382" s="654">
        <v>188000.0</v>
      </c>
      <c r="H382" s="421"/>
      <c r="I382" s="442"/>
      <c r="J382" s="467"/>
      <c r="K382" s="596"/>
    </row>
    <row r="383" hidden="1" outlineLevel="1">
      <c r="A383" s="610">
        <v>14.2</v>
      </c>
      <c r="B383" s="382" t="s">
        <v>816</v>
      </c>
      <c r="C383" s="650"/>
      <c r="D383" s="301"/>
      <c r="E383" s="368">
        <v>188000.0</v>
      </c>
      <c r="F383" s="369"/>
      <c r="G383" s="651">
        <v>188000.0</v>
      </c>
      <c r="H383" s="470"/>
      <c r="I383" s="304"/>
      <c r="J383" s="305"/>
      <c r="K383" s="598"/>
    </row>
    <row r="384" outlineLevel="1">
      <c r="A384" s="536">
        <v>14.3</v>
      </c>
      <c r="B384" s="375" t="s">
        <v>817</v>
      </c>
      <c r="C384" s="652"/>
      <c r="D384" s="653"/>
      <c r="E384" s="390">
        <v>241000.0</v>
      </c>
      <c r="F384" s="393"/>
      <c r="G384" s="654">
        <v>241000.0</v>
      </c>
      <c r="H384" s="421">
        <v>241000.0</v>
      </c>
      <c r="I384" s="442"/>
      <c r="J384" s="467"/>
      <c r="K384" s="596"/>
    </row>
    <row r="385" hidden="1" outlineLevel="1">
      <c r="A385" s="610"/>
      <c r="B385" s="611"/>
      <c r="C385" s="650"/>
      <c r="D385" s="301"/>
      <c r="E385" s="368"/>
      <c r="F385" s="369"/>
      <c r="G385" s="669"/>
      <c r="H385" s="670"/>
      <c r="I385" s="304"/>
      <c r="J385" s="305"/>
      <c r="K385" s="598"/>
    </row>
    <row r="386" hidden="1">
      <c r="A386" s="294">
        <v>15.0</v>
      </c>
      <c r="B386" s="296" t="s">
        <v>818</v>
      </c>
      <c r="C386" s="299">
        <f>B387*C387</f>
        <v>2600000</v>
      </c>
      <c r="D386" s="300">
        <f>C387*I387</f>
        <v>4110000</v>
      </c>
      <c r="E386" s="368"/>
      <c r="F386" s="369">
        <f>SUM(E388:E391)</f>
        <v>822000</v>
      </c>
      <c r="G386" s="301">
        <f>SUM(G388:G391)</f>
        <v>822000</v>
      </c>
      <c r="H386" s="302"/>
      <c r="I386" s="304">
        <f>G386-D386</f>
        <v>-3288000</v>
      </c>
      <c r="J386" s="305"/>
      <c r="K386" s="306"/>
    </row>
    <row r="387" hidden="1" collapsed="1">
      <c r="A387" s="307"/>
      <c r="B387" s="308">
        <v>130000.0</v>
      </c>
      <c r="C387" s="309">
        <v>20.0</v>
      </c>
      <c r="D387" s="316">
        <f>(D386/C386)-1</f>
        <v>0.5807692308</v>
      </c>
      <c r="E387" s="648"/>
      <c r="F387" s="649"/>
      <c r="G387" s="317">
        <f>COUNT(G388:G391)</f>
        <v>4</v>
      </c>
      <c r="H387" s="317"/>
      <c r="I387" s="319">
        <f>G386/G387</f>
        <v>205500</v>
      </c>
      <c r="J387" s="320"/>
      <c r="K387" s="322"/>
    </row>
    <row r="388" hidden="1" outlineLevel="1">
      <c r="A388" s="536">
        <v>15.1</v>
      </c>
      <c r="B388" s="375" t="s">
        <v>820</v>
      </c>
      <c r="C388" s="652"/>
      <c r="D388" s="653"/>
      <c r="E388" s="390">
        <v>241000.0</v>
      </c>
      <c r="F388" s="393"/>
      <c r="G388" s="654">
        <v>241000.0</v>
      </c>
      <c r="H388" s="421"/>
      <c r="I388" s="442"/>
      <c r="J388" s="467"/>
      <c r="K388" s="596"/>
    </row>
    <row r="389" hidden="1" outlineLevel="1">
      <c r="A389" s="610">
        <v>15.2</v>
      </c>
      <c r="B389" s="382" t="s">
        <v>821</v>
      </c>
      <c r="C389" s="650"/>
      <c r="D389" s="301"/>
      <c r="E389" s="368">
        <v>241000.0</v>
      </c>
      <c r="F389" s="369"/>
      <c r="G389" s="651">
        <v>241000.0</v>
      </c>
      <c r="H389" s="470"/>
      <c r="I389" s="304"/>
      <c r="J389" s="305"/>
      <c r="K389" s="598"/>
    </row>
    <row r="390" hidden="1" outlineLevel="1">
      <c r="A390" s="536">
        <v>15.3</v>
      </c>
      <c r="B390" s="375" t="s">
        <v>822</v>
      </c>
      <c r="C390" s="652"/>
      <c r="D390" s="653"/>
      <c r="E390" s="390">
        <v>170000.0</v>
      </c>
      <c r="F390" s="393"/>
      <c r="G390" s="654">
        <v>170000.0</v>
      </c>
      <c r="H390" s="421"/>
      <c r="I390" s="442"/>
      <c r="J390" s="467"/>
      <c r="K390" s="596"/>
    </row>
    <row r="391" hidden="1" outlineLevel="1">
      <c r="A391" s="610">
        <v>15.4</v>
      </c>
      <c r="B391" s="382" t="s">
        <v>823</v>
      </c>
      <c r="C391" s="650"/>
      <c r="D391" s="301"/>
      <c r="E391" s="368">
        <v>170000.0</v>
      </c>
      <c r="F391" s="369"/>
      <c r="G391" s="651">
        <v>170000.0</v>
      </c>
      <c r="H391" s="470"/>
      <c r="I391" s="304"/>
      <c r="J391" s="305"/>
      <c r="K391" s="598"/>
    </row>
    <row r="392" hidden="1" outlineLevel="1">
      <c r="A392" s="536"/>
      <c r="B392" s="633"/>
      <c r="C392" s="652"/>
      <c r="D392" s="653"/>
      <c r="E392" s="390"/>
      <c r="F392" s="393"/>
      <c r="G392" s="675"/>
      <c r="H392" s="676"/>
      <c r="I392" s="442"/>
      <c r="J392" s="467"/>
      <c r="K392" s="596"/>
    </row>
    <row r="393" hidden="1">
      <c r="A393" s="294">
        <v>16.0</v>
      </c>
      <c r="B393" s="296" t="s">
        <v>824</v>
      </c>
      <c r="C393" s="299">
        <f>B394*C394</f>
        <v>60000</v>
      </c>
      <c r="D393" s="300">
        <f>C394*I394</f>
        <v>142000</v>
      </c>
      <c r="E393" s="368"/>
      <c r="F393" s="369">
        <f>E395</f>
        <v>142000</v>
      </c>
      <c r="G393" s="301">
        <f>G395</f>
        <v>142000</v>
      </c>
      <c r="H393" s="302"/>
      <c r="I393" s="304">
        <f>G393-D393</f>
        <v>0</v>
      </c>
      <c r="J393" s="305"/>
      <c r="K393" s="306"/>
    </row>
    <row r="394" hidden="1" collapsed="1">
      <c r="A394" s="307"/>
      <c r="B394" s="308">
        <v>60000.0</v>
      </c>
      <c r="C394" s="309">
        <v>1.0</v>
      </c>
      <c r="D394" s="316">
        <f>(D393/C393)-1</f>
        <v>1.366666667</v>
      </c>
      <c r="E394" s="648"/>
      <c r="F394" s="649"/>
      <c r="G394" s="317">
        <f>COUNT(G395)</f>
        <v>1</v>
      </c>
      <c r="H394" s="317"/>
      <c r="I394" s="319">
        <f>G393/G394</f>
        <v>142000</v>
      </c>
      <c r="J394" s="320"/>
      <c r="K394" s="322"/>
    </row>
    <row r="395" hidden="1" outlineLevel="1">
      <c r="A395" s="610">
        <v>16.1</v>
      </c>
      <c r="B395" s="382" t="s">
        <v>826</v>
      </c>
      <c r="C395" s="650"/>
      <c r="D395" s="301"/>
      <c r="E395" s="368">
        <v>142000.0</v>
      </c>
      <c r="F395" s="369"/>
      <c r="G395" s="651">
        <v>142000.0</v>
      </c>
      <c r="H395" s="470"/>
      <c r="I395" s="304"/>
      <c r="J395" s="305"/>
      <c r="K395" s="598"/>
    </row>
    <row r="396" hidden="1" outlineLevel="1">
      <c r="A396" s="536"/>
      <c r="B396" s="633"/>
      <c r="C396" s="652"/>
      <c r="D396" s="653"/>
      <c r="E396" s="390"/>
      <c r="F396" s="393"/>
      <c r="G396" s="675"/>
      <c r="H396" s="676"/>
      <c r="I396" s="442"/>
      <c r="J396" s="467"/>
      <c r="K396" s="596"/>
    </row>
    <row r="397" hidden="1">
      <c r="A397" s="294">
        <v>17.0</v>
      </c>
      <c r="B397" s="296" t="s">
        <v>828</v>
      </c>
      <c r="C397" s="299">
        <f>B398*C398</f>
        <v>375000</v>
      </c>
      <c r="D397" s="300">
        <f>C398*I398</f>
        <v>812500</v>
      </c>
      <c r="E397" s="368"/>
      <c r="F397" s="369">
        <f>SUM(E399:E402)</f>
        <v>650000</v>
      </c>
      <c r="G397" s="301">
        <f>SUM(G399:G402)</f>
        <v>650000</v>
      </c>
      <c r="H397" s="302"/>
      <c r="I397" s="304">
        <f>G397-D397</f>
        <v>-162500</v>
      </c>
      <c r="J397" s="305"/>
      <c r="K397" s="306"/>
    </row>
    <row r="398" hidden="1" collapsed="1">
      <c r="A398" s="307"/>
      <c r="B398" s="308">
        <v>75000.0</v>
      </c>
      <c r="C398" s="309">
        <v>5.0</v>
      </c>
      <c r="D398" s="316">
        <f>(D397/C397)-1</f>
        <v>1.166666667</v>
      </c>
      <c r="E398" s="648"/>
      <c r="F398" s="649"/>
      <c r="G398" s="317">
        <f>COUNT(G399:G402)</f>
        <v>4</v>
      </c>
      <c r="H398" s="317"/>
      <c r="I398" s="319">
        <f>G397/G398</f>
        <v>162500</v>
      </c>
      <c r="J398" s="320"/>
      <c r="K398" s="322"/>
    </row>
    <row r="399" hidden="1" outlineLevel="1">
      <c r="A399" s="610">
        <v>17.1</v>
      </c>
      <c r="B399" s="382" t="s">
        <v>831</v>
      </c>
      <c r="C399" s="650"/>
      <c r="D399" s="301"/>
      <c r="E399" s="368">
        <v>178000.0</v>
      </c>
      <c r="F399" s="369"/>
      <c r="G399" s="651">
        <v>178000.0</v>
      </c>
      <c r="H399" s="470"/>
      <c r="I399" s="304"/>
      <c r="J399" s="305"/>
      <c r="K399" s="598"/>
    </row>
    <row r="400" hidden="1" outlineLevel="1">
      <c r="A400" s="536">
        <v>17.2</v>
      </c>
      <c r="B400" s="375" t="s">
        <v>832</v>
      </c>
      <c r="C400" s="652"/>
      <c r="D400" s="653"/>
      <c r="E400" s="390">
        <v>176000.0</v>
      </c>
      <c r="F400" s="393"/>
      <c r="G400" s="654">
        <v>176000.0</v>
      </c>
      <c r="H400" s="421"/>
      <c r="I400" s="442"/>
      <c r="J400" s="467"/>
      <c r="K400" s="596"/>
    </row>
    <row r="401" hidden="1" outlineLevel="1">
      <c r="A401" s="610">
        <v>17.3</v>
      </c>
      <c r="B401" s="382" t="s">
        <v>833</v>
      </c>
      <c r="C401" s="650"/>
      <c r="D401" s="301"/>
      <c r="E401" s="368">
        <v>148000.0</v>
      </c>
      <c r="F401" s="369"/>
      <c r="G401" s="651">
        <v>148000.0</v>
      </c>
      <c r="H401" s="470"/>
      <c r="I401" s="304"/>
      <c r="J401" s="305"/>
      <c r="K401" s="598"/>
    </row>
    <row r="402" hidden="1" outlineLevel="1">
      <c r="A402" s="536">
        <v>17.4</v>
      </c>
      <c r="B402" s="375" t="s">
        <v>834</v>
      </c>
      <c r="C402" s="652"/>
      <c r="D402" s="653"/>
      <c r="E402" s="390">
        <v>148000.0</v>
      </c>
      <c r="F402" s="393"/>
      <c r="G402" s="654">
        <v>148000.0</v>
      </c>
      <c r="H402" s="421"/>
      <c r="I402" s="442"/>
      <c r="J402" s="467"/>
      <c r="K402" s="596"/>
    </row>
    <row r="403" hidden="1" outlineLevel="1">
      <c r="A403" s="610"/>
      <c r="B403" s="611"/>
      <c r="C403" s="650"/>
      <c r="D403" s="301"/>
      <c r="E403" s="368"/>
      <c r="F403" s="369"/>
      <c r="G403" s="669"/>
      <c r="H403" s="670"/>
      <c r="I403" s="304"/>
      <c r="J403" s="305"/>
      <c r="K403" s="598"/>
    </row>
    <row r="404" hidden="1">
      <c r="A404" s="294">
        <v>18.0</v>
      </c>
      <c r="B404" s="296" t="s">
        <v>835</v>
      </c>
      <c r="C404" s="299">
        <f>5*350000+30*230000</f>
        <v>8650000</v>
      </c>
      <c r="D404" s="300">
        <f>C405*I405</f>
        <v>21713400</v>
      </c>
      <c r="E404" s="368"/>
      <c r="F404" s="369">
        <f>SUM(E406:E418)</f>
        <v>0</v>
      </c>
      <c r="G404" s="301">
        <f>SUM(G406:G418)</f>
        <v>4021000</v>
      </c>
      <c r="H404" s="302"/>
      <c r="I404" s="304">
        <f>G404-D404</f>
        <v>-17692400</v>
      </c>
      <c r="J404" s="305" t="s">
        <v>837</v>
      </c>
      <c r="K404" s="306"/>
    </row>
    <row r="405" hidden="1" collapsed="1">
      <c r="A405" s="307"/>
      <c r="B405" s="308" t="s">
        <v>838</v>
      </c>
      <c r="C405" s="309">
        <v>27.0</v>
      </c>
      <c r="D405" s="316">
        <f>(D404/C404)-1</f>
        <v>1.510219653</v>
      </c>
      <c r="E405" s="648"/>
      <c r="F405" s="649"/>
      <c r="G405" s="317">
        <f>COUNT(G406:G410)</f>
        <v>5</v>
      </c>
      <c r="H405" s="317"/>
      <c r="I405" s="319">
        <f>G404/G405</f>
        <v>804200</v>
      </c>
      <c r="J405" s="320"/>
      <c r="K405" s="322"/>
    </row>
    <row r="406" outlineLevel="1">
      <c r="A406" s="536">
        <v>18.1</v>
      </c>
      <c r="B406" s="375" t="s">
        <v>839</v>
      </c>
      <c r="C406" s="652"/>
      <c r="D406" s="653"/>
      <c r="E406" s="390">
        <v>0.0</v>
      </c>
      <c r="F406" s="393"/>
      <c r="G406" s="654">
        <v>770000.0</v>
      </c>
      <c r="H406" s="421">
        <v>1100000.0</v>
      </c>
      <c r="I406" s="442"/>
      <c r="J406" s="467"/>
      <c r="K406" s="596"/>
    </row>
    <row r="407" hidden="1" outlineLevel="1">
      <c r="A407" s="610">
        <v>18.2</v>
      </c>
      <c r="B407" s="382" t="s">
        <v>840</v>
      </c>
      <c r="C407" s="650"/>
      <c r="D407" s="301"/>
      <c r="E407" s="368">
        <v>0.0</v>
      </c>
      <c r="F407" s="369"/>
      <c r="G407" s="651">
        <v>805000.0</v>
      </c>
      <c r="H407" s="470"/>
      <c r="I407" s="304"/>
      <c r="J407" s="305"/>
      <c r="K407" s="598"/>
    </row>
    <row r="408" hidden="1" outlineLevel="1">
      <c r="A408" s="536">
        <v>18.3</v>
      </c>
      <c r="B408" s="375" t="s">
        <v>841</v>
      </c>
      <c r="C408" s="652"/>
      <c r="D408" s="653"/>
      <c r="E408" s="390">
        <v>0.0</v>
      </c>
      <c r="F408" s="393"/>
      <c r="G408" s="654">
        <v>879000.0</v>
      </c>
      <c r="H408" s="421"/>
      <c r="I408" s="442"/>
      <c r="J408" s="467"/>
      <c r="K408" s="596"/>
    </row>
    <row r="409" hidden="1" outlineLevel="1">
      <c r="A409" s="610">
        <v>18.4</v>
      </c>
      <c r="B409" s="382" t="s">
        <v>842</v>
      </c>
      <c r="C409" s="650"/>
      <c r="D409" s="301"/>
      <c r="E409" s="368">
        <v>0.0</v>
      </c>
      <c r="F409" s="369"/>
      <c r="G409" s="651">
        <v>720000.0</v>
      </c>
      <c r="H409" s="470"/>
      <c r="I409" s="304"/>
      <c r="J409" s="305"/>
      <c r="K409" s="598"/>
    </row>
    <row r="410" hidden="1" outlineLevel="1">
      <c r="A410" s="536">
        <v>18.5</v>
      </c>
      <c r="B410" s="375" t="s">
        <v>843</v>
      </c>
      <c r="C410" s="652"/>
      <c r="D410" s="653"/>
      <c r="E410" s="390">
        <v>0.0</v>
      </c>
      <c r="F410" s="393"/>
      <c r="G410" s="654">
        <v>847000.0</v>
      </c>
      <c r="H410" s="421"/>
      <c r="I410" s="442"/>
      <c r="J410" s="467"/>
      <c r="K410" s="596"/>
    </row>
    <row r="411" hidden="1" outlineLevel="1">
      <c r="A411" s="610">
        <v>18.6</v>
      </c>
      <c r="B411" s="382" t="s">
        <v>844</v>
      </c>
      <c r="C411" s="650"/>
      <c r="D411" s="301"/>
      <c r="E411" s="368">
        <v>0.0</v>
      </c>
      <c r="F411" s="369"/>
      <c r="G411" s="651">
        <v>0.0</v>
      </c>
      <c r="H411" s="470"/>
      <c r="I411" s="384"/>
      <c r="J411" s="472" t="s">
        <v>718</v>
      </c>
      <c r="K411" s="598"/>
    </row>
    <row r="412" hidden="1" outlineLevel="1">
      <c r="A412" s="536">
        <v>18.7</v>
      </c>
      <c r="B412" s="375" t="s">
        <v>846</v>
      </c>
      <c r="C412" s="652"/>
      <c r="D412" s="653"/>
      <c r="E412" s="390">
        <v>0.0</v>
      </c>
      <c r="F412" s="393"/>
      <c r="G412" s="654">
        <v>0.0</v>
      </c>
      <c r="H412" s="421"/>
      <c r="I412" s="442"/>
      <c r="J412" s="467"/>
      <c r="K412" s="596"/>
    </row>
    <row r="413" hidden="1" outlineLevel="1">
      <c r="A413" s="610">
        <v>18.8</v>
      </c>
      <c r="B413" s="382" t="s">
        <v>847</v>
      </c>
      <c r="C413" s="650"/>
      <c r="D413" s="301"/>
      <c r="E413" s="368">
        <v>0.0</v>
      </c>
      <c r="F413" s="369"/>
      <c r="G413" s="651">
        <v>0.0</v>
      </c>
      <c r="H413" s="470"/>
      <c r="I413" s="304"/>
      <c r="J413" s="305"/>
      <c r="K413" s="598"/>
    </row>
    <row r="414" hidden="1" outlineLevel="1">
      <c r="A414" s="536">
        <v>18.9</v>
      </c>
      <c r="B414" s="375" t="s">
        <v>848</v>
      </c>
      <c r="C414" s="652"/>
      <c r="D414" s="653"/>
      <c r="E414" s="390">
        <v>0.0</v>
      </c>
      <c r="F414" s="393"/>
      <c r="G414" s="654">
        <v>0.0</v>
      </c>
      <c r="H414" s="421"/>
      <c r="I414" s="442"/>
      <c r="J414" s="467"/>
      <c r="K414" s="596"/>
    </row>
    <row r="415" hidden="1" outlineLevel="1">
      <c r="A415" s="656" t="s">
        <v>849</v>
      </c>
      <c r="B415" s="382" t="s">
        <v>850</v>
      </c>
      <c r="C415" s="650"/>
      <c r="D415" s="301"/>
      <c r="E415" s="368">
        <v>0.0</v>
      </c>
      <c r="F415" s="369"/>
      <c r="G415" s="651">
        <v>0.0</v>
      </c>
      <c r="H415" s="470"/>
      <c r="I415" s="304"/>
      <c r="J415" s="305"/>
      <c r="K415" s="598"/>
    </row>
    <row r="416" hidden="1" outlineLevel="1">
      <c r="A416" s="655" t="s">
        <v>851</v>
      </c>
      <c r="B416" s="375" t="s">
        <v>852</v>
      </c>
      <c r="C416" s="652"/>
      <c r="D416" s="653"/>
      <c r="E416" s="390">
        <v>0.0</v>
      </c>
      <c r="F416" s="393"/>
      <c r="G416" s="654">
        <v>0.0</v>
      </c>
      <c r="H416" s="421"/>
      <c r="I416" s="442"/>
      <c r="J416" s="467"/>
      <c r="K416" s="596"/>
    </row>
    <row r="417" hidden="1" outlineLevel="1">
      <c r="A417" s="610" t="s">
        <v>853</v>
      </c>
      <c r="B417" s="382" t="s">
        <v>854</v>
      </c>
      <c r="C417" s="650"/>
      <c r="D417" s="301"/>
      <c r="E417" s="368">
        <v>0.0</v>
      </c>
      <c r="F417" s="369"/>
      <c r="G417" s="651">
        <v>0.0</v>
      </c>
      <c r="H417" s="470"/>
      <c r="I417" s="304"/>
      <c r="J417" s="305"/>
      <c r="K417" s="598"/>
    </row>
    <row r="418" hidden="1" outlineLevel="1">
      <c r="A418" s="536" t="s">
        <v>855</v>
      </c>
      <c r="B418" s="375" t="s">
        <v>856</v>
      </c>
      <c r="C418" s="652"/>
      <c r="D418" s="653"/>
      <c r="E418" s="390">
        <v>0.0</v>
      </c>
      <c r="F418" s="393"/>
      <c r="G418" s="654">
        <v>0.0</v>
      </c>
      <c r="H418" s="421"/>
      <c r="I418" s="442"/>
      <c r="J418" s="467"/>
      <c r="K418" s="596"/>
    </row>
    <row r="419" hidden="1" outlineLevel="1">
      <c r="A419" s="610"/>
      <c r="B419" s="611"/>
      <c r="C419" s="650"/>
      <c r="D419" s="301"/>
      <c r="E419" s="368"/>
      <c r="F419" s="369"/>
      <c r="G419" s="669"/>
      <c r="H419" s="670"/>
      <c r="I419" s="304"/>
      <c r="J419" s="305"/>
      <c r="K419" s="598"/>
    </row>
    <row r="420" hidden="1">
      <c r="A420" s="294">
        <v>19.0</v>
      </c>
      <c r="B420" s="296" t="s">
        <v>857</v>
      </c>
      <c r="C420" s="299">
        <f>4*500000+6*95000</f>
        <v>2570000</v>
      </c>
      <c r="D420" s="300">
        <f>4*(G420/3)+6*200000</f>
        <v>7280000</v>
      </c>
      <c r="E420" s="368"/>
      <c r="F420" s="369">
        <f>SUM(E422:E424)</f>
        <v>4560000</v>
      </c>
      <c r="G420" s="301">
        <f>SUM(G422:G424)</f>
        <v>4560000</v>
      </c>
      <c r="H420" s="302"/>
      <c r="I420" s="304">
        <f>G420-D420</f>
        <v>-2720000</v>
      </c>
      <c r="J420" s="305"/>
      <c r="K420" s="306"/>
    </row>
    <row r="421" hidden="1" collapsed="1">
      <c r="A421" s="307"/>
      <c r="B421" s="308" t="s">
        <v>858</v>
      </c>
      <c r="C421" s="309">
        <v>10.0</v>
      </c>
      <c r="D421" s="316">
        <f>(D420/C420)-1</f>
        <v>1.832684825</v>
      </c>
      <c r="E421" s="648"/>
      <c r="F421" s="649"/>
      <c r="G421" s="317">
        <f>COUNT(G422:G424)</f>
        <v>3</v>
      </c>
      <c r="H421" s="317"/>
      <c r="I421" s="319">
        <f>G420/G421</f>
        <v>1520000</v>
      </c>
      <c r="J421" s="320"/>
      <c r="K421" s="322"/>
    </row>
    <row r="422" hidden="1" outlineLevel="1">
      <c r="A422" s="536">
        <v>19.1</v>
      </c>
      <c r="B422" s="375" t="s">
        <v>859</v>
      </c>
      <c r="C422" s="652"/>
      <c r="D422" s="653"/>
      <c r="E422" s="390">
        <v>1520000.0</v>
      </c>
      <c r="F422" s="393"/>
      <c r="G422" s="654">
        <v>1520000.0</v>
      </c>
      <c r="H422" s="421"/>
      <c r="I422" s="442"/>
      <c r="J422" s="467"/>
      <c r="K422" s="596"/>
    </row>
    <row r="423" hidden="1" outlineLevel="1">
      <c r="A423" s="610">
        <v>19.2</v>
      </c>
      <c r="B423" s="382" t="s">
        <v>860</v>
      </c>
      <c r="C423" s="650"/>
      <c r="D423" s="301"/>
      <c r="E423" s="368">
        <v>1520000.0</v>
      </c>
      <c r="F423" s="369"/>
      <c r="G423" s="651">
        <v>1520000.0</v>
      </c>
      <c r="H423" s="470"/>
      <c r="I423" s="304"/>
      <c r="J423" s="305"/>
      <c r="K423" s="598"/>
    </row>
    <row r="424" hidden="1" outlineLevel="1">
      <c r="A424" s="536">
        <v>19.3</v>
      </c>
      <c r="B424" s="375" t="s">
        <v>861</v>
      </c>
      <c r="C424" s="652"/>
      <c r="D424" s="653"/>
      <c r="E424" s="390">
        <v>1520000.0</v>
      </c>
      <c r="F424" s="393"/>
      <c r="G424" s="654">
        <v>1520000.0</v>
      </c>
      <c r="H424" s="421"/>
      <c r="I424" s="442"/>
      <c r="J424" s="467"/>
      <c r="K424" s="596"/>
    </row>
    <row r="425" hidden="1" outlineLevel="1">
      <c r="A425" s="610"/>
      <c r="B425" s="611"/>
      <c r="C425" s="650"/>
      <c r="D425" s="301"/>
      <c r="E425" s="368"/>
      <c r="F425" s="369"/>
      <c r="G425" s="669"/>
      <c r="H425" s="670"/>
      <c r="I425" s="304"/>
      <c r="J425" s="305"/>
      <c r="K425" s="598"/>
    </row>
    <row r="426" hidden="1">
      <c r="A426" s="294">
        <v>20.0</v>
      </c>
      <c r="B426" s="296" t="s">
        <v>862</v>
      </c>
      <c r="C426" s="299">
        <f>B427*C427</f>
        <v>3300000</v>
      </c>
      <c r="D426" s="300">
        <f>C427*I427</f>
        <v>7800000</v>
      </c>
      <c r="E426" s="368"/>
      <c r="F426" s="369">
        <f>SUM(E428:E438)</f>
        <v>2810000</v>
      </c>
      <c r="G426" s="301">
        <f>SUM(G428:G438)</f>
        <v>2080000</v>
      </c>
      <c r="H426" s="302"/>
      <c r="I426" s="304">
        <f>G426-D426</f>
        <v>-5720000</v>
      </c>
      <c r="J426" s="305" t="s">
        <v>863</v>
      </c>
      <c r="K426" s="306"/>
    </row>
    <row r="427" hidden="1" collapsed="1">
      <c r="A427" s="307"/>
      <c r="B427" s="308">
        <v>110000.0</v>
      </c>
      <c r="C427" s="309">
        <v>30.0</v>
      </c>
      <c r="D427" s="316">
        <f>(D426/C426)-1</f>
        <v>1.363636364</v>
      </c>
      <c r="E427" s="648"/>
      <c r="F427" s="649"/>
      <c r="G427" s="317">
        <f>COUNT(G428:G431)+COUNT(G434:G437)</f>
        <v>8</v>
      </c>
      <c r="H427" s="317"/>
      <c r="I427" s="319">
        <f>G426/G427</f>
        <v>260000</v>
      </c>
      <c r="J427" s="320"/>
      <c r="K427" s="322"/>
    </row>
    <row r="428" hidden="1" outlineLevel="1">
      <c r="A428" s="536">
        <v>20.1</v>
      </c>
      <c r="B428" s="375" t="s">
        <v>864</v>
      </c>
      <c r="C428" s="652"/>
      <c r="D428" s="653"/>
      <c r="E428" s="390">
        <v>255000.0</v>
      </c>
      <c r="F428" s="393"/>
      <c r="G428" s="654">
        <v>255000.0</v>
      </c>
      <c r="H428" s="421"/>
      <c r="I428" s="442"/>
      <c r="J428" s="467"/>
      <c r="K428" s="596"/>
    </row>
    <row r="429" hidden="1" outlineLevel="1">
      <c r="A429" s="610">
        <v>20.2</v>
      </c>
      <c r="B429" s="382" t="s">
        <v>865</v>
      </c>
      <c r="C429" s="650"/>
      <c r="D429" s="301"/>
      <c r="E429" s="368">
        <v>266000.0</v>
      </c>
      <c r="F429" s="369"/>
      <c r="G429" s="651">
        <v>266000.0</v>
      </c>
      <c r="H429" s="470"/>
      <c r="I429" s="304"/>
      <c r="J429" s="305"/>
      <c r="K429" s="598"/>
    </row>
    <row r="430" hidden="1" outlineLevel="1">
      <c r="A430" s="536">
        <v>20.3</v>
      </c>
      <c r="B430" s="375" t="s">
        <v>866</v>
      </c>
      <c r="C430" s="652"/>
      <c r="D430" s="653"/>
      <c r="E430" s="390">
        <v>260000.0</v>
      </c>
      <c r="F430" s="393"/>
      <c r="G430" s="654">
        <v>260000.0</v>
      </c>
      <c r="H430" s="421"/>
      <c r="I430" s="442"/>
      <c r="J430" s="467"/>
      <c r="K430" s="596"/>
    </row>
    <row r="431" hidden="1" outlineLevel="1">
      <c r="A431" s="610">
        <v>20.4</v>
      </c>
      <c r="B431" s="382" t="s">
        <v>867</v>
      </c>
      <c r="C431" s="650"/>
      <c r="D431" s="301"/>
      <c r="E431" s="368">
        <v>260000.0</v>
      </c>
      <c r="F431" s="369"/>
      <c r="G431" s="651">
        <v>260000.0</v>
      </c>
      <c r="H431" s="470"/>
      <c r="I431" s="304"/>
      <c r="J431" s="305"/>
      <c r="K431" s="598"/>
    </row>
    <row r="432" hidden="1" outlineLevel="1">
      <c r="A432" s="536">
        <v>20.5</v>
      </c>
      <c r="B432" s="375" t="s">
        <v>424</v>
      </c>
      <c r="C432" s="652"/>
      <c r="D432" s="653"/>
      <c r="E432" s="390">
        <v>244000.0</v>
      </c>
      <c r="F432" s="393"/>
      <c r="G432" s="654">
        <v>0.0</v>
      </c>
      <c r="H432" s="421"/>
      <c r="I432" s="378"/>
      <c r="J432" s="471" t="s">
        <v>427</v>
      </c>
      <c r="K432" s="596"/>
    </row>
    <row r="433" hidden="1" outlineLevel="1">
      <c r="A433" s="610">
        <v>20.6</v>
      </c>
      <c r="B433" s="382" t="s">
        <v>430</v>
      </c>
      <c r="C433" s="650"/>
      <c r="D433" s="301"/>
      <c r="E433" s="368">
        <v>233000.0</v>
      </c>
      <c r="F433" s="369"/>
      <c r="G433" s="651">
        <v>0.0</v>
      </c>
      <c r="H433" s="470"/>
      <c r="I433" s="384"/>
      <c r="J433" s="472" t="s">
        <v>427</v>
      </c>
      <c r="K433" s="598"/>
    </row>
    <row r="434" outlineLevel="1">
      <c r="A434" s="536">
        <v>20.7</v>
      </c>
      <c r="B434" s="375" t="s">
        <v>872</v>
      </c>
      <c r="C434" s="652"/>
      <c r="D434" s="653"/>
      <c r="E434" s="390">
        <v>264000.0</v>
      </c>
      <c r="F434" s="393"/>
      <c r="G434" s="654">
        <v>264000.0</v>
      </c>
      <c r="H434" s="421">
        <v>264000.0</v>
      </c>
      <c r="I434" s="442"/>
      <c r="J434" s="467"/>
      <c r="K434" s="596"/>
    </row>
    <row r="435" hidden="1" outlineLevel="1">
      <c r="A435" s="610">
        <v>20.8</v>
      </c>
      <c r="B435" s="382" t="s">
        <v>873</v>
      </c>
      <c r="C435" s="650"/>
      <c r="D435" s="301"/>
      <c r="E435" s="368">
        <v>258000.0</v>
      </c>
      <c r="F435" s="369"/>
      <c r="G435" s="651">
        <v>258000.0</v>
      </c>
      <c r="H435" s="470"/>
      <c r="I435" s="304"/>
      <c r="J435" s="305"/>
      <c r="K435" s="598"/>
    </row>
    <row r="436" hidden="1" outlineLevel="1">
      <c r="A436" s="536">
        <v>20.9</v>
      </c>
      <c r="B436" s="375" t="s">
        <v>874</v>
      </c>
      <c r="C436" s="652"/>
      <c r="D436" s="653"/>
      <c r="E436" s="390">
        <v>264000.0</v>
      </c>
      <c r="F436" s="393"/>
      <c r="G436" s="654">
        <v>264000.0</v>
      </c>
      <c r="H436" s="421"/>
      <c r="I436" s="442"/>
      <c r="J436" s="467"/>
      <c r="K436" s="596"/>
    </row>
    <row r="437" outlineLevel="1">
      <c r="A437" s="656" t="s">
        <v>875</v>
      </c>
      <c r="B437" s="382" t="s">
        <v>876</v>
      </c>
      <c r="C437" s="650"/>
      <c r="D437" s="301"/>
      <c r="E437" s="368">
        <v>253000.0</v>
      </c>
      <c r="F437" s="369"/>
      <c r="G437" s="651">
        <v>253000.0</v>
      </c>
      <c r="H437" s="470">
        <v>253000.0</v>
      </c>
      <c r="I437" s="304"/>
      <c r="J437" s="305"/>
      <c r="K437" s="598"/>
    </row>
    <row r="438" hidden="1" outlineLevel="1">
      <c r="A438" s="655" t="s">
        <v>431</v>
      </c>
      <c r="B438" s="375" t="s">
        <v>432</v>
      </c>
      <c r="C438" s="652"/>
      <c r="D438" s="653"/>
      <c r="E438" s="390">
        <v>253000.0</v>
      </c>
      <c r="F438" s="393"/>
      <c r="G438" s="654">
        <v>0.0</v>
      </c>
      <c r="H438" s="421"/>
      <c r="I438" s="378"/>
      <c r="J438" s="471" t="s">
        <v>427</v>
      </c>
      <c r="K438" s="596"/>
    </row>
    <row r="439" hidden="1" outlineLevel="1">
      <c r="A439" s="610"/>
      <c r="B439" s="611"/>
      <c r="C439" s="650"/>
      <c r="D439" s="301"/>
      <c r="E439" s="368"/>
      <c r="F439" s="369"/>
      <c r="G439" s="669"/>
      <c r="H439" s="670"/>
      <c r="I439" s="304"/>
      <c r="J439" s="305"/>
      <c r="K439" s="598"/>
    </row>
    <row r="440" hidden="1">
      <c r="A440" s="294">
        <v>21.0</v>
      </c>
      <c r="B440" s="296" t="s">
        <v>879</v>
      </c>
      <c r="C440" s="299">
        <f>B441*C441</f>
        <v>1500000</v>
      </c>
      <c r="D440" s="300">
        <f>C441*I441</f>
        <v>3356250</v>
      </c>
      <c r="E440" s="368">
        <f>COUNT(E442:E450)</f>
        <v>9</v>
      </c>
      <c r="F440" s="369">
        <f>SUM(E442:E450)</f>
        <v>1921000</v>
      </c>
      <c r="G440" s="301">
        <f>SUM(G442:G450)</f>
        <v>1790000</v>
      </c>
      <c r="H440" s="302"/>
      <c r="I440" s="304">
        <f>G440-D440</f>
        <v>-1566250</v>
      </c>
      <c r="J440" s="305" t="s">
        <v>881</v>
      </c>
      <c r="K440" s="306"/>
    </row>
    <row r="441" hidden="1" collapsed="1">
      <c r="A441" s="307"/>
      <c r="B441" s="308">
        <v>100000.0</v>
      </c>
      <c r="C441" s="309">
        <v>15.0</v>
      </c>
      <c r="D441" s="316">
        <f>(D440/C440)-1</f>
        <v>1.2375</v>
      </c>
      <c r="E441" s="648"/>
      <c r="F441" s="649"/>
      <c r="G441" s="317">
        <f>COUNT(G442:G449)</f>
        <v>8</v>
      </c>
      <c r="H441" s="317"/>
      <c r="I441" s="319">
        <f>G440/G441</f>
        <v>223750</v>
      </c>
      <c r="J441" s="320"/>
      <c r="K441" s="322"/>
    </row>
    <row r="442" outlineLevel="1">
      <c r="A442" s="536">
        <v>21.1</v>
      </c>
      <c r="B442" s="375" t="s">
        <v>882</v>
      </c>
      <c r="C442" s="652"/>
      <c r="D442" s="653"/>
      <c r="E442" s="390">
        <v>360000.0</v>
      </c>
      <c r="F442" s="393"/>
      <c r="G442" s="654">
        <v>360000.0</v>
      </c>
      <c r="H442" s="421">
        <v>360000.0</v>
      </c>
      <c r="I442" s="442"/>
      <c r="J442" s="467"/>
      <c r="K442" s="596"/>
    </row>
    <row r="443" hidden="1" outlineLevel="1">
      <c r="A443" s="610">
        <v>21.2</v>
      </c>
      <c r="B443" s="382" t="s">
        <v>883</v>
      </c>
      <c r="C443" s="650"/>
      <c r="D443" s="301"/>
      <c r="E443" s="368">
        <v>306000.0</v>
      </c>
      <c r="F443" s="369"/>
      <c r="G443" s="651">
        <v>306000.0</v>
      </c>
      <c r="H443" s="470"/>
      <c r="I443" s="304"/>
      <c r="J443" s="305"/>
      <c r="K443" s="598"/>
    </row>
    <row r="444" hidden="1" outlineLevel="1">
      <c r="A444" s="536">
        <v>21.3</v>
      </c>
      <c r="B444" s="375" t="s">
        <v>884</v>
      </c>
      <c r="C444" s="652"/>
      <c r="D444" s="653"/>
      <c r="E444" s="390">
        <v>306000.0</v>
      </c>
      <c r="F444" s="393"/>
      <c r="G444" s="654">
        <v>306000.0</v>
      </c>
      <c r="H444" s="421"/>
      <c r="I444" s="442"/>
      <c r="J444" s="467"/>
      <c r="K444" s="596"/>
    </row>
    <row r="445" outlineLevel="1">
      <c r="A445" s="610">
        <v>21.4</v>
      </c>
      <c r="B445" s="382" t="s">
        <v>885</v>
      </c>
      <c r="C445" s="650"/>
      <c r="D445" s="301"/>
      <c r="E445" s="368">
        <v>385000.0</v>
      </c>
      <c r="F445" s="369"/>
      <c r="G445" s="651">
        <v>385000.0</v>
      </c>
      <c r="H445" s="470">
        <v>385000.0</v>
      </c>
      <c r="I445" s="304"/>
      <c r="J445" s="305"/>
      <c r="K445" s="598"/>
    </row>
    <row r="446" hidden="1" outlineLevel="1">
      <c r="A446" s="536">
        <v>21.5</v>
      </c>
      <c r="B446" s="375" t="s">
        <v>886</v>
      </c>
      <c r="C446" s="652"/>
      <c r="D446" s="653"/>
      <c r="E446" s="390">
        <v>122000.0</v>
      </c>
      <c r="F446" s="393"/>
      <c r="G446" s="654">
        <v>122000.0</v>
      </c>
      <c r="H446" s="421"/>
      <c r="I446" s="442"/>
      <c r="J446" s="467"/>
      <c r="K446" s="596"/>
    </row>
    <row r="447" hidden="1" outlineLevel="1">
      <c r="A447" s="610">
        <v>21.6</v>
      </c>
      <c r="B447" s="382" t="s">
        <v>887</v>
      </c>
      <c r="C447" s="650"/>
      <c r="D447" s="301"/>
      <c r="E447" s="368">
        <v>107000.0</v>
      </c>
      <c r="F447" s="369"/>
      <c r="G447" s="651">
        <v>107000.0</v>
      </c>
      <c r="H447" s="470"/>
      <c r="I447" s="304"/>
      <c r="J447" s="305"/>
      <c r="K447" s="598"/>
    </row>
    <row r="448" hidden="1" outlineLevel="1">
      <c r="A448" s="536">
        <v>21.7</v>
      </c>
      <c r="B448" s="375" t="s">
        <v>888</v>
      </c>
      <c r="C448" s="652"/>
      <c r="D448" s="653"/>
      <c r="E448" s="390">
        <v>102000.0</v>
      </c>
      <c r="F448" s="393"/>
      <c r="G448" s="654">
        <v>102000.0</v>
      </c>
      <c r="H448" s="421"/>
      <c r="I448" s="442"/>
      <c r="J448" s="467"/>
      <c r="K448" s="596"/>
    </row>
    <row r="449" hidden="1" outlineLevel="1">
      <c r="A449" s="610">
        <v>21.8</v>
      </c>
      <c r="B449" s="382" t="s">
        <v>889</v>
      </c>
      <c r="C449" s="650"/>
      <c r="D449" s="301"/>
      <c r="E449" s="368">
        <v>102000.0</v>
      </c>
      <c r="F449" s="369"/>
      <c r="G449" s="651">
        <v>102000.0</v>
      </c>
      <c r="H449" s="470"/>
      <c r="I449" s="304"/>
      <c r="J449" s="305"/>
      <c r="K449" s="598"/>
    </row>
    <row r="450" hidden="1" outlineLevel="1">
      <c r="A450" s="536">
        <v>21.9</v>
      </c>
      <c r="B450" s="375" t="s">
        <v>435</v>
      </c>
      <c r="C450" s="652"/>
      <c r="D450" s="653"/>
      <c r="E450" s="390">
        <v>131000.0</v>
      </c>
      <c r="F450" s="393"/>
      <c r="G450" s="709">
        <v>0.0</v>
      </c>
      <c r="H450" s="596"/>
      <c r="I450" s="442"/>
      <c r="J450" s="471" t="s">
        <v>438</v>
      </c>
      <c r="K450" s="596"/>
    </row>
    <row r="451" hidden="1" outlineLevel="1">
      <c r="A451" s="610"/>
      <c r="B451" s="611"/>
      <c r="C451" s="650"/>
      <c r="D451" s="301"/>
      <c r="E451" s="368"/>
      <c r="F451" s="369"/>
      <c r="G451" s="669"/>
      <c r="H451" s="670"/>
      <c r="I451" s="304"/>
      <c r="J451" s="305"/>
      <c r="K451" s="598"/>
    </row>
    <row r="452" hidden="1">
      <c r="A452" s="294">
        <v>22.0</v>
      </c>
      <c r="B452" s="296" t="s">
        <v>891</v>
      </c>
      <c r="C452" s="299">
        <f>B453*C453</f>
        <v>160000</v>
      </c>
      <c r="D452" s="300">
        <f>C453*I453</f>
        <v>296000</v>
      </c>
      <c r="E452" s="368"/>
      <c r="F452" s="369">
        <f>SUM(E454:E456)</f>
        <v>483000</v>
      </c>
      <c r="G452" s="301">
        <f>SUM(G454:G456)</f>
        <v>148000</v>
      </c>
      <c r="H452" s="302"/>
      <c r="I452" s="304">
        <f>G452-D452</f>
        <v>-148000</v>
      </c>
      <c r="J452" s="305" t="s">
        <v>904</v>
      </c>
      <c r="K452" s="306"/>
    </row>
    <row r="453" hidden="1" collapsed="1">
      <c r="A453" s="307"/>
      <c r="B453" s="308">
        <v>80000.0</v>
      </c>
      <c r="C453" s="309">
        <v>2.0</v>
      </c>
      <c r="D453" s="316">
        <f>(D452/C452)-1</f>
        <v>0.85</v>
      </c>
      <c r="E453" s="648"/>
      <c r="F453" s="649"/>
      <c r="G453" s="317">
        <v>1.0</v>
      </c>
      <c r="H453" s="317"/>
      <c r="I453" s="319">
        <f>G452/G453</f>
        <v>148000</v>
      </c>
      <c r="J453" s="320"/>
      <c r="K453" s="322"/>
    </row>
    <row r="454" hidden="1" outlineLevel="1">
      <c r="A454" s="536">
        <v>22.1</v>
      </c>
      <c r="B454" s="375" t="s">
        <v>437</v>
      </c>
      <c r="C454" s="652"/>
      <c r="D454" s="653"/>
      <c r="E454" s="390">
        <v>170000.0</v>
      </c>
      <c r="F454" s="393"/>
      <c r="G454" s="654">
        <v>0.0</v>
      </c>
      <c r="H454" s="421"/>
      <c r="I454" s="378"/>
      <c r="J454" s="471" t="s">
        <v>438</v>
      </c>
      <c r="K454" s="596"/>
    </row>
    <row r="455" hidden="1" outlineLevel="1">
      <c r="A455" s="610">
        <v>22.2</v>
      </c>
      <c r="B455" s="382" t="s">
        <v>440</v>
      </c>
      <c r="C455" s="650"/>
      <c r="D455" s="301"/>
      <c r="E455" s="368">
        <v>165000.0</v>
      </c>
      <c r="F455" s="369"/>
      <c r="G455" s="651">
        <v>0.0</v>
      </c>
      <c r="H455" s="470"/>
      <c r="I455" s="384"/>
      <c r="J455" s="472" t="s">
        <v>438</v>
      </c>
      <c r="K455" s="598"/>
    </row>
    <row r="456" hidden="1" outlineLevel="1">
      <c r="A456" s="536">
        <v>22.3</v>
      </c>
      <c r="B456" s="375" t="s">
        <v>913</v>
      </c>
      <c r="C456" s="652"/>
      <c r="D456" s="653"/>
      <c r="E456" s="390">
        <v>148000.0</v>
      </c>
      <c r="F456" s="393"/>
      <c r="G456" s="654">
        <v>148000.0</v>
      </c>
      <c r="H456" s="421"/>
      <c r="I456" s="442"/>
      <c r="J456" s="467"/>
      <c r="K456" s="596"/>
    </row>
    <row r="457" hidden="1" outlineLevel="1">
      <c r="A457" s="610"/>
      <c r="B457" s="611"/>
      <c r="C457" s="650"/>
      <c r="D457" s="301"/>
      <c r="E457" s="368"/>
      <c r="F457" s="369"/>
      <c r="G457" s="669"/>
      <c r="H457" s="670"/>
      <c r="I457" s="304"/>
      <c r="J457" s="305"/>
      <c r="K457" s="598"/>
    </row>
    <row r="458" hidden="1">
      <c r="A458" s="294">
        <v>23.0</v>
      </c>
      <c r="B458" s="296" t="s">
        <v>914</v>
      </c>
      <c r="C458" s="299">
        <f>30000+60000</f>
        <v>90000</v>
      </c>
      <c r="D458" s="300">
        <f>C459*I459</f>
        <v>314000</v>
      </c>
      <c r="E458" s="368"/>
      <c r="F458" s="369">
        <f>E460</f>
        <v>157000</v>
      </c>
      <c r="G458" s="301">
        <f>G460</f>
        <v>157000</v>
      </c>
      <c r="H458" s="302"/>
      <c r="I458" s="304">
        <f>G458-D458</f>
        <v>-157000</v>
      </c>
      <c r="J458" s="305"/>
      <c r="K458" s="306"/>
    </row>
    <row r="459" hidden="1" collapsed="1">
      <c r="A459" s="307"/>
      <c r="B459" s="308" t="s">
        <v>915</v>
      </c>
      <c r="C459" s="309">
        <v>2.0</v>
      </c>
      <c r="D459" s="316">
        <f>(D458/C458)-1</f>
        <v>2.488888889</v>
      </c>
      <c r="E459" s="648"/>
      <c r="F459" s="649"/>
      <c r="G459" s="317">
        <f>COUNT(G460)</f>
        <v>1</v>
      </c>
      <c r="H459" s="317"/>
      <c r="I459" s="319">
        <f>G458/G459</f>
        <v>157000</v>
      </c>
      <c r="J459" s="320"/>
      <c r="K459" s="322"/>
    </row>
    <row r="460" hidden="1" outlineLevel="1">
      <c r="A460" s="536">
        <v>23.1</v>
      </c>
      <c r="B460" s="375" t="s">
        <v>916</v>
      </c>
      <c r="C460" s="652"/>
      <c r="D460" s="653"/>
      <c r="E460" s="390">
        <v>157000.0</v>
      </c>
      <c r="F460" s="393"/>
      <c r="G460" s="654">
        <v>157000.0</v>
      </c>
      <c r="H460" s="421"/>
      <c r="I460" s="442"/>
      <c r="J460" s="467"/>
      <c r="K460" s="596"/>
    </row>
    <row r="461" hidden="1" outlineLevel="1">
      <c r="A461" s="610"/>
      <c r="B461" s="611"/>
      <c r="C461" s="650"/>
      <c r="D461" s="301"/>
      <c r="E461" s="368"/>
      <c r="F461" s="369"/>
      <c r="G461" s="669"/>
      <c r="H461" s="670"/>
      <c r="I461" s="304"/>
      <c r="J461" s="305"/>
      <c r="K461" s="598"/>
    </row>
    <row r="462" hidden="1">
      <c r="A462" s="294">
        <v>24.0</v>
      </c>
      <c r="B462" s="296" t="s">
        <v>917</v>
      </c>
      <c r="C462" s="299">
        <f>B463*C463</f>
        <v>8800000</v>
      </c>
      <c r="D462" s="300">
        <f>C463*I463</f>
        <v>14905000</v>
      </c>
      <c r="E462" s="368"/>
      <c r="F462" s="369">
        <f>SUM(E464:E468)</f>
        <v>6545000</v>
      </c>
      <c r="G462" s="301">
        <f>SUM(G464:G468)</f>
        <v>5420000</v>
      </c>
      <c r="H462" s="302"/>
      <c r="I462" s="304">
        <f>G462-D462</f>
        <v>-9485000</v>
      </c>
      <c r="J462" s="305" t="s">
        <v>881</v>
      </c>
      <c r="K462" s="306"/>
    </row>
    <row r="463" hidden="1" collapsed="1">
      <c r="A463" s="307"/>
      <c r="B463" s="308">
        <v>800000.0</v>
      </c>
      <c r="C463" s="309">
        <v>11.0</v>
      </c>
      <c r="D463" s="316">
        <f>(D462/C462)-1</f>
        <v>0.69375</v>
      </c>
      <c r="E463" s="648"/>
      <c r="F463" s="649"/>
      <c r="G463" s="317">
        <f>COUNT(G464:G467)</f>
        <v>4</v>
      </c>
      <c r="H463" s="317"/>
      <c r="I463" s="319">
        <f>G462/G463</f>
        <v>1355000</v>
      </c>
      <c r="J463" s="320"/>
      <c r="K463" s="322"/>
    </row>
    <row r="464" outlineLevel="1">
      <c r="A464" s="536">
        <v>24.1</v>
      </c>
      <c r="B464" s="375" t="s">
        <v>918</v>
      </c>
      <c r="C464" s="652"/>
      <c r="D464" s="653"/>
      <c r="E464" s="390">
        <v>1355000.0</v>
      </c>
      <c r="F464" s="393"/>
      <c r="G464" s="654">
        <v>1355000.0</v>
      </c>
      <c r="H464" s="421">
        <v>1355000.0</v>
      </c>
      <c r="I464" s="442"/>
      <c r="J464" s="467"/>
      <c r="K464" s="596"/>
    </row>
    <row r="465" hidden="1" outlineLevel="1">
      <c r="A465" s="610">
        <v>24.2</v>
      </c>
      <c r="B465" s="382" t="s">
        <v>919</v>
      </c>
      <c r="C465" s="650"/>
      <c r="D465" s="301"/>
      <c r="E465" s="368">
        <v>1355000.0</v>
      </c>
      <c r="F465" s="369"/>
      <c r="G465" s="651">
        <v>1355000.0</v>
      </c>
      <c r="H465" s="470"/>
      <c r="I465" s="304"/>
      <c r="J465" s="305"/>
      <c r="K465" s="598"/>
    </row>
    <row r="466" hidden="1" outlineLevel="1">
      <c r="A466" s="536">
        <v>24.3</v>
      </c>
      <c r="B466" s="375" t="s">
        <v>920</v>
      </c>
      <c r="C466" s="652"/>
      <c r="D466" s="653"/>
      <c r="E466" s="390">
        <v>1355000.0</v>
      </c>
      <c r="F466" s="393"/>
      <c r="G466" s="654">
        <v>1355000.0</v>
      </c>
      <c r="H466" s="421"/>
      <c r="I466" s="442"/>
      <c r="J466" s="467"/>
      <c r="K466" s="596"/>
    </row>
    <row r="467" hidden="1" outlineLevel="1">
      <c r="A467" s="610">
        <v>24.4</v>
      </c>
      <c r="B467" s="382" t="s">
        <v>921</v>
      </c>
      <c r="C467" s="650"/>
      <c r="D467" s="301"/>
      <c r="E467" s="368">
        <v>1355000.0</v>
      </c>
      <c r="F467" s="369"/>
      <c r="G467" s="651">
        <v>1355000.0</v>
      </c>
      <c r="H467" s="470"/>
      <c r="I467" s="304"/>
      <c r="J467" s="305"/>
      <c r="K467" s="598"/>
    </row>
    <row r="468" hidden="1" outlineLevel="1">
      <c r="A468" s="536">
        <v>24.5</v>
      </c>
      <c r="B468" s="375" t="s">
        <v>442</v>
      </c>
      <c r="C468" s="652"/>
      <c r="D468" s="653"/>
      <c r="E468" s="390">
        <v>1125000.0</v>
      </c>
      <c r="F468" s="393"/>
      <c r="G468" s="654">
        <v>0.0</v>
      </c>
      <c r="H468" s="421"/>
      <c r="I468" s="378"/>
      <c r="J468" s="471" t="s">
        <v>427</v>
      </c>
      <c r="K468" s="596"/>
    </row>
    <row r="469" hidden="1" outlineLevel="1">
      <c r="A469" s="610"/>
      <c r="B469" s="611"/>
      <c r="C469" s="650"/>
      <c r="D469" s="301"/>
      <c r="E469" s="368"/>
      <c r="F469" s="369"/>
      <c r="G469" s="669"/>
      <c r="H469" s="670"/>
      <c r="I469" s="304"/>
      <c r="J469" s="305"/>
      <c r="K469" s="598"/>
    </row>
    <row r="470" hidden="1">
      <c r="A470" s="294">
        <v>25.0</v>
      </c>
      <c r="B470" s="296" t="s">
        <v>923</v>
      </c>
      <c r="C470" s="299">
        <f>B471*C471</f>
        <v>4000000</v>
      </c>
      <c r="D470" s="300">
        <f>C471*I471</f>
        <v>8626666.667</v>
      </c>
      <c r="E470" s="368"/>
      <c r="F470" s="369">
        <f>SUM(E472:E498)</f>
        <v>5823000</v>
      </c>
      <c r="G470" s="301">
        <f>SUM(G472:G498)</f>
        <v>5823000</v>
      </c>
      <c r="H470" s="302"/>
      <c r="I470" s="304">
        <f>G470-D470</f>
        <v>-2803666.667</v>
      </c>
      <c r="J470" s="305"/>
      <c r="K470" s="306"/>
    </row>
    <row r="471" hidden="1" collapsed="1">
      <c r="A471" s="307"/>
      <c r="B471" s="308">
        <v>100000.0</v>
      </c>
      <c r="C471" s="309">
        <v>40.0</v>
      </c>
      <c r="D471" s="316">
        <f>(D470/C470)-1</f>
        <v>1.156666667</v>
      </c>
      <c r="E471" s="648"/>
      <c r="F471" s="649"/>
      <c r="G471" s="317">
        <f>COUNT(G472:G498)</f>
        <v>27</v>
      </c>
      <c r="H471" s="317"/>
      <c r="I471" s="319">
        <f>G470/G471</f>
        <v>215666.6667</v>
      </c>
      <c r="J471" s="320"/>
      <c r="K471" s="322"/>
    </row>
    <row r="472" outlineLevel="1">
      <c r="A472" s="536">
        <f>A464+1</f>
        <v>25.1</v>
      </c>
      <c r="B472" s="375" t="s">
        <v>926</v>
      </c>
      <c r="C472" s="652"/>
      <c r="D472" s="653"/>
      <c r="E472" s="390">
        <v>198000.0</v>
      </c>
      <c r="F472" s="393"/>
      <c r="G472" s="654">
        <v>198000.0</v>
      </c>
      <c r="H472" s="421">
        <v>198000.0</v>
      </c>
      <c r="I472" s="442"/>
      <c r="J472" s="467"/>
      <c r="K472" s="596"/>
    </row>
    <row r="473" hidden="1" outlineLevel="1">
      <c r="A473" s="610">
        <f t="shared" ref="A473:A480" si="18">A472+0.1</f>
        <v>25.2</v>
      </c>
      <c r="B473" s="382" t="s">
        <v>927</v>
      </c>
      <c r="C473" s="650"/>
      <c r="D473" s="301"/>
      <c r="E473" s="368">
        <v>220000.0</v>
      </c>
      <c r="F473" s="369"/>
      <c r="G473" s="651">
        <v>220000.0</v>
      </c>
      <c r="H473" s="470"/>
      <c r="I473" s="304"/>
      <c r="J473" s="305"/>
      <c r="K473" s="598"/>
    </row>
    <row r="474" hidden="1" outlineLevel="1">
      <c r="A474" s="536">
        <f t="shared" si="18"/>
        <v>25.3</v>
      </c>
      <c r="B474" s="375" t="s">
        <v>928</v>
      </c>
      <c r="C474" s="652"/>
      <c r="D474" s="653"/>
      <c r="E474" s="390">
        <v>220000.0</v>
      </c>
      <c r="F474" s="393"/>
      <c r="G474" s="654">
        <v>220000.0</v>
      </c>
      <c r="H474" s="421"/>
      <c r="I474" s="442"/>
      <c r="J474" s="467"/>
      <c r="K474" s="596"/>
    </row>
    <row r="475" outlineLevel="1">
      <c r="A475" s="610">
        <f t="shared" si="18"/>
        <v>25.4</v>
      </c>
      <c r="B475" s="382" t="s">
        <v>929</v>
      </c>
      <c r="C475" s="650"/>
      <c r="D475" s="301"/>
      <c r="E475" s="368">
        <v>220000.0</v>
      </c>
      <c r="F475" s="369"/>
      <c r="G475" s="651">
        <v>220000.0</v>
      </c>
      <c r="H475" s="470">
        <v>220000.0</v>
      </c>
      <c r="I475" s="304"/>
      <c r="J475" s="305"/>
      <c r="K475" s="598"/>
    </row>
    <row r="476" hidden="1" outlineLevel="1">
      <c r="A476" s="536">
        <f t="shared" si="18"/>
        <v>25.5</v>
      </c>
      <c r="B476" s="375" t="s">
        <v>930</v>
      </c>
      <c r="C476" s="652"/>
      <c r="D476" s="653"/>
      <c r="E476" s="390">
        <v>220000.0</v>
      </c>
      <c r="F476" s="393"/>
      <c r="G476" s="654">
        <v>220000.0</v>
      </c>
      <c r="H476" s="421"/>
      <c r="I476" s="442"/>
      <c r="J476" s="467"/>
      <c r="K476" s="596"/>
    </row>
    <row r="477" hidden="1" outlineLevel="1">
      <c r="A477" s="610">
        <f t="shared" si="18"/>
        <v>25.6</v>
      </c>
      <c r="B477" s="382" t="s">
        <v>931</v>
      </c>
      <c r="C477" s="650"/>
      <c r="D477" s="301"/>
      <c r="E477" s="368">
        <v>220000.0</v>
      </c>
      <c r="F477" s="369"/>
      <c r="G477" s="651">
        <v>220000.0</v>
      </c>
      <c r="H477" s="470"/>
      <c r="I477" s="304"/>
      <c r="J477" s="305"/>
      <c r="K477" s="598"/>
    </row>
    <row r="478" hidden="1" outlineLevel="1">
      <c r="A478" s="536">
        <f t="shared" si="18"/>
        <v>25.7</v>
      </c>
      <c r="B478" s="375" t="s">
        <v>933</v>
      </c>
      <c r="C478" s="652"/>
      <c r="D478" s="653"/>
      <c r="E478" s="390">
        <v>220000.0</v>
      </c>
      <c r="F478" s="393"/>
      <c r="G478" s="654">
        <v>220000.0</v>
      </c>
      <c r="H478" s="421"/>
      <c r="I478" s="442"/>
      <c r="J478" s="467"/>
      <c r="K478" s="596"/>
    </row>
    <row r="479" hidden="1" outlineLevel="1">
      <c r="A479" s="610">
        <f t="shared" si="18"/>
        <v>25.8</v>
      </c>
      <c r="B479" s="382" t="s">
        <v>935</v>
      </c>
      <c r="C479" s="650"/>
      <c r="D479" s="301"/>
      <c r="E479" s="368">
        <v>250000.0</v>
      </c>
      <c r="F479" s="369"/>
      <c r="G479" s="651">
        <v>250000.0</v>
      </c>
      <c r="H479" s="470"/>
      <c r="I479" s="304"/>
      <c r="J479" s="305"/>
      <c r="K479" s="598"/>
    </row>
    <row r="480" hidden="1" outlineLevel="1">
      <c r="A480" s="536">
        <f t="shared" si="18"/>
        <v>25.9</v>
      </c>
      <c r="B480" s="375" t="s">
        <v>936</v>
      </c>
      <c r="C480" s="652"/>
      <c r="D480" s="653"/>
      <c r="E480" s="390">
        <v>264000.0</v>
      </c>
      <c r="F480" s="393"/>
      <c r="G480" s="654">
        <v>264000.0</v>
      </c>
      <c r="H480" s="421"/>
      <c r="I480" s="442"/>
      <c r="J480" s="467"/>
      <c r="K480" s="596"/>
    </row>
    <row r="481" hidden="1" outlineLevel="1">
      <c r="A481" s="656" t="s">
        <v>937</v>
      </c>
      <c r="B481" s="382" t="s">
        <v>938</v>
      </c>
      <c r="C481" s="650"/>
      <c r="D481" s="301"/>
      <c r="E481" s="368">
        <v>253000.0</v>
      </c>
      <c r="F481" s="369"/>
      <c r="G481" s="651">
        <v>253000.0</v>
      </c>
      <c r="H481" s="470"/>
      <c r="I481" s="304"/>
      <c r="J481" s="305"/>
      <c r="K481" s="598"/>
    </row>
    <row r="482" outlineLevel="1">
      <c r="A482" s="536">
        <v>25.11</v>
      </c>
      <c r="B482" s="375" t="s">
        <v>941</v>
      </c>
      <c r="C482" s="652"/>
      <c r="D482" s="653"/>
      <c r="E482" s="390">
        <v>253000.0</v>
      </c>
      <c r="F482" s="393"/>
      <c r="G482" s="654">
        <v>253000.0</v>
      </c>
      <c r="H482" s="421">
        <v>253000.0</v>
      </c>
      <c r="I482" s="442"/>
      <c r="J482" s="467"/>
      <c r="K482" s="596"/>
    </row>
    <row r="483" outlineLevel="1">
      <c r="A483" s="610">
        <f t="shared" ref="A483:A490" si="19">A482+0.01</f>
        <v>25.12</v>
      </c>
      <c r="B483" s="382" t="s">
        <v>945</v>
      </c>
      <c r="C483" s="650"/>
      <c r="D483" s="301"/>
      <c r="E483" s="368">
        <v>209000.0</v>
      </c>
      <c r="F483" s="369"/>
      <c r="G483" s="651">
        <v>209000.0</v>
      </c>
      <c r="H483" s="470">
        <v>209000.0</v>
      </c>
      <c r="I483" s="304"/>
      <c r="J483" s="305"/>
      <c r="K483" s="598"/>
    </row>
    <row r="484" hidden="1" outlineLevel="1">
      <c r="A484" s="536">
        <f t="shared" si="19"/>
        <v>25.13</v>
      </c>
      <c r="B484" s="375" t="s">
        <v>946</v>
      </c>
      <c r="C484" s="652"/>
      <c r="D484" s="653"/>
      <c r="E484" s="390">
        <v>214000.0</v>
      </c>
      <c r="F484" s="393"/>
      <c r="G484" s="654">
        <v>214000.0</v>
      </c>
      <c r="H484" s="421"/>
      <c r="I484" s="442"/>
      <c r="J484" s="467"/>
      <c r="K484" s="596"/>
    </row>
    <row r="485" hidden="1" outlineLevel="1">
      <c r="A485" s="610">
        <f t="shared" si="19"/>
        <v>25.14</v>
      </c>
      <c r="B485" s="382" t="s">
        <v>948</v>
      </c>
      <c r="C485" s="650"/>
      <c r="D485" s="301"/>
      <c r="E485" s="368">
        <v>214000.0</v>
      </c>
      <c r="F485" s="369"/>
      <c r="G485" s="651">
        <v>214000.0</v>
      </c>
      <c r="H485" s="470"/>
      <c r="I485" s="304"/>
      <c r="J485" s="305"/>
      <c r="K485" s="598"/>
    </row>
    <row r="486" outlineLevel="1">
      <c r="A486" s="536">
        <f t="shared" si="19"/>
        <v>25.15</v>
      </c>
      <c r="B486" s="375" t="s">
        <v>950</v>
      </c>
      <c r="C486" s="652"/>
      <c r="D486" s="653"/>
      <c r="E486" s="390">
        <v>220000.0</v>
      </c>
      <c r="F486" s="393"/>
      <c r="G486" s="654">
        <v>220000.0</v>
      </c>
      <c r="H486" s="421">
        <v>220000.0</v>
      </c>
      <c r="I486" s="442"/>
      <c r="J486" s="467"/>
      <c r="K486" s="596"/>
    </row>
    <row r="487" hidden="1" outlineLevel="1">
      <c r="A487" s="610">
        <f t="shared" si="19"/>
        <v>25.16</v>
      </c>
      <c r="B487" s="382" t="s">
        <v>952</v>
      </c>
      <c r="C487" s="650"/>
      <c r="D487" s="301"/>
      <c r="E487" s="368">
        <v>192000.0</v>
      </c>
      <c r="F487" s="369"/>
      <c r="G487" s="651">
        <v>192000.0</v>
      </c>
      <c r="H487" s="470"/>
      <c r="I487" s="304"/>
      <c r="J487" s="305"/>
      <c r="K487" s="598"/>
    </row>
    <row r="488" hidden="1" outlineLevel="1">
      <c r="A488" s="536">
        <f t="shared" si="19"/>
        <v>25.17</v>
      </c>
      <c r="B488" s="375" t="s">
        <v>954</v>
      </c>
      <c r="C488" s="652"/>
      <c r="D488" s="653"/>
      <c r="E488" s="390">
        <v>192000.0</v>
      </c>
      <c r="F488" s="393"/>
      <c r="G488" s="654">
        <v>192000.0</v>
      </c>
      <c r="H488" s="421"/>
      <c r="I488" s="442"/>
      <c r="J488" s="467"/>
      <c r="K488" s="596"/>
    </row>
    <row r="489" hidden="1" outlineLevel="1">
      <c r="A489" s="610">
        <f t="shared" si="19"/>
        <v>25.18</v>
      </c>
      <c r="B489" s="382" t="s">
        <v>955</v>
      </c>
      <c r="C489" s="650"/>
      <c r="D489" s="301"/>
      <c r="E489" s="368">
        <v>192000.0</v>
      </c>
      <c r="F489" s="369"/>
      <c r="G489" s="651">
        <v>192000.0</v>
      </c>
      <c r="H489" s="470"/>
      <c r="I489" s="304"/>
      <c r="J489" s="305"/>
      <c r="K489" s="598"/>
    </row>
    <row r="490" outlineLevel="1">
      <c r="A490" s="536">
        <f t="shared" si="19"/>
        <v>25.19</v>
      </c>
      <c r="B490" s="375" t="s">
        <v>956</v>
      </c>
      <c r="C490" s="652"/>
      <c r="D490" s="653"/>
      <c r="E490" s="390">
        <v>198000.0</v>
      </c>
      <c r="F490" s="393"/>
      <c r="G490" s="654">
        <v>198000.0</v>
      </c>
      <c r="H490" s="421">
        <v>198000.0</v>
      </c>
      <c r="I490" s="442"/>
      <c r="J490" s="467"/>
      <c r="K490" s="596"/>
    </row>
    <row r="491" outlineLevel="1">
      <c r="A491" s="656" t="s">
        <v>957</v>
      </c>
      <c r="B491" s="382" t="s">
        <v>958</v>
      </c>
      <c r="C491" s="650"/>
      <c r="D491" s="301"/>
      <c r="E491" s="368">
        <v>209000.0</v>
      </c>
      <c r="F491" s="369"/>
      <c r="G491" s="651">
        <v>209000.0</v>
      </c>
      <c r="H491" s="470">
        <v>209000.0</v>
      </c>
      <c r="I491" s="304"/>
      <c r="J491" s="305"/>
      <c r="K491" s="598"/>
    </row>
    <row r="492" outlineLevel="1">
      <c r="A492" s="536">
        <v>25.21</v>
      </c>
      <c r="B492" s="375" t="s">
        <v>959</v>
      </c>
      <c r="C492" s="652"/>
      <c r="D492" s="653"/>
      <c r="E492" s="390">
        <v>198000.0</v>
      </c>
      <c r="F492" s="393"/>
      <c r="G492" s="654">
        <v>198000.0</v>
      </c>
      <c r="H492" s="421">
        <v>198000.0</v>
      </c>
      <c r="I492" s="442"/>
      <c r="J492" s="467"/>
      <c r="K492" s="596"/>
    </row>
    <row r="493" outlineLevel="1">
      <c r="A493" s="610">
        <f t="shared" ref="A493:A498" si="20">A492+0.01</f>
        <v>25.22</v>
      </c>
      <c r="B493" s="382" t="s">
        <v>960</v>
      </c>
      <c r="C493" s="650"/>
      <c r="D493" s="301"/>
      <c r="E493" s="368">
        <v>209000.0</v>
      </c>
      <c r="F493" s="369"/>
      <c r="G493" s="651">
        <v>209000.0</v>
      </c>
      <c r="H493" s="470">
        <v>209000.0</v>
      </c>
      <c r="I493" s="304"/>
      <c r="J493" s="305"/>
      <c r="K493" s="598"/>
    </row>
    <row r="494" hidden="1" outlineLevel="1">
      <c r="A494" s="536">
        <f t="shared" si="20"/>
        <v>25.23</v>
      </c>
      <c r="B494" s="375" t="s">
        <v>961</v>
      </c>
      <c r="C494" s="652"/>
      <c r="D494" s="653"/>
      <c r="E494" s="390">
        <v>198000.0</v>
      </c>
      <c r="F494" s="393"/>
      <c r="G494" s="654">
        <v>198000.0</v>
      </c>
      <c r="H494" s="421"/>
      <c r="I494" s="442"/>
      <c r="J494" s="467"/>
      <c r="K494" s="596"/>
    </row>
    <row r="495" hidden="1" outlineLevel="1">
      <c r="A495" s="610">
        <f t="shared" si="20"/>
        <v>25.24</v>
      </c>
      <c r="B495" s="382" t="s">
        <v>962</v>
      </c>
      <c r="C495" s="650"/>
      <c r="D495" s="301"/>
      <c r="E495" s="368">
        <v>198000.0</v>
      </c>
      <c r="F495" s="369"/>
      <c r="G495" s="651">
        <v>198000.0</v>
      </c>
      <c r="H495" s="470"/>
      <c r="I495" s="304"/>
      <c r="J495" s="305"/>
      <c r="K495" s="598"/>
    </row>
    <row r="496" hidden="1" outlineLevel="1">
      <c r="A496" s="536">
        <f t="shared" si="20"/>
        <v>25.25</v>
      </c>
      <c r="B496" s="375" t="s">
        <v>963</v>
      </c>
      <c r="C496" s="652"/>
      <c r="D496" s="653"/>
      <c r="E496" s="390">
        <v>203000.0</v>
      </c>
      <c r="F496" s="393"/>
      <c r="G496" s="654">
        <v>203000.0</v>
      </c>
      <c r="H496" s="421"/>
      <c r="I496" s="442"/>
      <c r="J496" s="467"/>
      <c r="K496" s="596"/>
    </row>
    <row r="497" hidden="1" outlineLevel="1">
      <c r="A497" s="610">
        <f t="shared" si="20"/>
        <v>25.26</v>
      </c>
      <c r="B497" s="382" t="s">
        <v>964</v>
      </c>
      <c r="C497" s="650"/>
      <c r="D497" s="301"/>
      <c r="E497" s="368">
        <v>203000.0</v>
      </c>
      <c r="F497" s="369"/>
      <c r="G497" s="651">
        <v>203000.0</v>
      </c>
      <c r="H497" s="470"/>
      <c r="I497" s="304"/>
      <c r="J497" s="305"/>
      <c r="K497" s="598"/>
    </row>
    <row r="498" outlineLevel="1">
      <c r="A498" s="536">
        <f t="shared" si="20"/>
        <v>25.27</v>
      </c>
      <c r="B498" s="375" t="s">
        <v>965</v>
      </c>
      <c r="C498" s="652"/>
      <c r="D498" s="653"/>
      <c r="E498" s="390">
        <v>236000.0</v>
      </c>
      <c r="F498" s="393"/>
      <c r="G498" s="654">
        <v>236000.0</v>
      </c>
      <c r="H498" s="421">
        <v>236000.0</v>
      </c>
      <c r="I498" s="442"/>
      <c r="J498" s="467"/>
      <c r="K498" s="596"/>
    </row>
    <row r="499" hidden="1" outlineLevel="1">
      <c r="A499" s="610"/>
      <c r="B499" s="611"/>
      <c r="C499" s="650"/>
      <c r="D499" s="301"/>
      <c r="E499" s="368"/>
      <c r="F499" s="369"/>
      <c r="G499" s="669"/>
      <c r="H499" s="670"/>
      <c r="I499" s="304"/>
      <c r="J499" s="305"/>
      <c r="K499" s="598"/>
    </row>
    <row r="500" hidden="1">
      <c r="A500" s="294">
        <v>26.0</v>
      </c>
      <c r="B500" s="296" t="s">
        <v>966</v>
      </c>
      <c r="C500" s="299">
        <f>B501*C501</f>
        <v>3600000</v>
      </c>
      <c r="D500" s="300">
        <f>C501*I501</f>
        <v>8344000</v>
      </c>
      <c r="E500" s="368"/>
      <c r="F500" s="369">
        <f>SUM(E502:E511)</f>
        <v>2086000</v>
      </c>
      <c r="G500" s="301">
        <f>SUM(G502:G511)</f>
        <v>2086000</v>
      </c>
      <c r="H500" s="302"/>
      <c r="I500" s="304">
        <f>G500-D500</f>
        <v>-6258000</v>
      </c>
      <c r="J500" s="305"/>
      <c r="K500" s="306"/>
    </row>
    <row r="501" hidden="1" collapsed="1">
      <c r="A501" s="307"/>
      <c r="B501" s="308">
        <v>90000.0</v>
      </c>
      <c r="C501" s="309">
        <v>40.0</v>
      </c>
      <c r="D501" s="316">
        <f>(D500/C500)-1</f>
        <v>1.317777778</v>
      </c>
      <c r="E501" s="648"/>
      <c r="F501" s="649"/>
      <c r="G501" s="317">
        <f>COUNT(G502:G511)</f>
        <v>10</v>
      </c>
      <c r="H501" s="317"/>
      <c r="I501" s="319">
        <f>G500/G501</f>
        <v>208600</v>
      </c>
      <c r="J501" s="320"/>
      <c r="K501" s="322"/>
    </row>
    <row r="502" hidden="1" outlineLevel="1">
      <c r="A502" s="536">
        <f t="shared" ref="A502:A510" si="21">A472+1</f>
        <v>26.1</v>
      </c>
      <c r="B502" s="375" t="s">
        <v>967</v>
      </c>
      <c r="C502" s="652"/>
      <c r="D502" s="653"/>
      <c r="E502" s="390">
        <v>403000.0</v>
      </c>
      <c r="F502" s="393"/>
      <c r="G502" s="654">
        <v>403000.0</v>
      </c>
      <c r="H502" s="421"/>
      <c r="I502" s="442"/>
      <c r="J502" s="467"/>
      <c r="K502" s="596"/>
    </row>
    <row r="503" hidden="1" outlineLevel="1">
      <c r="A503" s="610">
        <f t="shared" si="21"/>
        <v>26.2</v>
      </c>
      <c r="B503" s="382" t="s">
        <v>969</v>
      </c>
      <c r="C503" s="650"/>
      <c r="D503" s="301"/>
      <c r="E503" s="368">
        <v>432000.0</v>
      </c>
      <c r="F503" s="369"/>
      <c r="G503" s="651">
        <v>432000.0</v>
      </c>
      <c r="H503" s="470"/>
      <c r="I503" s="304"/>
      <c r="J503" s="305"/>
      <c r="K503" s="598"/>
    </row>
    <row r="504" outlineLevel="1">
      <c r="A504" s="536">
        <f t="shared" si="21"/>
        <v>26.3</v>
      </c>
      <c r="B504" s="375" t="s">
        <v>970</v>
      </c>
      <c r="C504" s="652"/>
      <c r="D504" s="653"/>
      <c r="E504" s="390">
        <v>159000.0</v>
      </c>
      <c r="F504" s="393"/>
      <c r="G504" s="654">
        <v>159000.0</v>
      </c>
      <c r="H504" s="421">
        <v>159000.0</v>
      </c>
      <c r="I504" s="442"/>
      <c r="J504" s="467"/>
      <c r="K504" s="596"/>
    </row>
    <row r="505" hidden="1" outlineLevel="1">
      <c r="A505" s="610">
        <f t="shared" si="21"/>
        <v>26.4</v>
      </c>
      <c r="B505" s="382" t="s">
        <v>971</v>
      </c>
      <c r="C505" s="650"/>
      <c r="D505" s="301"/>
      <c r="E505" s="368">
        <v>152000.0</v>
      </c>
      <c r="F505" s="369"/>
      <c r="G505" s="651">
        <v>152000.0</v>
      </c>
      <c r="H505" s="470"/>
      <c r="I505" s="304"/>
      <c r="J505" s="305"/>
      <c r="K505" s="598"/>
    </row>
    <row r="506" hidden="1" outlineLevel="1">
      <c r="A506" s="536">
        <f t="shared" si="21"/>
        <v>26.5</v>
      </c>
      <c r="B506" s="375" t="s">
        <v>972</v>
      </c>
      <c r="C506" s="652"/>
      <c r="D506" s="653"/>
      <c r="E506" s="390">
        <v>162000.0</v>
      </c>
      <c r="F506" s="393"/>
      <c r="G506" s="654">
        <v>162000.0</v>
      </c>
      <c r="H506" s="421"/>
      <c r="I506" s="442"/>
      <c r="J506" s="467"/>
      <c r="K506" s="596"/>
    </row>
    <row r="507" outlineLevel="1">
      <c r="A507" s="610">
        <f t="shared" si="21"/>
        <v>26.6</v>
      </c>
      <c r="B507" s="382" t="s">
        <v>973</v>
      </c>
      <c r="C507" s="650"/>
      <c r="D507" s="301"/>
      <c r="E507" s="368">
        <v>160000.0</v>
      </c>
      <c r="F507" s="369"/>
      <c r="G507" s="651">
        <v>160000.0</v>
      </c>
      <c r="H507" s="470">
        <v>160000.0</v>
      </c>
      <c r="I507" s="304"/>
      <c r="J507" s="305"/>
      <c r="K507" s="598"/>
    </row>
    <row r="508" outlineLevel="1">
      <c r="A508" s="536">
        <f t="shared" si="21"/>
        <v>26.7</v>
      </c>
      <c r="B508" s="375" t="s">
        <v>974</v>
      </c>
      <c r="C508" s="652"/>
      <c r="D508" s="653"/>
      <c r="E508" s="390">
        <v>160000.0</v>
      </c>
      <c r="F508" s="393"/>
      <c r="G508" s="654">
        <v>160000.0</v>
      </c>
      <c r="H508" s="421">
        <v>160000.0</v>
      </c>
      <c r="I508" s="442"/>
      <c r="J508" s="467"/>
      <c r="K508" s="596"/>
    </row>
    <row r="509" outlineLevel="1">
      <c r="A509" s="610">
        <f t="shared" si="21"/>
        <v>26.8</v>
      </c>
      <c r="B509" s="382" t="s">
        <v>975</v>
      </c>
      <c r="C509" s="650"/>
      <c r="D509" s="301"/>
      <c r="E509" s="368">
        <v>148000.0</v>
      </c>
      <c r="F509" s="369"/>
      <c r="G509" s="651">
        <v>148000.0</v>
      </c>
      <c r="H509" s="470">
        <v>148000.0</v>
      </c>
      <c r="I509" s="304"/>
      <c r="J509" s="305"/>
      <c r="K509" s="598"/>
    </row>
    <row r="510" hidden="1" outlineLevel="1">
      <c r="A510" s="536">
        <f t="shared" si="21"/>
        <v>26.9</v>
      </c>
      <c r="B510" s="375" t="s">
        <v>976</v>
      </c>
      <c r="C510" s="652"/>
      <c r="D510" s="653"/>
      <c r="E510" s="390">
        <v>155000.0</v>
      </c>
      <c r="F510" s="393"/>
      <c r="G510" s="654">
        <v>155000.0</v>
      </c>
      <c r="H510" s="421"/>
      <c r="I510" s="442"/>
      <c r="J510" s="467"/>
      <c r="K510" s="596"/>
    </row>
    <row r="511" hidden="1" outlineLevel="1">
      <c r="A511" s="656" t="s">
        <v>977</v>
      </c>
      <c r="B511" s="382" t="s">
        <v>978</v>
      </c>
      <c r="C511" s="650"/>
      <c r="D511" s="301"/>
      <c r="E511" s="368">
        <v>155000.0</v>
      </c>
      <c r="F511" s="369"/>
      <c r="G511" s="651">
        <v>155000.0</v>
      </c>
      <c r="H511" s="470"/>
      <c r="I511" s="304"/>
      <c r="J511" s="305"/>
      <c r="K511" s="598"/>
    </row>
    <row r="512" hidden="1" outlineLevel="1">
      <c r="A512" s="536"/>
      <c r="B512" s="633"/>
      <c r="C512" s="652"/>
      <c r="D512" s="653"/>
      <c r="E512" s="390"/>
      <c r="F512" s="393"/>
      <c r="G512" s="675"/>
      <c r="H512" s="676"/>
      <c r="I512" s="442"/>
      <c r="J512" s="467"/>
      <c r="K512" s="596"/>
    </row>
    <row r="513" hidden="1">
      <c r="A513" s="294">
        <v>27.0</v>
      </c>
      <c r="B513" s="296" t="s">
        <v>979</v>
      </c>
      <c r="C513" s="299">
        <f>B514*C514</f>
        <v>5600000</v>
      </c>
      <c r="D513" s="300">
        <f>C514*I514</f>
        <v>7114666.667</v>
      </c>
      <c r="E513" s="368"/>
      <c r="F513" s="369">
        <f>SUM(E515:E574)</f>
        <v>5336000</v>
      </c>
      <c r="G513" s="301">
        <f>SUM(G515:G574)</f>
        <v>5336000</v>
      </c>
      <c r="H513" s="302"/>
      <c r="I513" s="304">
        <f>G513-D513</f>
        <v>-1778666.667</v>
      </c>
      <c r="J513" s="305"/>
      <c r="K513" s="306"/>
    </row>
    <row r="514" hidden="1" collapsed="1">
      <c r="A514" s="307"/>
      <c r="B514" s="308">
        <v>70000.0</v>
      </c>
      <c r="C514" s="309">
        <v>80.0</v>
      </c>
      <c r="D514" s="316">
        <f>(D513/C513)-1</f>
        <v>0.2704761905</v>
      </c>
      <c r="E514" s="648"/>
      <c r="F514" s="649"/>
      <c r="G514" s="317">
        <f>COUNT(G515:G574)</f>
        <v>60</v>
      </c>
      <c r="H514" s="317"/>
      <c r="I514" s="319">
        <f>G513/G514</f>
        <v>88933.33333</v>
      </c>
      <c r="J514" s="320"/>
      <c r="K514" s="322"/>
    </row>
    <row r="515" hidden="1" outlineLevel="1">
      <c r="A515" s="610">
        <v>27.1</v>
      </c>
      <c r="B515" s="382" t="s">
        <v>985</v>
      </c>
      <c r="C515" s="650"/>
      <c r="D515" s="301"/>
      <c r="E515" s="368">
        <v>93000.0</v>
      </c>
      <c r="F515" s="369"/>
      <c r="G515" s="651">
        <v>93000.0</v>
      </c>
      <c r="H515" s="470"/>
      <c r="I515" s="304"/>
      <c r="J515" s="305"/>
      <c r="K515" s="598"/>
    </row>
    <row r="516" hidden="1" outlineLevel="1">
      <c r="A516" s="536">
        <v>27.2</v>
      </c>
      <c r="B516" s="375" t="s">
        <v>987</v>
      </c>
      <c r="C516" s="652"/>
      <c r="D516" s="653"/>
      <c r="E516" s="390">
        <v>95000.0</v>
      </c>
      <c r="F516" s="393"/>
      <c r="G516" s="654">
        <v>95000.0</v>
      </c>
      <c r="H516" s="421"/>
      <c r="I516" s="442"/>
      <c r="J516" s="467"/>
      <c r="K516" s="596"/>
    </row>
    <row r="517" hidden="1" outlineLevel="1">
      <c r="A517" s="610">
        <v>27.3</v>
      </c>
      <c r="B517" s="382" t="s">
        <v>988</v>
      </c>
      <c r="C517" s="650"/>
      <c r="D517" s="301"/>
      <c r="E517" s="368">
        <v>95000.0</v>
      </c>
      <c r="F517" s="369"/>
      <c r="G517" s="651">
        <v>95000.0</v>
      </c>
      <c r="H517" s="470"/>
      <c r="I517" s="304"/>
      <c r="J517" s="305"/>
      <c r="K517" s="598"/>
    </row>
    <row r="518" hidden="1" outlineLevel="1">
      <c r="A518" s="536">
        <v>27.4</v>
      </c>
      <c r="B518" s="375" t="s">
        <v>989</v>
      </c>
      <c r="C518" s="652"/>
      <c r="D518" s="653"/>
      <c r="E518" s="390">
        <v>99000.0</v>
      </c>
      <c r="F518" s="393"/>
      <c r="G518" s="654">
        <v>99000.0</v>
      </c>
      <c r="H518" s="421"/>
      <c r="I518" s="442"/>
      <c r="J518" s="467"/>
      <c r="K518" s="596"/>
    </row>
    <row r="519" hidden="1" outlineLevel="1">
      <c r="A519" s="610">
        <v>27.5</v>
      </c>
      <c r="B519" s="382" t="s">
        <v>990</v>
      </c>
      <c r="C519" s="650"/>
      <c r="D519" s="301"/>
      <c r="E519" s="368">
        <v>96000.0</v>
      </c>
      <c r="F519" s="369"/>
      <c r="G519" s="651">
        <v>96000.0</v>
      </c>
      <c r="H519" s="470"/>
      <c r="I519" s="304"/>
      <c r="J519" s="305"/>
      <c r="K519" s="598"/>
    </row>
    <row r="520" hidden="1" outlineLevel="1">
      <c r="A520" s="536">
        <v>27.6</v>
      </c>
      <c r="B520" s="375" t="s">
        <v>991</v>
      </c>
      <c r="C520" s="652"/>
      <c r="D520" s="653"/>
      <c r="E520" s="390">
        <v>93000.0</v>
      </c>
      <c r="F520" s="393"/>
      <c r="G520" s="654">
        <v>93000.0</v>
      </c>
      <c r="H520" s="421"/>
      <c r="I520" s="442"/>
      <c r="J520" s="467"/>
      <c r="K520" s="596"/>
    </row>
    <row r="521" outlineLevel="1">
      <c r="A521" s="610">
        <v>27.7</v>
      </c>
      <c r="B521" s="382" t="s">
        <v>992</v>
      </c>
      <c r="C521" s="650"/>
      <c r="D521" s="301"/>
      <c r="E521" s="368">
        <v>88000.0</v>
      </c>
      <c r="F521" s="369"/>
      <c r="G521" s="651">
        <v>88000.0</v>
      </c>
      <c r="H521" s="470">
        <v>88000.0</v>
      </c>
      <c r="I521" s="304"/>
      <c r="J521" s="305"/>
      <c r="K521" s="598"/>
    </row>
    <row r="522" hidden="1" outlineLevel="1">
      <c r="A522" s="536">
        <v>27.8</v>
      </c>
      <c r="B522" s="375" t="s">
        <v>993</v>
      </c>
      <c r="C522" s="652"/>
      <c r="D522" s="653"/>
      <c r="E522" s="390">
        <v>88000.0</v>
      </c>
      <c r="F522" s="393"/>
      <c r="G522" s="654">
        <v>88000.0</v>
      </c>
      <c r="H522" s="421"/>
      <c r="I522" s="442"/>
      <c r="J522" s="467"/>
      <c r="K522" s="596"/>
    </row>
    <row r="523" hidden="1" outlineLevel="1">
      <c r="A523" s="610">
        <v>27.9</v>
      </c>
      <c r="B523" s="382" t="s">
        <v>995</v>
      </c>
      <c r="C523" s="650"/>
      <c r="D523" s="301"/>
      <c r="E523" s="368">
        <v>88000.0</v>
      </c>
      <c r="F523" s="369"/>
      <c r="G523" s="651">
        <v>88000.0</v>
      </c>
      <c r="H523" s="470"/>
      <c r="I523" s="304"/>
      <c r="J523" s="305"/>
      <c r="K523" s="598"/>
    </row>
    <row r="524" hidden="1" outlineLevel="1">
      <c r="A524" s="655" t="s">
        <v>997</v>
      </c>
      <c r="B524" s="375" t="s">
        <v>998</v>
      </c>
      <c r="C524" s="652"/>
      <c r="D524" s="653"/>
      <c r="E524" s="390">
        <v>88000.0</v>
      </c>
      <c r="F524" s="393"/>
      <c r="G524" s="654">
        <v>88000.0</v>
      </c>
      <c r="H524" s="421"/>
      <c r="I524" s="442"/>
      <c r="J524" s="467"/>
      <c r="K524" s="596"/>
    </row>
    <row r="525" hidden="1" outlineLevel="1">
      <c r="A525" s="656" t="s">
        <v>1000</v>
      </c>
      <c r="B525" s="382" t="s">
        <v>1001</v>
      </c>
      <c r="C525" s="650"/>
      <c r="D525" s="301"/>
      <c r="E525" s="368">
        <v>93000.0</v>
      </c>
      <c r="F525" s="369"/>
      <c r="G525" s="651">
        <v>93000.0</v>
      </c>
      <c r="H525" s="470"/>
      <c r="I525" s="304"/>
      <c r="J525" s="305"/>
      <c r="K525" s="598"/>
    </row>
    <row r="526" hidden="1" outlineLevel="1">
      <c r="A526" s="536" t="s">
        <v>1002</v>
      </c>
      <c r="B526" s="375" t="s">
        <v>1003</v>
      </c>
      <c r="C526" s="652"/>
      <c r="D526" s="653"/>
      <c r="E526" s="390">
        <v>85000.0</v>
      </c>
      <c r="F526" s="393"/>
      <c r="G526" s="654">
        <v>85000.0</v>
      </c>
      <c r="H526" s="421"/>
      <c r="I526" s="442"/>
      <c r="J526" s="467"/>
      <c r="K526" s="596"/>
    </row>
    <row r="527" hidden="1" outlineLevel="1">
      <c r="A527" s="610" t="s">
        <v>1004</v>
      </c>
      <c r="B527" s="382" t="s">
        <v>1005</v>
      </c>
      <c r="C527" s="650"/>
      <c r="D527" s="301"/>
      <c r="E527" s="368">
        <v>82000.0</v>
      </c>
      <c r="F527" s="369"/>
      <c r="G527" s="651">
        <v>82000.0</v>
      </c>
      <c r="H527" s="470"/>
      <c r="I527" s="304"/>
      <c r="J527" s="305"/>
      <c r="K527" s="598"/>
    </row>
    <row r="528" hidden="1" outlineLevel="1">
      <c r="A528" s="536" t="s">
        <v>1006</v>
      </c>
      <c r="B528" s="375" t="s">
        <v>1007</v>
      </c>
      <c r="C528" s="652"/>
      <c r="D528" s="653"/>
      <c r="E528" s="390">
        <v>93000.0</v>
      </c>
      <c r="F528" s="393"/>
      <c r="G528" s="654">
        <v>93000.0</v>
      </c>
      <c r="H528" s="421"/>
      <c r="I528" s="442"/>
      <c r="J528" s="467"/>
      <c r="K528" s="596"/>
    </row>
    <row r="529" hidden="1" outlineLevel="1">
      <c r="A529" s="610" t="s">
        <v>1009</v>
      </c>
      <c r="B529" s="382" t="s">
        <v>1010</v>
      </c>
      <c r="C529" s="650"/>
      <c r="D529" s="301"/>
      <c r="E529" s="368">
        <v>93000.0</v>
      </c>
      <c r="F529" s="369"/>
      <c r="G529" s="651">
        <v>93000.0</v>
      </c>
      <c r="H529" s="470"/>
      <c r="I529" s="304"/>
      <c r="J529" s="305"/>
      <c r="K529" s="598"/>
    </row>
    <row r="530" hidden="1" outlineLevel="1">
      <c r="A530" s="536" t="s">
        <v>1013</v>
      </c>
      <c r="B530" s="375" t="s">
        <v>1014</v>
      </c>
      <c r="C530" s="652"/>
      <c r="D530" s="653"/>
      <c r="E530" s="390">
        <v>93000.0</v>
      </c>
      <c r="F530" s="393"/>
      <c r="G530" s="654">
        <v>93000.0</v>
      </c>
      <c r="H530" s="421"/>
      <c r="I530" s="442"/>
      <c r="J530" s="467"/>
      <c r="K530" s="596"/>
    </row>
    <row r="531" hidden="1" outlineLevel="1">
      <c r="A531" s="610" t="s">
        <v>1015</v>
      </c>
      <c r="B531" s="382" t="s">
        <v>1016</v>
      </c>
      <c r="C531" s="650"/>
      <c r="D531" s="301"/>
      <c r="E531" s="368">
        <v>93000.0</v>
      </c>
      <c r="F531" s="369"/>
      <c r="G531" s="651">
        <v>93000.0</v>
      </c>
      <c r="H531" s="470"/>
      <c r="I531" s="304"/>
      <c r="J531" s="305"/>
      <c r="K531" s="598"/>
    </row>
    <row r="532" hidden="1" outlineLevel="1">
      <c r="A532" s="536" t="s">
        <v>1017</v>
      </c>
      <c r="B532" s="375" t="s">
        <v>1018</v>
      </c>
      <c r="C532" s="652"/>
      <c r="D532" s="653"/>
      <c r="E532" s="390">
        <v>93000.0</v>
      </c>
      <c r="F532" s="393"/>
      <c r="G532" s="654">
        <v>93000.0</v>
      </c>
      <c r="H532" s="421"/>
      <c r="I532" s="442"/>
      <c r="J532" s="467"/>
      <c r="K532" s="596"/>
    </row>
    <row r="533" outlineLevel="1">
      <c r="A533" s="610" t="s">
        <v>1020</v>
      </c>
      <c r="B533" s="382" t="s">
        <v>1021</v>
      </c>
      <c r="C533" s="650"/>
      <c r="D533" s="301"/>
      <c r="E533" s="368">
        <v>99000.0</v>
      </c>
      <c r="F533" s="369"/>
      <c r="G533" s="651">
        <v>99000.0</v>
      </c>
      <c r="H533" s="470">
        <v>99000.0</v>
      </c>
      <c r="I533" s="304"/>
      <c r="J533" s="305"/>
      <c r="K533" s="598"/>
    </row>
    <row r="534" hidden="1" outlineLevel="1">
      <c r="A534" s="536" t="s">
        <v>1024</v>
      </c>
      <c r="B534" s="375" t="s">
        <v>1025</v>
      </c>
      <c r="C534" s="652"/>
      <c r="D534" s="653"/>
      <c r="E534" s="390">
        <v>93000.0</v>
      </c>
      <c r="F534" s="393"/>
      <c r="G534" s="654">
        <v>93000.0</v>
      </c>
      <c r="H534" s="421"/>
      <c r="I534" s="442"/>
      <c r="J534" s="467"/>
      <c r="K534" s="596"/>
    </row>
    <row r="535" hidden="1" outlineLevel="1">
      <c r="A535" s="610" t="s">
        <v>1026</v>
      </c>
      <c r="B535" s="382" t="s">
        <v>1027</v>
      </c>
      <c r="C535" s="650"/>
      <c r="D535" s="301"/>
      <c r="E535" s="368">
        <v>93000.0</v>
      </c>
      <c r="F535" s="369"/>
      <c r="G535" s="651">
        <v>93000.0</v>
      </c>
      <c r="H535" s="470"/>
      <c r="I535" s="304"/>
      <c r="J535" s="305"/>
      <c r="K535" s="598"/>
    </row>
    <row r="536" hidden="1" outlineLevel="1">
      <c r="A536" s="536" t="s">
        <v>1029</v>
      </c>
      <c r="B536" s="375" t="s">
        <v>1030</v>
      </c>
      <c r="C536" s="652"/>
      <c r="D536" s="653"/>
      <c r="E536" s="390">
        <v>106000.0</v>
      </c>
      <c r="F536" s="393"/>
      <c r="G536" s="654">
        <v>106000.0</v>
      </c>
      <c r="H536" s="421"/>
      <c r="I536" s="442"/>
      <c r="J536" s="467"/>
      <c r="K536" s="596"/>
    </row>
    <row r="537" hidden="1" outlineLevel="1">
      <c r="A537" s="610" t="s">
        <v>1031</v>
      </c>
      <c r="B537" s="382" t="s">
        <v>1032</v>
      </c>
      <c r="C537" s="650"/>
      <c r="D537" s="301"/>
      <c r="E537" s="368">
        <v>106000.0</v>
      </c>
      <c r="F537" s="369"/>
      <c r="G537" s="651">
        <v>106000.0</v>
      </c>
      <c r="H537" s="470"/>
      <c r="I537" s="304"/>
      <c r="J537" s="305"/>
      <c r="K537" s="598"/>
    </row>
    <row r="538" hidden="1" outlineLevel="1">
      <c r="A538" s="536" t="s">
        <v>1033</v>
      </c>
      <c r="B538" s="375" t="s">
        <v>1034</v>
      </c>
      <c r="C538" s="652"/>
      <c r="D538" s="653"/>
      <c r="E538" s="390">
        <v>96000.0</v>
      </c>
      <c r="F538" s="393"/>
      <c r="G538" s="654">
        <v>96000.0</v>
      </c>
      <c r="H538" s="421"/>
      <c r="I538" s="442"/>
      <c r="J538" s="467"/>
      <c r="K538" s="596"/>
    </row>
    <row r="539" hidden="1" outlineLevel="1">
      <c r="A539" s="610" t="s">
        <v>1038</v>
      </c>
      <c r="B539" s="382" t="s">
        <v>1039</v>
      </c>
      <c r="C539" s="650"/>
      <c r="D539" s="301"/>
      <c r="E539" s="368">
        <v>96000.0</v>
      </c>
      <c r="F539" s="369"/>
      <c r="G539" s="651">
        <v>96000.0</v>
      </c>
      <c r="H539" s="470"/>
      <c r="I539" s="304"/>
      <c r="J539" s="305"/>
      <c r="K539" s="598"/>
    </row>
    <row r="540" hidden="1" outlineLevel="1">
      <c r="A540" s="536" t="s">
        <v>1040</v>
      </c>
      <c r="B540" s="375" t="s">
        <v>1041</v>
      </c>
      <c r="C540" s="652"/>
      <c r="D540" s="653"/>
      <c r="E540" s="390">
        <v>99000.0</v>
      </c>
      <c r="F540" s="393"/>
      <c r="G540" s="654">
        <v>99000.0</v>
      </c>
      <c r="H540" s="421"/>
      <c r="I540" s="442"/>
      <c r="J540" s="467"/>
      <c r="K540" s="596"/>
    </row>
    <row r="541" outlineLevel="1">
      <c r="A541" s="610" t="s">
        <v>1042</v>
      </c>
      <c r="B541" s="382" t="s">
        <v>1043</v>
      </c>
      <c r="C541" s="650"/>
      <c r="D541" s="301"/>
      <c r="E541" s="368">
        <v>106000.0</v>
      </c>
      <c r="F541" s="369"/>
      <c r="G541" s="651">
        <v>106000.0</v>
      </c>
      <c r="H541" s="470">
        <v>106000.0</v>
      </c>
      <c r="I541" s="304"/>
      <c r="J541" s="305"/>
      <c r="K541" s="598"/>
    </row>
    <row r="542" hidden="1" outlineLevel="1">
      <c r="A542" s="536" t="s">
        <v>1045</v>
      </c>
      <c r="B542" s="375" t="s">
        <v>1046</v>
      </c>
      <c r="C542" s="652"/>
      <c r="D542" s="653"/>
      <c r="E542" s="390">
        <v>99000.0</v>
      </c>
      <c r="F542" s="393"/>
      <c r="G542" s="654">
        <v>99000.0</v>
      </c>
      <c r="H542" s="421"/>
      <c r="I542" s="442"/>
      <c r="J542" s="467"/>
      <c r="K542" s="596"/>
    </row>
    <row r="543" hidden="1" outlineLevel="1">
      <c r="A543" s="610" t="s">
        <v>1047</v>
      </c>
      <c r="B543" s="382" t="s">
        <v>1048</v>
      </c>
      <c r="C543" s="650"/>
      <c r="D543" s="301"/>
      <c r="E543" s="368">
        <v>99000.0</v>
      </c>
      <c r="F543" s="369"/>
      <c r="G543" s="651">
        <v>99000.0</v>
      </c>
      <c r="H543" s="470"/>
      <c r="I543" s="304"/>
      <c r="J543" s="305"/>
      <c r="K543" s="598"/>
    </row>
    <row r="544" hidden="1" outlineLevel="1">
      <c r="A544" s="536" t="s">
        <v>1049</v>
      </c>
      <c r="B544" s="375" t="s">
        <v>1051</v>
      </c>
      <c r="C544" s="652"/>
      <c r="D544" s="653"/>
      <c r="E544" s="390">
        <v>88000.0</v>
      </c>
      <c r="F544" s="393"/>
      <c r="G544" s="654">
        <v>88000.0</v>
      </c>
      <c r="H544" s="421"/>
      <c r="I544" s="442"/>
      <c r="J544" s="467"/>
      <c r="K544" s="596"/>
    </row>
    <row r="545" hidden="1" outlineLevel="1">
      <c r="A545" s="610" t="s">
        <v>1053</v>
      </c>
      <c r="B545" s="382" t="s">
        <v>1054</v>
      </c>
      <c r="C545" s="650"/>
      <c r="D545" s="301"/>
      <c r="E545" s="368">
        <v>93000.0</v>
      </c>
      <c r="F545" s="369"/>
      <c r="G545" s="651">
        <v>93000.0</v>
      </c>
      <c r="H545" s="470"/>
      <c r="I545" s="304"/>
      <c r="J545" s="305"/>
      <c r="K545" s="598"/>
    </row>
    <row r="546" hidden="1" outlineLevel="1">
      <c r="A546" s="536" t="s">
        <v>1056</v>
      </c>
      <c r="B546" s="375" t="s">
        <v>1057</v>
      </c>
      <c r="C546" s="652"/>
      <c r="D546" s="653"/>
      <c r="E546" s="390">
        <v>88000.0</v>
      </c>
      <c r="F546" s="393"/>
      <c r="G546" s="654">
        <v>88000.0</v>
      </c>
      <c r="H546" s="421"/>
      <c r="I546" s="442"/>
      <c r="J546" s="467"/>
      <c r="K546" s="596"/>
    </row>
    <row r="547" hidden="1" outlineLevel="1">
      <c r="A547" s="610" t="s">
        <v>1058</v>
      </c>
      <c r="B547" s="382" t="s">
        <v>1059</v>
      </c>
      <c r="C547" s="650"/>
      <c r="D547" s="301"/>
      <c r="E547" s="368">
        <v>88000.0</v>
      </c>
      <c r="F547" s="369"/>
      <c r="G547" s="651">
        <v>88000.0</v>
      </c>
      <c r="H547" s="470"/>
      <c r="I547" s="304"/>
      <c r="J547" s="305"/>
      <c r="K547" s="598"/>
    </row>
    <row r="548" hidden="1" outlineLevel="1">
      <c r="A548" s="536" t="s">
        <v>1060</v>
      </c>
      <c r="B548" s="375" t="s">
        <v>1061</v>
      </c>
      <c r="C548" s="652"/>
      <c r="D548" s="653"/>
      <c r="E548" s="390">
        <v>88000.0</v>
      </c>
      <c r="F548" s="393"/>
      <c r="G548" s="654">
        <v>88000.0</v>
      </c>
      <c r="H548" s="421"/>
      <c r="I548" s="442"/>
      <c r="J548" s="467"/>
      <c r="K548" s="596"/>
    </row>
    <row r="549" hidden="1" outlineLevel="1">
      <c r="A549" s="610" t="s">
        <v>1064</v>
      </c>
      <c r="B549" s="382" t="s">
        <v>1065</v>
      </c>
      <c r="C549" s="650"/>
      <c r="D549" s="301"/>
      <c r="E549" s="368">
        <v>82000.0</v>
      </c>
      <c r="F549" s="369"/>
      <c r="G549" s="651">
        <v>82000.0</v>
      </c>
      <c r="H549" s="470"/>
      <c r="I549" s="304"/>
      <c r="J549" s="305"/>
      <c r="K549" s="598"/>
    </row>
    <row r="550" hidden="1" outlineLevel="1">
      <c r="A550" s="536" t="s">
        <v>1066</v>
      </c>
      <c r="B550" s="375" t="s">
        <v>1067</v>
      </c>
      <c r="C550" s="652"/>
      <c r="D550" s="653"/>
      <c r="E550" s="390">
        <v>82000.0</v>
      </c>
      <c r="F550" s="393"/>
      <c r="G550" s="654">
        <v>82000.0</v>
      </c>
      <c r="H550" s="421"/>
      <c r="I550" s="442"/>
      <c r="J550" s="467"/>
      <c r="K550" s="596"/>
    </row>
    <row r="551" hidden="1" outlineLevel="1">
      <c r="A551" s="610" t="s">
        <v>1068</v>
      </c>
      <c r="B551" s="382" t="s">
        <v>1069</v>
      </c>
      <c r="C551" s="650"/>
      <c r="D551" s="301"/>
      <c r="E551" s="368">
        <v>82000.0</v>
      </c>
      <c r="F551" s="369"/>
      <c r="G551" s="651">
        <v>82000.0</v>
      </c>
      <c r="H551" s="470"/>
      <c r="I551" s="304"/>
      <c r="J551" s="305"/>
      <c r="K551" s="598"/>
    </row>
    <row r="552" hidden="1" outlineLevel="1">
      <c r="A552" s="536" t="s">
        <v>1070</v>
      </c>
      <c r="B552" s="375" t="s">
        <v>1071</v>
      </c>
      <c r="C552" s="652"/>
      <c r="D552" s="653"/>
      <c r="E552" s="390">
        <v>82000.0</v>
      </c>
      <c r="F552" s="393"/>
      <c r="G552" s="654">
        <v>82000.0</v>
      </c>
      <c r="H552" s="421"/>
      <c r="I552" s="442"/>
      <c r="J552" s="467"/>
      <c r="K552" s="596"/>
    </row>
    <row r="553" hidden="1" outlineLevel="1">
      <c r="A553" s="610" t="s">
        <v>1074</v>
      </c>
      <c r="B553" s="382" t="s">
        <v>1075</v>
      </c>
      <c r="C553" s="650"/>
      <c r="D553" s="301"/>
      <c r="E553" s="368">
        <v>82000.0</v>
      </c>
      <c r="F553" s="369"/>
      <c r="G553" s="651">
        <v>82000.0</v>
      </c>
      <c r="H553" s="470"/>
      <c r="I553" s="304"/>
      <c r="J553" s="305"/>
      <c r="K553" s="598"/>
    </row>
    <row r="554" hidden="1" outlineLevel="1">
      <c r="A554" s="536" t="s">
        <v>1076</v>
      </c>
      <c r="B554" s="375" t="s">
        <v>1077</v>
      </c>
      <c r="C554" s="652"/>
      <c r="D554" s="653"/>
      <c r="E554" s="390">
        <v>82000.0</v>
      </c>
      <c r="F554" s="393"/>
      <c r="G554" s="654">
        <v>82000.0</v>
      </c>
      <c r="H554" s="421"/>
      <c r="I554" s="442"/>
      <c r="J554" s="467"/>
      <c r="K554" s="596"/>
    </row>
    <row r="555" hidden="1" outlineLevel="1">
      <c r="A555" s="610" t="s">
        <v>1078</v>
      </c>
      <c r="B555" s="382" t="s">
        <v>1079</v>
      </c>
      <c r="C555" s="650"/>
      <c r="D555" s="301"/>
      <c r="E555" s="368">
        <v>88000.0</v>
      </c>
      <c r="F555" s="369"/>
      <c r="G555" s="651">
        <v>88000.0</v>
      </c>
      <c r="H555" s="470"/>
      <c r="I555" s="304"/>
      <c r="J555" s="305"/>
      <c r="K555" s="598"/>
    </row>
    <row r="556" hidden="1" outlineLevel="1">
      <c r="A556" s="536" t="s">
        <v>1080</v>
      </c>
      <c r="B556" s="375" t="s">
        <v>1081</v>
      </c>
      <c r="C556" s="652"/>
      <c r="D556" s="653"/>
      <c r="E556" s="390">
        <v>82000.0</v>
      </c>
      <c r="F556" s="393"/>
      <c r="G556" s="654">
        <v>82000.0</v>
      </c>
      <c r="H556" s="421"/>
      <c r="I556" s="442"/>
      <c r="J556" s="467"/>
      <c r="K556" s="596"/>
    </row>
    <row r="557" hidden="1" outlineLevel="1">
      <c r="A557" s="610" t="s">
        <v>1082</v>
      </c>
      <c r="B557" s="382" t="s">
        <v>1083</v>
      </c>
      <c r="C557" s="650"/>
      <c r="D557" s="301"/>
      <c r="E557" s="368">
        <v>82000.0</v>
      </c>
      <c r="F557" s="369"/>
      <c r="G557" s="651">
        <v>82000.0</v>
      </c>
      <c r="H557" s="470"/>
      <c r="I557" s="304"/>
      <c r="J557" s="305"/>
      <c r="K557" s="598"/>
    </row>
    <row r="558" outlineLevel="1">
      <c r="A558" s="536" t="s">
        <v>1085</v>
      </c>
      <c r="B558" s="375" t="s">
        <v>1086</v>
      </c>
      <c r="C558" s="652"/>
      <c r="D558" s="653"/>
      <c r="E558" s="390">
        <v>82000.0</v>
      </c>
      <c r="F558" s="393"/>
      <c r="G558" s="654">
        <v>82000.0</v>
      </c>
      <c r="H558" s="421">
        <v>82000.0</v>
      </c>
      <c r="I558" s="442"/>
      <c r="J558" s="467"/>
      <c r="K558" s="596"/>
    </row>
    <row r="559" outlineLevel="1">
      <c r="A559" s="610" t="s">
        <v>1088</v>
      </c>
      <c r="B559" s="382" t="s">
        <v>1089</v>
      </c>
      <c r="C559" s="650"/>
      <c r="D559" s="301"/>
      <c r="E559" s="368">
        <v>88000.0</v>
      </c>
      <c r="F559" s="369"/>
      <c r="G559" s="651">
        <v>88000.0</v>
      </c>
      <c r="H559" s="470">
        <v>88000.0</v>
      </c>
      <c r="I559" s="304"/>
      <c r="J559" s="305"/>
      <c r="K559" s="598"/>
    </row>
    <row r="560" outlineLevel="1">
      <c r="A560" s="536" t="s">
        <v>1090</v>
      </c>
      <c r="B560" s="375" t="s">
        <v>1091</v>
      </c>
      <c r="C560" s="652"/>
      <c r="D560" s="653"/>
      <c r="E560" s="390">
        <v>88000.0</v>
      </c>
      <c r="F560" s="393"/>
      <c r="G560" s="654">
        <v>88000.0</v>
      </c>
      <c r="H560" s="421">
        <v>88000.0</v>
      </c>
      <c r="I560" s="442"/>
      <c r="J560" s="467"/>
      <c r="K560" s="596"/>
    </row>
    <row r="561" outlineLevel="1">
      <c r="A561" s="610" t="s">
        <v>1093</v>
      </c>
      <c r="B561" s="382" t="s">
        <v>1094</v>
      </c>
      <c r="C561" s="650"/>
      <c r="D561" s="301"/>
      <c r="E561" s="368">
        <v>84000.0</v>
      </c>
      <c r="F561" s="369"/>
      <c r="G561" s="651">
        <v>84000.0</v>
      </c>
      <c r="H561" s="470">
        <v>84000.0</v>
      </c>
      <c r="I561" s="304"/>
      <c r="J561" s="305"/>
      <c r="K561" s="598"/>
    </row>
    <row r="562" hidden="1" outlineLevel="1">
      <c r="A562" s="536" t="s">
        <v>1095</v>
      </c>
      <c r="B562" s="375" t="s">
        <v>1096</v>
      </c>
      <c r="C562" s="652"/>
      <c r="D562" s="653"/>
      <c r="E562" s="390">
        <v>85000.0</v>
      </c>
      <c r="F562" s="393"/>
      <c r="G562" s="654">
        <v>85000.0</v>
      </c>
      <c r="H562" s="421"/>
      <c r="I562" s="442"/>
      <c r="J562" s="467"/>
      <c r="K562" s="596"/>
    </row>
    <row r="563" hidden="1" outlineLevel="1">
      <c r="A563" s="610" t="s">
        <v>1098</v>
      </c>
      <c r="B563" s="382" t="s">
        <v>1099</v>
      </c>
      <c r="C563" s="650"/>
      <c r="D563" s="301"/>
      <c r="E563" s="368">
        <v>80000.0</v>
      </c>
      <c r="F563" s="369"/>
      <c r="G563" s="651">
        <v>80000.0</v>
      </c>
      <c r="H563" s="470"/>
      <c r="I563" s="304"/>
      <c r="J563" s="305"/>
      <c r="K563" s="598"/>
    </row>
    <row r="564" hidden="1" outlineLevel="1">
      <c r="A564" s="536" t="s">
        <v>1100</v>
      </c>
      <c r="B564" s="375" t="s">
        <v>1101</v>
      </c>
      <c r="C564" s="652"/>
      <c r="D564" s="653"/>
      <c r="E564" s="390">
        <v>80000.0</v>
      </c>
      <c r="F564" s="393"/>
      <c r="G564" s="654">
        <v>80000.0</v>
      </c>
      <c r="H564" s="421"/>
      <c r="I564" s="442"/>
      <c r="J564" s="467"/>
      <c r="K564" s="596"/>
    </row>
    <row r="565" hidden="1" outlineLevel="1">
      <c r="A565" s="610" t="s">
        <v>1102</v>
      </c>
      <c r="B565" s="382" t="s">
        <v>1103</v>
      </c>
      <c r="C565" s="650"/>
      <c r="D565" s="301"/>
      <c r="E565" s="368">
        <v>80000.0</v>
      </c>
      <c r="F565" s="369"/>
      <c r="G565" s="651">
        <v>80000.0</v>
      </c>
      <c r="H565" s="470"/>
      <c r="I565" s="304"/>
      <c r="J565" s="305"/>
      <c r="K565" s="598"/>
    </row>
    <row r="566" hidden="1" outlineLevel="1">
      <c r="A566" s="536" t="s">
        <v>1105</v>
      </c>
      <c r="B566" s="375" t="s">
        <v>1106</v>
      </c>
      <c r="C566" s="652"/>
      <c r="D566" s="653"/>
      <c r="E566" s="390">
        <v>85000.0</v>
      </c>
      <c r="F566" s="393"/>
      <c r="G566" s="654">
        <v>85000.0</v>
      </c>
      <c r="H566" s="421"/>
      <c r="I566" s="442"/>
      <c r="J566" s="467"/>
      <c r="K566" s="596"/>
    </row>
    <row r="567" hidden="1" outlineLevel="1">
      <c r="A567" s="610" t="s">
        <v>1107</v>
      </c>
      <c r="B567" s="382" t="s">
        <v>1108</v>
      </c>
      <c r="C567" s="650"/>
      <c r="D567" s="301"/>
      <c r="E567" s="368">
        <v>82000.0</v>
      </c>
      <c r="F567" s="369"/>
      <c r="G567" s="651">
        <v>82000.0</v>
      </c>
      <c r="H567" s="470"/>
      <c r="I567" s="304"/>
      <c r="J567" s="305"/>
      <c r="K567" s="598"/>
    </row>
    <row r="568" hidden="1" outlineLevel="1">
      <c r="A568" s="536" t="s">
        <v>1111</v>
      </c>
      <c r="B568" s="375" t="s">
        <v>1112</v>
      </c>
      <c r="C568" s="652"/>
      <c r="D568" s="653"/>
      <c r="E568" s="390">
        <v>82000.0</v>
      </c>
      <c r="F568" s="393"/>
      <c r="G568" s="654">
        <v>82000.0</v>
      </c>
      <c r="H568" s="421"/>
      <c r="I568" s="442"/>
      <c r="J568" s="467"/>
      <c r="K568" s="596"/>
    </row>
    <row r="569" hidden="1" outlineLevel="1">
      <c r="A569" s="610" t="s">
        <v>1114</v>
      </c>
      <c r="B569" s="382" t="s">
        <v>1115</v>
      </c>
      <c r="C569" s="650"/>
      <c r="D569" s="301"/>
      <c r="E569" s="368">
        <v>85000.0</v>
      </c>
      <c r="F569" s="369"/>
      <c r="G569" s="651">
        <v>85000.0</v>
      </c>
      <c r="H569" s="470"/>
      <c r="I569" s="304"/>
      <c r="J569" s="305"/>
      <c r="K569" s="598"/>
    </row>
    <row r="570" outlineLevel="1">
      <c r="A570" s="536" t="s">
        <v>1117</v>
      </c>
      <c r="B570" s="375" t="s">
        <v>1118</v>
      </c>
      <c r="C570" s="652"/>
      <c r="D570" s="653"/>
      <c r="E570" s="390">
        <v>82000.0</v>
      </c>
      <c r="F570" s="393"/>
      <c r="G570" s="654">
        <v>82000.0</v>
      </c>
      <c r="H570" s="421">
        <v>82000.0</v>
      </c>
      <c r="I570" s="442"/>
      <c r="J570" s="467"/>
      <c r="K570" s="596"/>
    </row>
    <row r="571" outlineLevel="1">
      <c r="A571" s="610" t="s">
        <v>1119</v>
      </c>
      <c r="B571" s="382" t="s">
        <v>1120</v>
      </c>
      <c r="C571" s="650"/>
      <c r="D571" s="301"/>
      <c r="E571" s="368">
        <v>82000.0</v>
      </c>
      <c r="F571" s="369"/>
      <c r="G571" s="651">
        <v>82000.0</v>
      </c>
      <c r="H571" s="470">
        <v>82000.0</v>
      </c>
      <c r="I571" s="304"/>
      <c r="J571" s="305"/>
      <c r="K571" s="598"/>
    </row>
    <row r="572" hidden="1" outlineLevel="1">
      <c r="A572" s="536" t="s">
        <v>1122</v>
      </c>
      <c r="B572" s="375" t="s">
        <v>1123</v>
      </c>
      <c r="C572" s="652"/>
      <c r="D572" s="653"/>
      <c r="E572" s="390">
        <v>84000.0</v>
      </c>
      <c r="F572" s="393"/>
      <c r="G572" s="654">
        <v>84000.0</v>
      </c>
      <c r="H572" s="421"/>
      <c r="I572" s="442"/>
      <c r="J572" s="467"/>
      <c r="K572" s="596"/>
    </row>
    <row r="573" hidden="1" outlineLevel="1">
      <c r="A573" s="610" t="s">
        <v>1125</v>
      </c>
      <c r="B573" s="382" t="s">
        <v>1126</v>
      </c>
      <c r="C573" s="650"/>
      <c r="D573" s="301"/>
      <c r="E573" s="368">
        <v>81000.0</v>
      </c>
      <c r="F573" s="369"/>
      <c r="G573" s="651">
        <v>81000.0</v>
      </c>
      <c r="H573" s="470"/>
      <c r="I573" s="304"/>
      <c r="J573" s="305"/>
      <c r="K573" s="598"/>
    </row>
    <row r="574" outlineLevel="1">
      <c r="A574" s="536" t="s">
        <v>1129</v>
      </c>
      <c r="B574" s="375" t="s">
        <v>1130</v>
      </c>
      <c r="C574" s="652"/>
      <c r="D574" s="653"/>
      <c r="E574" s="390">
        <v>77000.0</v>
      </c>
      <c r="F574" s="393"/>
      <c r="G574" s="654">
        <v>77000.0</v>
      </c>
      <c r="H574" s="421">
        <v>77000.0</v>
      </c>
      <c r="I574" s="442"/>
      <c r="J574" s="467"/>
      <c r="K574" s="596"/>
    </row>
    <row r="575" hidden="1" outlineLevel="1">
      <c r="A575" s="610"/>
      <c r="B575" s="611"/>
      <c r="C575" s="650"/>
      <c r="D575" s="301"/>
      <c r="E575" s="368"/>
      <c r="F575" s="369"/>
      <c r="G575" s="669"/>
      <c r="H575" s="670"/>
      <c r="I575" s="304"/>
      <c r="J575" s="305"/>
      <c r="K575" s="598"/>
    </row>
    <row r="576" hidden="1">
      <c r="A576" s="294">
        <v>28.0</v>
      </c>
      <c r="B576" s="296" t="s">
        <v>1132</v>
      </c>
      <c r="C576" s="299">
        <f>B577*C577</f>
        <v>320000</v>
      </c>
      <c r="D576" s="300">
        <f>C577*I577</f>
        <v>533000</v>
      </c>
      <c r="E576" s="368"/>
      <c r="F576" s="369">
        <f>SUM(E578:E581)</f>
        <v>533000</v>
      </c>
      <c r="G576" s="301">
        <f>SUM(G578:G581)</f>
        <v>533000</v>
      </c>
      <c r="H576" s="302"/>
      <c r="I576" s="304">
        <f>G576-D576</f>
        <v>0</v>
      </c>
      <c r="J576" s="305"/>
      <c r="K576" s="306"/>
    </row>
    <row r="577" hidden="1" collapsed="1">
      <c r="A577" s="307"/>
      <c r="B577" s="308">
        <v>80000.0</v>
      </c>
      <c r="C577" s="309">
        <v>4.0</v>
      </c>
      <c r="D577" s="316">
        <f>(D576/C576)-1</f>
        <v>0.665625</v>
      </c>
      <c r="E577" s="648"/>
      <c r="F577" s="649"/>
      <c r="G577" s="317">
        <f>COUNT(G578:G581)</f>
        <v>4</v>
      </c>
      <c r="H577" s="317"/>
      <c r="I577" s="319">
        <f>G576/G577</f>
        <v>133250</v>
      </c>
      <c r="J577" s="320"/>
      <c r="K577" s="322"/>
    </row>
    <row r="578" hidden="1" outlineLevel="1">
      <c r="A578" s="536">
        <f t="shared" ref="A578:A581" si="22">A515+1</f>
        <v>28.1</v>
      </c>
      <c r="B578" s="375" t="s">
        <v>1139</v>
      </c>
      <c r="C578" s="652"/>
      <c r="D578" s="653"/>
      <c r="E578" s="390">
        <v>144000.0</v>
      </c>
      <c r="F578" s="393"/>
      <c r="G578" s="654">
        <v>144000.0</v>
      </c>
      <c r="H578" s="421"/>
      <c r="I578" s="442"/>
      <c r="J578" s="467"/>
      <c r="K578" s="596"/>
    </row>
    <row r="579" hidden="1" outlineLevel="1">
      <c r="A579" s="610">
        <f t="shared" si="22"/>
        <v>28.2</v>
      </c>
      <c r="B579" s="382" t="s">
        <v>1141</v>
      </c>
      <c r="C579" s="650"/>
      <c r="D579" s="301"/>
      <c r="E579" s="368">
        <v>133000.0</v>
      </c>
      <c r="F579" s="369"/>
      <c r="G579" s="651">
        <v>133000.0</v>
      </c>
      <c r="H579" s="470"/>
      <c r="I579" s="304"/>
      <c r="J579" s="305"/>
      <c r="K579" s="598"/>
    </row>
    <row r="580" hidden="1" outlineLevel="1">
      <c r="A580" s="536">
        <f t="shared" si="22"/>
        <v>28.3</v>
      </c>
      <c r="B580" s="375" t="s">
        <v>1142</v>
      </c>
      <c r="C580" s="652"/>
      <c r="D580" s="653"/>
      <c r="E580" s="390">
        <v>110000.0</v>
      </c>
      <c r="F580" s="393"/>
      <c r="G580" s="654">
        <v>110000.0</v>
      </c>
      <c r="H580" s="421"/>
      <c r="I580" s="442"/>
      <c r="J580" s="467"/>
      <c r="K580" s="596"/>
    </row>
    <row r="581" hidden="1" outlineLevel="1">
      <c r="A581" s="610">
        <f t="shared" si="22"/>
        <v>28.4</v>
      </c>
      <c r="B581" s="382" t="s">
        <v>1144</v>
      </c>
      <c r="C581" s="650"/>
      <c r="D581" s="301"/>
      <c r="E581" s="368">
        <v>146000.0</v>
      </c>
      <c r="F581" s="369"/>
      <c r="G581" s="651">
        <v>146000.0</v>
      </c>
      <c r="H581" s="470"/>
      <c r="I581" s="304"/>
      <c r="J581" s="305"/>
      <c r="K581" s="598"/>
    </row>
    <row r="582" hidden="1" outlineLevel="1">
      <c r="A582" s="536"/>
      <c r="B582" s="633"/>
      <c r="C582" s="652"/>
      <c r="D582" s="653"/>
      <c r="E582" s="390"/>
      <c r="F582" s="393"/>
      <c r="G582" s="710"/>
      <c r="H582" s="711"/>
      <c r="I582" s="442"/>
      <c r="J582" s="467"/>
      <c r="K582" s="596"/>
    </row>
    <row r="583" hidden="1">
      <c r="A583" s="294">
        <v>29.0</v>
      </c>
      <c r="B583" s="296" t="s">
        <v>1146</v>
      </c>
      <c r="C583" s="299">
        <f>B584*C584</f>
        <v>5100000</v>
      </c>
      <c r="D583" s="300">
        <f>C584*I584</f>
        <v>13474928.57</v>
      </c>
      <c r="E583" s="368"/>
      <c r="F583" s="369">
        <f>SUM(E585:E598)</f>
        <v>3699000</v>
      </c>
      <c r="G583" s="301">
        <f>SUM(G585:G598)</f>
        <v>3699000</v>
      </c>
      <c r="H583" s="302"/>
      <c r="I583" s="304">
        <f>G583-D583</f>
        <v>-9775928.571</v>
      </c>
      <c r="J583" s="305"/>
      <c r="K583" s="306"/>
    </row>
    <row r="584" hidden="1" collapsed="1">
      <c r="A584" s="307"/>
      <c r="B584" s="308">
        <v>100000.0</v>
      </c>
      <c r="C584" s="309">
        <v>51.0</v>
      </c>
      <c r="D584" s="316">
        <f>(D583/C583)-1</f>
        <v>1.642142857</v>
      </c>
      <c r="E584" s="648"/>
      <c r="F584" s="649"/>
      <c r="G584" s="317">
        <f>COUNT(G585:G598)</f>
        <v>14</v>
      </c>
      <c r="H584" s="317"/>
      <c r="I584" s="319">
        <f>G583/G584</f>
        <v>264214.2857</v>
      </c>
      <c r="J584" s="320"/>
      <c r="K584" s="322"/>
    </row>
    <row r="585" outlineLevel="1">
      <c r="A585" s="610">
        <f>A578+1</f>
        <v>29.1</v>
      </c>
      <c r="B585" s="382" t="s">
        <v>1153</v>
      </c>
      <c r="C585" s="650"/>
      <c r="D585" s="301"/>
      <c r="E585" s="368">
        <v>305000.0</v>
      </c>
      <c r="F585" s="369"/>
      <c r="G585" s="651">
        <v>305000.0</v>
      </c>
      <c r="H585" s="470">
        <v>305000.0</v>
      </c>
      <c r="I585" s="304"/>
      <c r="J585" s="305"/>
      <c r="K585" s="598"/>
    </row>
    <row r="586" hidden="1" outlineLevel="1">
      <c r="A586" s="536">
        <f t="shared" ref="A586:A593" si="23">A585+0.1</f>
        <v>29.2</v>
      </c>
      <c r="B586" s="375" t="s">
        <v>1155</v>
      </c>
      <c r="C586" s="652"/>
      <c r="D586" s="653"/>
      <c r="E586" s="390">
        <v>305000.0</v>
      </c>
      <c r="F586" s="393"/>
      <c r="G586" s="654">
        <v>305000.0</v>
      </c>
      <c r="H586" s="421"/>
      <c r="I586" s="442"/>
      <c r="J586" s="467"/>
      <c r="K586" s="596"/>
    </row>
    <row r="587" hidden="1" outlineLevel="1">
      <c r="A587" s="610">
        <f t="shared" si="23"/>
        <v>29.3</v>
      </c>
      <c r="B587" s="382" t="s">
        <v>1156</v>
      </c>
      <c r="C587" s="650"/>
      <c r="D587" s="301"/>
      <c r="E587" s="368">
        <v>367000.0</v>
      </c>
      <c r="F587" s="369"/>
      <c r="G587" s="651">
        <v>367000.0</v>
      </c>
      <c r="H587" s="470"/>
      <c r="I587" s="304"/>
      <c r="J587" s="305"/>
      <c r="K587" s="598"/>
    </row>
    <row r="588" hidden="1" outlineLevel="1">
      <c r="A588" s="536">
        <f t="shared" si="23"/>
        <v>29.4</v>
      </c>
      <c r="B588" s="375" t="s">
        <v>1158</v>
      </c>
      <c r="C588" s="652"/>
      <c r="D588" s="653"/>
      <c r="E588" s="390">
        <v>367000.0</v>
      </c>
      <c r="F588" s="393"/>
      <c r="G588" s="654">
        <v>367000.0</v>
      </c>
      <c r="H588" s="421"/>
      <c r="I588" s="442"/>
      <c r="J588" s="467"/>
      <c r="K588" s="596"/>
    </row>
    <row r="589" hidden="1" outlineLevel="1">
      <c r="A589" s="610">
        <f t="shared" si="23"/>
        <v>29.5</v>
      </c>
      <c r="B589" s="382" t="s">
        <v>1159</v>
      </c>
      <c r="C589" s="650"/>
      <c r="D589" s="301"/>
      <c r="E589" s="368">
        <v>286000.0</v>
      </c>
      <c r="F589" s="369"/>
      <c r="G589" s="651">
        <v>286000.0</v>
      </c>
      <c r="H589" s="470"/>
      <c r="I589" s="304"/>
      <c r="J589" s="305"/>
      <c r="K589" s="598"/>
    </row>
    <row r="590" hidden="1" outlineLevel="1">
      <c r="A590" s="536">
        <f t="shared" si="23"/>
        <v>29.6</v>
      </c>
      <c r="B590" s="375" t="s">
        <v>1161</v>
      </c>
      <c r="C590" s="652"/>
      <c r="D590" s="653"/>
      <c r="E590" s="390">
        <v>286000.0</v>
      </c>
      <c r="F590" s="393"/>
      <c r="G590" s="654">
        <v>286000.0</v>
      </c>
      <c r="H590" s="421"/>
      <c r="I590" s="442"/>
      <c r="J590" s="467"/>
      <c r="K590" s="596"/>
    </row>
    <row r="591" outlineLevel="1">
      <c r="A591" s="610">
        <f t="shared" si="23"/>
        <v>29.7</v>
      </c>
      <c r="B591" s="382" t="s">
        <v>1162</v>
      </c>
      <c r="C591" s="650"/>
      <c r="D591" s="301"/>
      <c r="E591" s="368">
        <v>414000.0</v>
      </c>
      <c r="F591" s="369"/>
      <c r="G591" s="651">
        <v>414000.0</v>
      </c>
      <c r="H591" s="470">
        <v>414000.0</v>
      </c>
      <c r="I591" s="304"/>
      <c r="J591" s="305"/>
      <c r="K591" s="598"/>
    </row>
    <row r="592" outlineLevel="1">
      <c r="A592" s="536">
        <f t="shared" si="23"/>
        <v>29.8</v>
      </c>
      <c r="B592" s="375" t="s">
        <v>1163</v>
      </c>
      <c r="C592" s="652"/>
      <c r="D592" s="653"/>
      <c r="E592" s="390">
        <v>416000.0</v>
      </c>
      <c r="F592" s="393"/>
      <c r="G592" s="654">
        <v>416000.0</v>
      </c>
      <c r="H592" s="421">
        <v>416000.0</v>
      </c>
      <c r="I592" s="442"/>
      <c r="J592" s="467"/>
      <c r="K592" s="596"/>
    </row>
    <row r="593" hidden="1" outlineLevel="1">
      <c r="A593" s="610">
        <f t="shared" si="23"/>
        <v>29.9</v>
      </c>
      <c r="B593" s="382" t="s">
        <v>1165</v>
      </c>
      <c r="C593" s="650"/>
      <c r="D593" s="301"/>
      <c r="E593" s="368">
        <v>188000.0</v>
      </c>
      <c r="F593" s="369"/>
      <c r="G593" s="651">
        <v>188000.0</v>
      </c>
      <c r="H593" s="470"/>
      <c r="I593" s="304"/>
      <c r="J593" s="305"/>
      <c r="K593" s="598"/>
    </row>
    <row r="594" hidden="1" outlineLevel="1">
      <c r="A594" s="655" t="s">
        <v>1166</v>
      </c>
      <c r="B594" s="375" t="s">
        <v>1167</v>
      </c>
      <c r="C594" s="652"/>
      <c r="D594" s="653"/>
      <c r="E594" s="390">
        <v>172000.0</v>
      </c>
      <c r="F594" s="393"/>
      <c r="G594" s="654">
        <v>172000.0</v>
      </c>
      <c r="H594" s="421"/>
      <c r="I594" s="442"/>
      <c r="J594" s="467"/>
      <c r="K594" s="596"/>
    </row>
    <row r="595" outlineLevel="1">
      <c r="A595" s="610">
        <v>29.11</v>
      </c>
      <c r="B595" s="382" t="s">
        <v>1168</v>
      </c>
      <c r="C595" s="650"/>
      <c r="D595" s="301"/>
      <c r="E595" s="368">
        <v>148000.0</v>
      </c>
      <c r="F595" s="369"/>
      <c r="G595" s="651">
        <v>148000.0</v>
      </c>
      <c r="H595" s="470">
        <v>148000.0</v>
      </c>
      <c r="I595" s="304"/>
      <c r="J595" s="305"/>
      <c r="K595" s="598"/>
    </row>
    <row r="596" hidden="1" outlineLevel="1">
      <c r="A596" s="536">
        <f t="shared" ref="A596:A598" si="24">A595+0.01</f>
        <v>29.12</v>
      </c>
      <c r="B596" s="375" t="s">
        <v>1170</v>
      </c>
      <c r="C596" s="652"/>
      <c r="D596" s="653"/>
      <c r="E596" s="390">
        <v>152000.0</v>
      </c>
      <c r="F596" s="393"/>
      <c r="G596" s="654">
        <v>152000.0</v>
      </c>
      <c r="H596" s="421"/>
      <c r="I596" s="442"/>
      <c r="J596" s="467"/>
      <c r="K596" s="596"/>
    </row>
    <row r="597" hidden="1" outlineLevel="1">
      <c r="A597" s="610">
        <f t="shared" si="24"/>
        <v>29.13</v>
      </c>
      <c r="B597" s="382" t="s">
        <v>1171</v>
      </c>
      <c r="C597" s="650"/>
      <c r="D597" s="301"/>
      <c r="E597" s="368">
        <v>152000.0</v>
      </c>
      <c r="F597" s="369"/>
      <c r="G597" s="651">
        <v>152000.0</v>
      </c>
      <c r="H597" s="470"/>
      <c r="I597" s="304"/>
      <c r="J597" s="305"/>
      <c r="K597" s="598"/>
    </row>
    <row r="598" outlineLevel="1">
      <c r="A598" s="536">
        <f t="shared" si="24"/>
        <v>29.14</v>
      </c>
      <c r="B598" s="375" t="s">
        <v>1172</v>
      </c>
      <c r="C598" s="652"/>
      <c r="D598" s="653"/>
      <c r="E598" s="390">
        <v>141000.0</v>
      </c>
      <c r="F598" s="393"/>
      <c r="G598" s="654">
        <v>141000.0</v>
      </c>
      <c r="H598" s="421">
        <v>141000.0</v>
      </c>
      <c r="I598" s="442"/>
      <c r="J598" s="467"/>
      <c r="K598" s="596"/>
    </row>
    <row r="599" hidden="1" outlineLevel="1">
      <c r="A599" s="610"/>
      <c r="B599" s="611"/>
      <c r="C599" s="650"/>
      <c r="D599" s="301"/>
      <c r="E599" s="368"/>
      <c r="F599" s="369"/>
      <c r="G599" s="669"/>
      <c r="H599" s="670"/>
      <c r="I599" s="304"/>
      <c r="J599" s="305"/>
      <c r="K599" s="598"/>
    </row>
    <row r="600" hidden="1">
      <c r="A600" s="294">
        <v>30.0</v>
      </c>
      <c r="B600" s="296" t="s">
        <v>1174</v>
      </c>
      <c r="C600" s="299">
        <f>B601*C601</f>
        <v>5000000</v>
      </c>
      <c r="D600" s="300">
        <f>C601*I601</f>
        <v>30360000</v>
      </c>
      <c r="E600" s="368"/>
      <c r="F600" s="369">
        <f>SUM(E602:E631)</f>
        <v>18216000</v>
      </c>
      <c r="G600" s="301">
        <f>SUM(G602:G631)</f>
        <v>18216000</v>
      </c>
      <c r="H600" s="302"/>
      <c r="I600" s="304">
        <f>G600-D600</f>
        <v>-12144000</v>
      </c>
      <c r="J600" s="305"/>
      <c r="K600" s="306"/>
    </row>
    <row r="601" hidden="1" collapsed="1">
      <c r="A601" s="307"/>
      <c r="B601" s="308">
        <v>100000.0</v>
      </c>
      <c r="C601" s="309">
        <v>50.0</v>
      </c>
      <c r="D601" s="316">
        <f>(D600/C600)-1</f>
        <v>5.072</v>
      </c>
      <c r="E601" s="648"/>
      <c r="F601" s="649"/>
      <c r="G601" s="317">
        <f>COUNT(G602:G631)</f>
        <v>30</v>
      </c>
      <c r="H601" s="317"/>
      <c r="I601" s="319">
        <f>G600/G601</f>
        <v>607200</v>
      </c>
      <c r="J601" s="320"/>
      <c r="K601" s="322"/>
    </row>
    <row r="602" outlineLevel="1">
      <c r="A602" s="536">
        <v>30.1</v>
      </c>
      <c r="B602" s="375" t="s">
        <v>1178</v>
      </c>
      <c r="C602" s="652"/>
      <c r="D602" s="653"/>
      <c r="E602" s="390">
        <v>934000.0</v>
      </c>
      <c r="F602" s="393"/>
      <c r="G602" s="654">
        <v>934000.0</v>
      </c>
      <c r="H602" s="421">
        <v>934000.0</v>
      </c>
      <c r="I602" s="442"/>
      <c r="J602" s="467"/>
      <c r="K602" s="596"/>
    </row>
    <row r="603" outlineLevel="1">
      <c r="A603" s="610">
        <v>30.2</v>
      </c>
      <c r="B603" s="382" t="s">
        <v>1179</v>
      </c>
      <c r="C603" s="650"/>
      <c r="D603" s="301"/>
      <c r="E603" s="368">
        <v>581000.0</v>
      </c>
      <c r="F603" s="369"/>
      <c r="G603" s="651">
        <v>581000.0</v>
      </c>
      <c r="H603" s="470">
        <v>581000.0</v>
      </c>
      <c r="I603" s="304"/>
      <c r="J603" s="305"/>
      <c r="K603" s="598"/>
    </row>
    <row r="604" hidden="1" outlineLevel="1">
      <c r="A604" s="536">
        <v>30.3</v>
      </c>
      <c r="B604" s="375" t="s">
        <v>1180</v>
      </c>
      <c r="C604" s="652"/>
      <c r="D604" s="653"/>
      <c r="E604" s="390">
        <v>494000.0</v>
      </c>
      <c r="F604" s="393"/>
      <c r="G604" s="654">
        <v>494000.0</v>
      </c>
      <c r="H604" s="421"/>
      <c r="I604" s="442"/>
      <c r="J604" s="467"/>
      <c r="K604" s="596"/>
    </row>
    <row r="605" hidden="1" outlineLevel="1">
      <c r="A605" s="610">
        <v>30.4</v>
      </c>
      <c r="B605" s="382" t="s">
        <v>1181</v>
      </c>
      <c r="C605" s="650"/>
      <c r="D605" s="301"/>
      <c r="E605" s="368">
        <v>406000.0</v>
      </c>
      <c r="F605" s="369"/>
      <c r="G605" s="651">
        <v>406000.0</v>
      </c>
      <c r="H605" s="470"/>
      <c r="I605" s="304"/>
      <c r="J605" s="305"/>
      <c r="K605" s="598"/>
    </row>
    <row r="606" hidden="1" outlineLevel="1">
      <c r="A606" s="536">
        <v>30.5</v>
      </c>
      <c r="B606" s="375" t="s">
        <v>1182</v>
      </c>
      <c r="C606" s="652"/>
      <c r="D606" s="653"/>
      <c r="E606" s="390">
        <v>406000.0</v>
      </c>
      <c r="F606" s="393"/>
      <c r="G606" s="654">
        <v>406000.0</v>
      </c>
      <c r="H606" s="421"/>
      <c r="I606" s="442"/>
      <c r="J606" s="467"/>
      <c r="K606" s="596"/>
    </row>
    <row r="607" hidden="1" outlineLevel="1">
      <c r="A607" s="610">
        <v>30.6</v>
      </c>
      <c r="B607" s="382" t="s">
        <v>1183</v>
      </c>
      <c r="C607" s="650"/>
      <c r="D607" s="301"/>
      <c r="E607" s="368">
        <v>406000.0</v>
      </c>
      <c r="F607" s="369"/>
      <c r="G607" s="651">
        <v>406000.0</v>
      </c>
      <c r="H607" s="470"/>
      <c r="I607" s="304"/>
      <c r="J607" s="305"/>
      <c r="K607" s="598"/>
    </row>
    <row r="608" hidden="1" outlineLevel="1">
      <c r="A608" s="536">
        <v>30.7</v>
      </c>
      <c r="B608" s="375" t="s">
        <v>1184</v>
      </c>
      <c r="C608" s="652"/>
      <c r="D608" s="653"/>
      <c r="E608" s="390">
        <v>406000.0</v>
      </c>
      <c r="F608" s="393"/>
      <c r="G608" s="654">
        <v>406000.0</v>
      </c>
      <c r="H608" s="421"/>
      <c r="I608" s="442"/>
      <c r="J608" s="467"/>
      <c r="K608" s="596"/>
    </row>
    <row r="609" hidden="1" outlineLevel="1">
      <c r="A609" s="610">
        <v>30.8</v>
      </c>
      <c r="B609" s="382" t="s">
        <v>1185</v>
      </c>
      <c r="C609" s="650"/>
      <c r="D609" s="301"/>
      <c r="E609" s="368">
        <v>405000.0</v>
      </c>
      <c r="F609" s="369"/>
      <c r="G609" s="651">
        <v>405000.0</v>
      </c>
      <c r="H609" s="470"/>
      <c r="I609" s="304"/>
      <c r="J609" s="305"/>
      <c r="K609" s="598"/>
    </row>
    <row r="610" hidden="1" outlineLevel="1">
      <c r="A610" s="536">
        <v>30.9</v>
      </c>
      <c r="B610" s="375" t="s">
        <v>1186</v>
      </c>
      <c r="C610" s="652"/>
      <c r="D610" s="653"/>
      <c r="E610" s="390">
        <v>593000.0</v>
      </c>
      <c r="F610" s="393"/>
      <c r="G610" s="654">
        <v>593000.0</v>
      </c>
      <c r="H610" s="421"/>
      <c r="I610" s="442"/>
      <c r="J610" s="467"/>
      <c r="K610" s="596"/>
    </row>
    <row r="611" outlineLevel="1">
      <c r="A611" s="656" t="s">
        <v>1187</v>
      </c>
      <c r="B611" s="382" t="s">
        <v>1188</v>
      </c>
      <c r="C611" s="650"/>
      <c r="D611" s="301"/>
      <c r="E611" s="368">
        <v>532000.0</v>
      </c>
      <c r="F611" s="369"/>
      <c r="G611" s="651">
        <v>532000.0</v>
      </c>
      <c r="H611" s="470">
        <v>532000.0</v>
      </c>
      <c r="I611" s="304"/>
      <c r="J611" s="305"/>
      <c r="K611" s="598"/>
    </row>
    <row r="612" hidden="1" outlineLevel="1">
      <c r="A612" s="655" t="s">
        <v>1189</v>
      </c>
      <c r="B612" s="375" t="s">
        <v>1190</v>
      </c>
      <c r="C612" s="652"/>
      <c r="D612" s="653"/>
      <c r="E612" s="390">
        <v>688000.0</v>
      </c>
      <c r="F612" s="393"/>
      <c r="G612" s="654">
        <v>688000.0</v>
      </c>
      <c r="H612" s="421"/>
      <c r="I612" s="442"/>
      <c r="J612" s="467"/>
      <c r="K612" s="596"/>
    </row>
    <row r="613" hidden="1" outlineLevel="1">
      <c r="A613" s="610" t="s">
        <v>1191</v>
      </c>
      <c r="B613" s="382" t="s">
        <v>1192</v>
      </c>
      <c r="C613" s="650"/>
      <c r="D613" s="301"/>
      <c r="E613" s="368">
        <v>688000.0</v>
      </c>
      <c r="F613" s="369"/>
      <c r="G613" s="651">
        <v>688000.0</v>
      </c>
      <c r="H613" s="470"/>
      <c r="I613" s="304"/>
      <c r="J613" s="305"/>
      <c r="K613" s="598"/>
    </row>
    <row r="614" outlineLevel="1">
      <c r="A614" s="536" t="s">
        <v>1193</v>
      </c>
      <c r="B614" s="375" t="s">
        <v>1194</v>
      </c>
      <c r="C614" s="652"/>
      <c r="D614" s="653"/>
      <c r="E614" s="390">
        <v>758000.0</v>
      </c>
      <c r="F614" s="393"/>
      <c r="G614" s="654">
        <v>758000.0</v>
      </c>
      <c r="H614" s="421">
        <v>758000.0</v>
      </c>
      <c r="I614" s="442"/>
      <c r="J614" s="467"/>
      <c r="K614" s="596"/>
    </row>
    <row r="615" hidden="1" outlineLevel="1">
      <c r="A615" s="610" t="s">
        <v>1195</v>
      </c>
      <c r="B615" s="382" t="s">
        <v>1196</v>
      </c>
      <c r="C615" s="650"/>
      <c r="D615" s="301"/>
      <c r="E615" s="368">
        <v>504000.0</v>
      </c>
      <c r="F615" s="369"/>
      <c r="G615" s="651">
        <v>504000.0</v>
      </c>
      <c r="H615" s="470"/>
      <c r="I615" s="304"/>
      <c r="J615" s="305"/>
      <c r="K615" s="598"/>
    </row>
    <row r="616" hidden="1" outlineLevel="1">
      <c r="A616" s="536" t="s">
        <v>1197</v>
      </c>
      <c r="B616" s="375" t="s">
        <v>1198</v>
      </c>
      <c r="C616" s="652"/>
      <c r="D616" s="653"/>
      <c r="E616" s="390">
        <v>504000.0</v>
      </c>
      <c r="F616" s="393"/>
      <c r="G616" s="654">
        <v>504000.0</v>
      </c>
      <c r="H616" s="421"/>
      <c r="I616" s="442"/>
      <c r="J616" s="467"/>
      <c r="K616" s="596"/>
    </row>
    <row r="617" hidden="1" outlineLevel="1">
      <c r="A617" s="610" t="s">
        <v>1199</v>
      </c>
      <c r="B617" s="382" t="s">
        <v>1200</v>
      </c>
      <c r="C617" s="650"/>
      <c r="D617" s="301"/>
      <c r="E617" s="368">
        <v>504000.0</v>
      </c>
      <c r="F617" s="369"/>
      <c r="G617" s="651">
        <v>504000.0</v>
      </c>
      <c r="H617" s="470"/>
      <c r="I617" s="304"/>
      <c r="J617" s="305"/>
      <c r="K617" s="598"/>
    </row>
    <row r="618" hidden="1" outlineLevel="1">
      <c r="A618" s="536" t="s">
        <v>1201</v>
      </c>
      <c r="B618" s="375" t="s">
        <v>1202</v>
      </c>
      <c r="C618" s="652"/>
      <c r="D618" s="653"/>
      <c r="E618" s="390">
        <v>679000.0</v>
      </c>
      <c r="F618" s="393"/>
      <c r="G618" s="654">
        <v>679000.0</v>
      </c>
      <c r="H618" s="421"/>
      <c r="I618" s="442"/>
      <c r="J618" s="467"/>
      <c r="K618" s="596"/>
    </row>
    <row r="619" hidden="1" outlineLevel="1">
      <c r="A619" s="610" t="s">
        <v>1203</v>
      </c>
      <c r="B619" s="382" t="s">
        <v>1204</v>
      </c>
      <c r="C619" s="650"/>
      <c r="D619" s="301"/>
      <c r="E619" s="368">
        <v>655000.0</v>
      </c>
      <c r="F619" s="369"/>
      <c r="G619" s="651">
        <v>655000.0</v>
      </c>
      <c r="H619" s="470"/>
      <c r="I619" s="304"/>
      <c r="J619" s="305"/>
      <c r="K619" s="598"/>
    </row>
    <row r="620" hidden="1" outlineLevel="1">
      <c r="A620" s="536" t="s">
        <v>1205</v>
      </c>
      <c r="B620" s="375" t="s">
        <v>1206</v>
      </c>
      <c r="C620" s="652"/>
      <c r="D620" s="653"/>
      <c r="E620" s="390">
        <v>763000.0</v>
      </c>
      <c r="F620" s="393"/>
      <c r="G620" s="654">
        <v>763000.0</v>
      </c>
      <c r="H620" s="421"/>
      <c r="I620" s="442"/>
      <c r="J620" s="467"/>
      <c r="K620" s="596"/>
    </row>
    <row r="621" outlineLevel="1">
      <c r="A621" s="610" t="s">
        <v>1207</v>
      </c>
      <c r="B621" s="382" t="s">
        <v>1208</v>
      </c>
      <c r="C621" s="650"/>
      <c r="D621" s="301"/>
      <c r="E621" s="368">
        <v>576000.0</v>
      </c>
      <c r="F621" s="369"/>
      <c r="G621" s="651">
        <v>576000.0</v>
      </c>
      <c r="H621" s="470">
        <v>576000.0</v>
      </c>
      <c r="I621" s="304"/>
      <c r="J621" s="305"/>
      <c r="K621" s="598"/>
    </row>
    <row r="622" hidden="1" outlineLevel="1">
      <c r="A622" s="536" t="s">
        <v>1209</v>
      </c>
      <c r="B622" s="375" t="s">
        <v>1210</v>
      </c>
      <c r="C622" s="652"/>
      <c r="D622" s="653"/>
      <c r="E622" s="390">
        <v>565000.0</v>
      </c>
      <c r="F622" s="393"/>
      <c r="G622" s="654">
        <v>565000.0</v>
      </c>
      <c r="H622" s="421"/>
      <c r="I622" s="442"/>
      <c r="J622" s="467"/>
      <c r="K622" s="596"/>
    </row>
    <row r="623" hidden="1" outlineLevel="1">
      <c r="A623" s="610" t="s">
        <v>1211</v>
      </c>
      <c r="B623" s="382" t="s">
        <v>1212</v>
      </c>
      <c r="C623" s="650"/>
      <c r="D623" s="301"/>
      <c r="E623" s="368">
        <v>565000.0</v>
      </c>
      <c r="F623" s="369"/>
      <c r="G623" s="651">
        <v>565000.0</v>
      </c>
      <c r="H623" s="470"/>
      <c r="I623" s="304"/>
      <c r="J623" s="305"/>
      <c r="K623" s="598"/>
    </row>
    <row r="624" hidden="1" outlineLevel="1">
      <c r="A624" s="536" t="s">
        <v>1213</v>
      </c>
      <c r="B624" s="375" t="s">
        <v>1214</v>
      </c>
      <c r="C624" s="652"/>
      <c r="D624" s="653"/>
      <c r="E624" s="390">
        <v>646000.0</v>
      </c>
      <c r="F624" s="393"/>
      <c r="G624" s="654">
        <v>646000.0</v>
      </c>
      <c r="H624" s="421"/>
      <c r="I624" s="442"/>
      <c r="J624" s="467"/>
      <c r="K624" s="596"/>
    </row>
    <row r="625" hidden="1" outlineLevel="1">
      <c r="A625" s="610" t="s">
        <v>1215</v>
      </c>
      <c r="B625" s="382" t="s">
        <v>1216</v>
      </c>
      <c r="C625" s="650"/>
      <c r="D625" s="301"/>
      <c r="E625" s="368">
        <v>771000.0</v>
      </c>
      <c r="F625" s="369"/>
      <c r="G625" s="651">
        <v>771000.0</v>
      </c>
      <c r="H625" s="470"/>
      <c r="I625" s="304"/>
      <c r="J625" s="305"/>
      <c r="K625" s="598"/>
    </row>
    <row r="626" hidden="1" outlineLevel="1">
      <c r="A626" s="536" t="s">
        <v>1217</v>
      </c>
      <c r="B626" s="375" t="s">
        <v>1218</v>
      </c>
      <c r="C626" s="652"/>
      <c r="D626" s="653"/>
      <c r="E626" s="390">
        <v>759000.0</v>
      </c>
      <c r="F626" s="393"/>
      <c r="G626" s="654">
        <v>759000.0</v>
      </c>
      <c r="H626" s="421"/>
      <c r="I626" s="442"/>
      <c r="J626" s="467"/>
      <c r="K626" s="596"/>
    </row>
    <row r="627" hidden="1" outlineLevel="1">
      <c r="A627" s="610" t="s">
        <v>1219</v>
      </c>
      <c r="B627" s="382" t="s">
        <v>1220</v>
      </c>
      <c r="C627" s="650"/>
      <c r="D627" s="301"/>
      <c r="E627" s="368">
        <v>823000.0</v>
      </c>
      <c r="F627" s="369"/>
      <c r="G627" s="651">
        <v>823000.0</v>
      </c>
      <c r="H627" s="470"/>
      <c r="I627" s="304"/>
      <c r="J627" s="305"/>
      <c r="K627" s="598"/>
    </row>
    <row r="628" outlineLevel="1">
      <c r="A628" s="536" t="s">
        <v>1221</v>
      </c>
      <c r="B628" s="375" t="s">
        <v>1222</v>
      </c>
      <c r="C628" s="652"/>
      <c r="D628" s="653"/>
      <c r="E628" s="390">
        <v>595000.0</v>
      </c>
      <c r="F628" s="393"/>
      <c r="G628" s="654">
        <v>595000.0</v>
      </c>
      <c r="H628" s="421">
        <v>595000.0</v>
      </c>
      <c r="I628" s="442"/>
      <c r="J628" s="467"/>
      <c r="K628" s="596"/>
    </row>
    <row r="629" outlineLevel="1">
      <c r="A629" s="610" t="s">
        <v>1223</v>
      </c>
      <c r="B629" s="382" t="s">
        <v>1224</v>
      </c>
      <c r="C629" s="650"/>
      <c r="D629" s="301"/>
      <c r="E629" s="368">
        <v>595000.0</v>
      </c>
      <c r="F629" s="369"/>
      <c r="G629" s="651">
        <v>595000.0</v>
      </c>
      <c r="H629" s="470">
        <v>595000.0</v>
      </c>
      <c r="I629" s="304"/>
      <c r="J629" s="305"/>
      <c r="K629" s="598"/>
    </row>
    <row r="630" hidden="1" outlineLevel="1">
      <c r="A630" s="536" t="s">
        <v>1225</v>
      </c>
      <c r="B630" s="375" t="s">
        <v>1226</v>
      </c>
      <c r="C630" s="652"/>
      <c r="D630" s="653"/>
      <c r="E630" s="390">
        <v>684000.0</v>
      </c>
      <c r="F630" s="393"/>
      <c r="G630" s="654">
        <v>684000.0</v>
      </c>
      <c r="H630" s="421"/>
      <c r="I630" s="442"/>
      <c r="J630" s="467"/>
      <c r="K630" s="596"/>
    </row>
    <row r="631" hidden="1" outlineLevel="1">
      <c r="A631" s="610" t="s">
        <v>1227</v>
      </c>
      <c r="B631" s="382" t="s">
        <v>1228</v>
      </c>
      <c r="C631" s="650"/>
      <c r="D631" s="301"/>
      <c r="E631" s="368">
        <v>731000.0</v>
      </c>
      <c r="F631" s="369"/>
      <c r="G631" s="651">
        <v>731000.0</v>
      </c>
      <c r="H631" s="470"/>
      <c r="I631" s="304"/>
      <c r="J631" s="305"/>
      <c r="K631" s="598"/>
    </row>
    <row r="632" hidden="1" outlineLevel="1">
      <c r="A632" s="536"/>
      <c r="B632" s="633"/>
      <c r="C632" s="652"/>
      <c r="D632" s="653"/>
      <c r="E632" s="390"/>
      <c r="F632" s="393"/>
      <c r="G632" s="675"/>
      <c r="H632" s="676"/>
      <c r="I632" s="442"/>
      <c r="J632" s="467"/>
      <c r="K632" s="596"/>
    </row>
    <row r="633" hidden="1" outlineLevel="1">
      <c r="A633" s="610"/>
      <c r="B633" s="611"/>
      <c r="C633" s="650"/>
      <c r="D633" s="301"/>
      <c r="E633" s="368"/>
      <c r="F633" s="369"/>
      <c r="G633" s="669"/>
      <c r="H633" s="670"/>
      <c r="I633" s="304"/>
      <c r="J633" s="305"/>
      <c r="K633" s="598"/>
    </row>
    <row r="634" hidden="1">
      <c r="A634" s="294">
        <v>31.0</v>
      </c>
      <c r="B634" s="296" t="s">
        <v>1229</v>
      </c>
      <c r="C634" s="299">
        <f>B635*C635</f>
        <v>0</v>
      </c>
      <c r="D634" s="300">
        <v>500000.0</v>
      </c>
      <c r="E634" s="368"/>
      <c r="F634" s="369">
        <f>SUM(E636:E637)</f>
        <v>0</v>
      </c>
      <c r="G634" s="301">
        <v>500000.0</v>
      </c>
      <c r="H634" s="302"/>
      <c r="I634" s="304">
        <f>G634-D634</f>
        <v>0</v>
      </c>
      <c r="J634" s="305" t="s">
        <v>494</v>
      </c>
      <c r="K634" s="306"/>
    </row>
    <row r="635" hidden="1" collapsed="1">
      <c r="A635" s="307"/>
      <c r="B635" s="308">
        <v>0.0</v>
      </c>
      <c r="C635" s="309">
        <v>0.0</v>
      </c>
      <c r="D635" s="316" t="s">
        <v>268</v>
      </c>
      <c r="E635" s="648"/>
      <c r="F635" s="649"/>
      <c r="G635" s="317">
        <f>COUNT(G636)</f>
        <v>1</v>
      </c>
      <c r="H635" s="317"/>
      <c r="I635" s="319">
        <f>G634/G635</f>
        <v>500000</v>
      </c>
      <c r="J635" s="320"/>
      <c r="K635" s="322"/>
    </row>
    <row r="636" hidden="1" outlineLevel="1">
      <c r="A636" s="536">
        <v>31.1</v>
      </c>
      <c r="B636" s="375" t="s">
        <v>1231</v>
      </c>
      <c r="C636" s="390" t="s">
        <v>1232</v>
      </c>
      <c r="D636" s="393">
        <v>500000.0</v>
      </c>
      <c r="E636" s="390">
        <v>0.0</v>
      </c>
      <c r="F636" s="393"/>
      <c r="G636" s="709">
        <v>500000.0</v>
      </c>
      <c r="H636" s="596"/>
      <c r="I636" s="712"/>
      <c r="J636" s="652" t="s">
        <v>616</v>
      </c>
      <c r="K636" s="398"/>
    </row>
    <row r="637" hidden="1" outlineLevel="1">
      <c r="A637" s="610"/>
      <c r="B637" s="643"/>
      <c r="C637" s="368"/>
      <c r="D637" s="369"/>
      <c r="E637" s="368"/>
      <c r="F637" s="369"/>
      <c r="G637" s="369"/>
      <c r="H637" s="613"/>
      <c r="I637" s="713"/>
      <c r="J637" s="714"/>
      <c r="K637" s="372"/>
    </row>
    <row r="638" hidden="1">
      <c r="A638" s="294" t="s">
        <v>1233</v>
      </c>
      <c r="B638" s="296" t="s">
        <v>262</v>
      </c>
      <c r="C638" s="299">
        <f>SUM(C640:C663)</f>
        <v>3255000</v>
      </c>
      <c r="D638" s="300">
        <f>C638*2</f>
        <v>6510000</v>
      </c>
      <c r="E638" s="368"/>
      <c r="F638" s="369"/>
      <c r="G638" s="301">
        <v>0.0</v>
      </c>
      <c r="H638" s="302"/>
      <c r="I638" s="304">
        <v>0.0</v>
      </c>
      <c r="J638" s="305"/>
      <c r="K638" s="306"/>
    </row>
    <row r="639" hidden="1" collapsed="1">
      <c r="A639" s="307"/>
      <c r="B639" s="308">
        <v>0.0</v>
      </c>
      <c r="C639" s="309">
        <v>34.0</v>
      </c>
      <c r="D639" s="316">
        <f>(D638/C638)-1</f>
        <v>1</v>
      </c>
      <c r="E639" s="648"/>
      <c r="F639" s="649"/>
      <c r="G639" s="317">
        <v>0.0</v>
      </c>
      <c r="H639" s="317"/>
      <c r="I639" s="319">
        <v>0.0</v>
      </c>
      <c r="J639" s="320"/>
      <c r="K639" s="322"/>
    </row>
    <row r="640" hidden="1" outlineLevel="1">
      <c r="A640" s="594">
        <v>1.0</v>
      </c>
      <c r="B640" s="375" t="s">
        <v>1235</v>
      </c>
      <c r="C640" s="376">
        <f>10*100000</f>
        <v>1000000</v>
      </c>
      <c r="D640" s="377"/>
      <c r="E640" s="376"/>
      <c r="F640" s="377">
        <v>0.0</v>
      </c>
      <c r="G640" s="377">
        <v>0.0</v>
      </c>
      <c r="H640" s="466"/>
      <c r="I640" s="442"/>
      <c r="J640" s="467"/>
      <c r="K640" s="380"/>
    </row>
    <row r="641" hidden="1" outlineLevel="1">
      <c r="A641" s="597">
        <f t="shared" ref="A641:A663" si="25">A640+1</f>
        <v>2</v>
      </c>
      <c r="B641" s="382" t="s">
        <v>1239</v>
      </c>
      <c r="C641" s="370">
        <v>90000.0</v>
      </c>
      <c r="D641" s="445"/>
      <c r="E641" s="370"/>
      <c r="F641" s="445">
        <v>0.0</v>
      </c>
      <c r="G641" s="445">
        <v>0.0</v>
      </c>
      <c r="H641" s="469"/>
      <c r="I641" s="304"/>
      <c r="J641" s="305"/>
      <c r="K641" s="447"/>
    </row>
    <row r="642" hidden="1" outlineLevel="1">
      <c r="A642" s="594">
        <f t="shared" si="25"/>
        <v>3</v>
      </c>
      <c r="B642" s="375" t="s">
        <v>1241</v>
      </c>
      <c r="C642" s="376">
        <v>0.0</v>
      </c>
      <c r="D642" s="377"/>
      <c r="E642" s="376"/>
      <c r="F642" s="377">
        <v>0.0</v>
      </c>
      <c r="G642" s="377">
        <v>0.0</v>
      </c>
      <c r="H642" s="466"/>
      <c r="I642" s="442"/>
      <c r="J642" s="471" t="s">
        <v>1242</v>
      </c>
      <c r="K642" s="380"/>
    </row>
    <row r="643" hidden="1" outlineLevel="1">
      <c r="A643" s="597">
        <f t="shared" si="25"/>
        <v>4</v>
      </c>
      <c r="B643" s="382" t="s">
        <v>1244</v>
      </c>
      <c r="C643" s="370">
        <f>130000*2</f>
        <v>260000</v>
      </c>
      <c r="D643" s="445"/>
      <c r="E643" s="370"/>
      <c r="F643" s="445">
        <v>0.0</v>
      </c>
      <c r="G643" s="445">
        <v>0.0</v>
      </c>
      <c r="H643" s="469"/>
      <c r="I643" s="304"/>
      <c r="J643" s="305"/>
      <c r="K643" s="447"/>
    </row>
    <row r="644" hidden="1" outlineLevel="1">
      <c r="A644" s="594">
        <f t="shared" si="25"/>
        <v>5</v>
      </c>
      <c r="B644" s="375" t="s">
        <v>1245</v>
      </c>
      <c r="C644" s="376">
        <v>0.0</v>
      </c>
      <c r="D644" s="377"/>
      <c r="E644" s="376"/>
      <c r="F644" s="377">
        <v>0.0</v>
      </c>
      <c r="G644" s="377">
        <v>0.0</v>
      </c>
      <c r="H644" s="466"/>
      <c r="I644" s="442"/>
      <c r="J644" s="471" t="s">
        <v>1242</v>
      </c>
      <c r="K644" s="380"/>
    </row>
    <row r="645" hidden="1" outlineLevel="1">
      <c r="A645" s="597">
        <f t="shared" si="25"/>
        <v>6</v>
      </c>
      <c r="B645" s="382" t="s">
        <v>1247</v>
      </c>
      <c r="C645" s="370">
        <f>3*75000</f>
        <v>225000</v>
      </c>
      <c r="D645" s="445"/>
      <c r="E645" s="370"/>
      <c r="F645" s="445">
        <v>0.0</v>
      </c>
      <c r="G645" s="445">
        <v>0.0</v>
      </c>
      <c r="H645" s="469"/>
      <c r="I645" s="304"/>
      <c r="J645" s="305"/>
      <c r="K645" s="447"/>
    </row>
    <row r="646" hidden="1" outlineLevel="1">
      <c r="A646" s="594">
        <f t="shared" si="25"/>
        <v>7</v>
      </c>
      <c r="B646" s="375" t="s">
        <v>1249</v>
      </c>
      <c r="C646" s="376">
        <f>5*120000</f>
        <v>600000</v>
      </c>
      <c r="D646" s="377"/>
      <c r="E646" s="376"/>
      <c r="F646" s="377">
        <v>0.0</v>
      </c>
      <c r="G646" s="377">
        <v>0.0</v>
      </c>
      <c r="H646" s="466"/>
      <c r="I646" s="442"/>
      <c r="J646" s="467"/>
      <c r="K646" s="380"/>
    </row>
    <row r="647" hidden="1" outlineLevel="1">
      <c r="A647" s="597">
        <f t="shared" si="25"/>
        <v>8</v>
      </c>
      <c r="B647" s="382" t="s">
        <v>1250</v>
      </c>
      <c r="C647" s="370">
        <v>60000.0</v>
      </c>
      <c r="D647" s="445"/>
      <c r="E647" s="370"/>
      <c r="F647" s="445">
        <v>0.0</v>
      </c>
      <c r="G647" s="445">
        <v>0.0</v>
      </c>
      <c r="H647" s="469"/>
      <c r="I647" s="304"/>
      <c r="J647" s="305"/>
      <c r="K647" s="447"/>
    </row>
    <row r="648" hidden="1" outlineLevel="1">
      <c r="A648" s="594">
        <f t="shared" si="25"/>
        <v>9</v>
      </c>
      <c r="B648" s="375" t="s">
        <v>1252</v>
      </c>
      <c r="C648" s="376">
        <v>0.0</v>
      </c>
      <c r="D648" s="377"/>
      <c r="E648" s="376"/>
      <c r="F648" s="377">
        <v>0.0</v>
      </c>
      <c r="G648" s="377">
        <v>0.0</v>
      </c>
      <c r="H648" s="466"/>
      <c r="I648" s="442"/>
      <c r="J648" s="471" t="s">
        <v>1242</v>
      </c>
      <c r="K648" s="380"/>
    </row>
    <row r="649" hidden="1" outlineLevel="1">
      <c r="A649" s="597">
        <f t="shared" si="25"/>
        <v>10</v>
      </c>
      <c r="B649" s="382" t="s">
        <v>1254</v>
      </c>
      <c r="C649" s="370">
        <f>2*90000</f>
        <v>180000</v>
      </c>
      <c r="D649" s="445"/>
      <c r="E649" s="370"/>
      <c r="F649" s="445">
        <v>0.0</v>
      </c>
      <c r="G649" s="445">
        <v>0.0</v>
      </c>
      <c r="H649" s="469"/>
      <c r="I649" s="304"/>
      <c r="J649" s="305"/>
      <c r="K649" s="447"/>
    </row>
    <row r="650" hidden="1" outlineLevel="1">
      <c r="A650" s="594">
        <f t="shared" si="25"/>
        <v>11</v>
      </c>
      <c r="B650" s="375" t="s">
        <v>1256</v>
      </c>
      <c r="C650" s="376" t="s">
        <v>1257</v>
      </c>
      <c r="D650" s="377"/>
      <c r="E650" s="376"/>
      <c r="F650" s="377">
        <v>0.0</v>
      </c>
      <c r="G650" s="377">
        <v>0.0</v>
      </c>
      <c r="H650" s="466"/>
      <c r="I650" s="442"/>
      <c r="J650" s="471" t="s">
        <v>1242</v>
      </c>
      <c r="K650" s="380"/>
    </row>
    <row r="651" hidden="1" outlineLevel="1">
      <c r="A651" s="597">
        <f t="shared" si="25"/>
        <v>12</v>
      </c>
      <c r="B651" s="382" t="s">
        <v>1259</v>
      </c>
      <c r="C651" s="370">
        <f>2*100000</f>
        <v>200000</v>
      </c>
      <c r="D651" s="445"/>
      <c r="E651" s="370"/>
      <c r="F651" s="445">
        <v>0.0</v>
      </c>
      <c r="G651" s="445">
        <v>0.0</v>
      </c>
      <c r="H651" s="469"/>
      <c r="I651" s="304"/>
      <c r="J651" s="305"/>
      <c r="K651" s="447"/>
    </row>
    <row r="652" hidden="1" outlineLevel="1">
      <c r="A652" s="594">
        <f t="shared" si="25"/>
        <v>13</v>
      </c>
      <c r="B652" s="375" t="s">
        <v>1260</v>
      </c>
      <c r="C652" s="376">
        <f>8*80000</f>
        <v>640000</v>
      </c>
      <c r="D652" s="377"/>
      <c r="E652" s="376"/>
      <c r="F652" s="377">
        <v>0.0</v>
      </c>
      <c r="G652" s="377">
        <v>0.0</v>
      </c>
      <c r="H652" s="466"/>
      <c r="I652" s="442"/>
      <c r="J652" s="467"/>
      <c r="K652" s="380"/>
    </row>
    <row r="653" hidden="1" outlineLevel="1">
      <c r="A653" s="597">
        <f t="shared" si="25"/>
        <v>14</v>
      </c>
      <c r="B653" s="382" t="s">
        <v>1263</v>
      </c>
      <c r="C653" s="370">
        <v>0.0</v>
      </c>
      <c r="D653" s="445"/>
      <c r="E653" s="370"/>
      <c r="F653" s="445">
        <v>0.0</v>
      </c>
      <c r="G653" s="445">
        <v>0.0</v>
      </c>
      <c r="H653" s="469"/>
      <c r="I653" s="304"/>
      <c r="J653" s="472" t="s">
        <v>1242</v>
      </c>
      <c r="K653" s="447"/>
    </row>
    <row r="654" hidden="1" outlineLevel="1">
      <c r="A654" s="594">
        <f t="shared" si="25"/>
        <v>15</v>
      </c>
      <c r="B654" s="375" t="s">
        <v>1265</v>
      </c>
      <c r="C654" s="376">
        <v>0.0</v>
      </c>
      <c r="D654" s="377"/>
      <c r="E654" s="376"/>
      <c r="F654" s="377">
        <v>0.0</v>
      </c>
      <c r="G654" s="377">
        <v>0.0</v>
      </c>
      <c r="H654" s="466"/>
      <c r="I654" s="442"/>
      <c r="J654" s="471" t="s">
        <v>1242</v>
      </c>
      <c r="K654" s="380"/>
    </row>
    <row r="655" hidden="1" outlineLevel="1">
      <c r="A655" s="597">
        <f t="shared" si="25"/>
        <v>16</v>
      </c>
      <c r="B655" s="382" t="s">
        <v>1266</v>
      </c>
      <c r="C655" s="370">
        <v>0.0</v>
      </c>
      <c r="D655" s="445"/>
      <c r="E655" s="370"/>
      <c r="F655" s="445">
        <v>0.0</v>
      </c>
      <c r="G655" s="445">
        <v>0.0</v>
      </c>
      <c r="H655" s="469"/>
      <c r="I655" s="304"/>
      <c r="J655" s="472" t="s">
        <v>1242</v>
      </c>
      <c r="K655" s="447"/>
    </row>
    <row r="656" hidden="1" outlineLevel="1">
      <c r="A656" s="594">
        <f t="shared" si="25"/>
        <v>17</v>
      </c>
      <c r="B656" s="375" t="s">
        <v>1267</v>
      </c>
      <c r="C656" s="376">
        <v>0.0</v>
      </c>
      <c r="D656" s="377"/>
      <c r="E656" s="376"/>
      <c r="F656" s="377">
        <v>0.0</v>
      </c>
      <c r="G656" s="377">
        <v>0.0</v>
      </c>
      <c r="H656" s="466"/>
      <c r="I656" s="442"/>
      <c r="J656" s="471" t="s">
        <v>1242</v>
      </c>
      <c r="K656" s="380"/>
    </row>
    <row r="657" hidden="1" outlineLevel="1">
      <c r="A657" s="597">
        <f t="shared" si="25"/>
        <v>18</v>
      </c>
      <c r="B657" s="382" t="s">
        <v>1270</v>
      </c>
      <c r="C657" s="370">
        <v>0.0</v>
      </c>
      <c r="D657" s="445"/>
      <c r="E657" s="370"/>
      <c r="F657" s="445">
        <v>0.0</v>
      </c>
      <c r="G657" s="445">
        <v>0.0</v>
      </c>
      <c r="H657" s="469"/>
      <c r="I657" s="304"/>
      <c r="J657" s="472" t="s">
        <v>1242</v>
      </c>
      <c r="K657" s="447"/>
    </row>
    <row r="658" hidden="1" outlineLevel="1">
      <c r="A658" s="594">
        <f t="shared" si="25"/>
        <v>19</v>
      </c>
      <c r="B658" s="375" t="s">
        <v>1271</v>
      </c>
      <c r="C658" s="376">
        <v>0.0</v>
      </c>
      <c r="D658" s="377"/>
      <c r="E658" s="376"/>
      <c r="F658" s="377">
        <v>0.0</v>
      </c>
      <c r="G658" s="377">
        <v>0.0</v>
      </c>
      <c r="H658" s="466"/>
      <c r="I658" s="442"/>
      <c r="J658" s="471" t="s">
        <v>1242</v>
      </c>
      <c r="K658" s="380"/>
    </row>
    <row r="659" hidden="1" outlineLevel="1">
      <c r="A659" s="597">
        <f t="shared" si="25"/>
        <v>20</v>
      </c>
      <c r="B659" s="382" t="s">
        <v>1272</v>
      </c>
      <c r="C659" s="370">
        <v>0.0</v>
      </c>
      <c r="D659" s="445"/>
      <c r="E659" s="370"/>
      <c r="F659" s="445">
        <v>0.0</v>
      </c>
      <c r="G659" s="445">
        <v>0.0</v>
      </c>
      <c r="H659" s="469"/>
      <c r="I659" s="304"/>
      <c r="J659" s="472" t="s">
        <v>1242</v>
      </c>
      <c r="K659" s="447"/>
    </row>
    <row r="660" hidden="1" outlineLevel="1">
      <c r="A660" s="594">
        <f t="shared" si="25"/>
        <v>21</v>
      </c>
      <c r="B660" s="375" t="s">
        <v>1275</v>
      </c>
      <c r="C660" s="376">
        <v>0.0</v>
      </c>
      <c r="D660" s="377"/>
      <c r="E660" s="376"/>
      <c r="F660" s="377">
        <v>0.0</v>
      </c>
      <c r="G660" s="377">
        <v>0.0</v>
      </c>
      <c r="H660" s="466"/>
      <c r="I660" s="442"/>
      <c r="J660" s="471" t="s">
        <v>1242</v>
      </c>
      <c r="K660" s="380"/>
    </row>
    <row r="661" hidden="1" outlineLevel="1">
      <c r="A661" s="597">
        <f t="shared" si="25"/>
        <v>22</v>
      </c>
      <c r="B661" s="382" t="s">
        <v>1277</v>
      </c>
      <c r="C661" s="370">
        <v>0.0</v>
      </c>
      <c r="D661" s="445"/>
      <c r="E661" s="370"/>
      <c r="F661" s="445">
        <v>0.0</v>
      </c>
      <c r="G661" s="445">
        <v>0.0</v>
      </c>
      <c r="H661" s="469"/>
      <c r="I661" s="304"/>
      <c r="J661" s="472" t="s">
        <v>1242</v>
      </c>
      <c r="K661" s="447"/>
    </row>
    <row r="662" hidden="1" outlineLevel="1">
      <c r="A662" s="594">
        <f t="shared" si="25"/>
        <v>23</v>
      </c>
      <c r="B662" s="375" t="s">
        <v>1278</v>
      </c>
      <c r="C662" s="376">
        <v>0.0</v>
      </c>
      <c r="D662" s="377"/>
      <c r="E662" s="376"/>
      <c r="F662" s="377">
        <v>0.0</v>
      </c>
      <c r="G662" s="377">
        <v>0.0</v>
      </c>
      <c r="H662" s="466"/>
      <c r="I662" s="442"/>
      <c r="J662" s="471" t="s">
        <v>1242</v>
      </c>
      <c r="K662" s="380"/>
    </row>
    <row r="663" hidden="1" outlineLevel="1">
      <c r="A663" s="597">
        <f t="shared" si="25"/>
        <v>24</v>
      </c>
      <c r="B663" s="382" t="s">
        <v>1280</v>
      </c>
      <c r="C663" s="370">
        <v>0.0</v>
      </c>
      <c r="D663" s="445"/>
      <c r="E663" s="370"/>
      <c r="F663" s="445">
        <v>0.0</v>
      </c>
      <c r="G663" s="445">
        <v>0.0</v>
      </c>
      <c r="H663" s="469"/>
      <c r="I663" s="304"/>
      <c r="J663" s="472" t="s">
        <v>1242</v>
      </c>
      <c r="K663" s="447"/>
    </row>
    <row r="664" hidden="1" outlineLevel="1">
      <c r="A664" s="715"/>
      <c r="B664" s="716"/>
      <c r="C664" s="717"/>
      <c r="D664" s="718"/>
      <c r="E664" s="717"/>
      <c r="F664" s="718"/>
      <c r="G664" s="718"/>
      <c r="H664" s="719"/>
      <c r="I664" s="720"/>
      <c r="J664" s="721"/>
      <c r="K664" s="398"/>
    </row>
    <row r="665" hidden="1">
      <c r="A665" s="29">
        <v>11.2</v>
      </c>
      <c r="B665" s="30" t="s">
        <v>1282</v>
      </c>
      <c r="C665" s="553"/>
      <c r="D665" s="554"/>
      <c r="E665" s="553"/>
      <c r="F665" s="554"/>
      <c r="G665" s="554">
        <f>G667+G678+G720+G722+G739</f>
        <v>-51922233.03</v>
      </c>
      <c r="H665" s="555"/>
      <c r="I665" s="556"/>
      <c r="J665" s="36"/>
      <c r="K665" s="37"/>
    </row>
    <row r="666" hidden="1">
      <c r="A666" s="38"/>
      <c r="B666" s="39"/>
      <c r="C666" s="40"/>
      <c r="D666" s="42"/>
      <c r="E666" s="40"/>
      <c r="F666" s="42"/>
      <c r="G666" s="42"/>
      <c r="H666" s="43"/>
      <c r="I666" s="558"/>
      <c r="J666" s="46"/>
      <c r="K666" s="47"/>
    </row>
    <row r="667" hidden="1">
      <c r="A667" s="559" t="s">
        <v>22</v>
      </c>
      <c r="B667" s="560" t="s">
        <v>1286</v>
      </c>
      <c r="C667" s="561"/>
      <c r="D667" s="562"/>
      <c r="E667" s="722"/>
      <c r="F667" s="562"/>
      <c r="G667" s="562">
        <f>SUM(G668:G676)</f>
        <v>-15754581</v>
      </c>
      <c r="H667" s="565"/>
      <c r="I667" s="561"/>
      <c r="J667" s="569"/>
      <c r="K667" s="570"/>
    </row>
    <row r="668" hidden="1">
      <c r="A668" s="536">
        <v>1.0</v>
      </c>
      <c r="B668" s="723" t="s">
        <v>2554</v>
      </c>
      <c r="C668" s="390">
        <v>0.0</v>
      </c>
      <c r="D668" s="393">
        <v>0.0</v>
      </c>
      <c r="E668" s="390"/>
      <c r="F668" s="393">
        <v>0.0</v>
      </c>
      <c r="G668" s="393">
        <v>0.0</v>
      </c>
      <c r="H668" s="634"/>
      <c r="I668" s="712"/>
      <c r="J668" s="652" t="s">
        <v>1294</v>
      </c>
      <c r="K668" s="398"/>
    </row>
    <row r="669" hidden="1">
      <c r="A669" s="610">
        <v>2.0</v>
      </c>
      <c r="B669" s="643" t="s">
        <v>2555</v>
      </c>
      <c r="C669" s="368">
        <f t="shared" ref="C669:C671" si="26">D669</f>
        <v>-4211035</v>
      </c>
      <c r="D669" s="369">
        <f t="shared" ref="D669:D676" si="27">G669</f>
        <v>-4211035</v>
      </c>
      <c r="E669" s="368"/>
      <c r="F669" s="369"/>
      <c r="G669" s="369">
        <f>-3560000-651035</f>
        <v>-4211035</v>
      </c>
      <c r="H669" s="613"/>
      <c r="I669" s="724"/>
      <c r="J669" s="650" t="s">
        <v>1299</v>
      </c>
      <c r="K669" s="372"/>
    </row>
    <row r="670" hidden="1">
      <c r="A670" s="536">
        <v>3.0</v>
      </c>
      <c r="B670" s="723" t="s">
        <v>2556</v>
      </c>
      <c r="C670" s="390">
        <f t="shared" si="26"/>
        <v>-2664900</v>
      </c>
      <c r="D670" s="393">
        <f t="shared" si="27"/>
        <v>-2664900</v>
      </c>
      <c r="E670" s="390">
        <v>0.0</v>
      </c>
      <c r="F670" s="393"/>
      <c r="G670" s="393">
        <f>-2556900-108000</f>
        <v>-2664900</v>
      </c>
      <c r="H670" s="634"/>
      <c r="I670" s="712"/>
      <c r="J670" s="652" t="s">
        <v>1303</v>
      </c>
      <c r="K670" s="398"/>
    </row>
    <row r="671" hidden="1">
      <c r="A671" s="610">
        <v>4.0</v>
      </c>
      <c r="B671" s="643" t="s">
        <v>2557</v>
      </c>
      <c r="C671" s="368">
        <f t="shared" si="26"/>
        <v>-2588646</v>
      </c>
      <c r="D671" s="369">
        <f t="shared" si="27"/>
        <v>-2588646</v>
      </c>
      <c r="E671" s="368"/>
      <c r="F671" s="369"/>
      <c r="G671" s="369">
        <f>-2280646-308000</f>
        <v>-2588646</v>
      </c>
      <c r="H671" s="613"/>
      <c r="I671" s="724"/>
      <c r="J671" s="650" t="s">
        <v>1307</v>
      </c>
      <c r="K671" s="372"/>
    </row>
    <row r="672" hidden="1">
      <c r="A672" s="536">
        <v>5.0</v>
      </c>
      <c r="B672" s="723" t="s">
        <v>2558</v>
      </c>
      <c r="C672" s="390"/>
      <c r="D672" s="393">
        <f t="shared" si="27"/>
        <v>-1300000</v>
      </c>
      <c r="E672" s="390"/>
      <c r="F672" s="393"/>
      <c r="G672" s="393">
        <f>-1300000</f>
        <v>-1300000</v>
      </c>
      <c r="H672" s="634"/>
      <c r="I672" s="712"/>
      <c r="J672" s="652" t="s">
        <v>1310</v>
      </c>
      <c r="K672" s="398"/>
    </row>
    <row r="673" hidden="1">
      <c r="A673" s="610">
        <v>6.0</v>
      </c>
      <c r="B673" s="643" t="s">
        <v>2559</v>
      </c>
      <c r="C673" s="368"/>
      <c r="D673" s="369">
        <f t="shared" si="27"/>
        <v>-782000</v>
      </c>
      <c r="E673" s="368"/>
      <c r="F673" s="369"/>
      <c r="G673" s="369">
        <v>-782000.0</v>
      </c>
      <c r="H673" s="613"/>
      <c r="I673" s="724"/>
      <c r="J673" s="650" t="s">
        <v>1312</v>
      </c>
      <c r="K673" s="372"/>
    </row>
    <row r="674" hidden="1">
      <c r="A674" s="536">
        <v>7.0</v>
      </c>
      <c r="B674" s="723" t="s">
        <v>2560</v>
      </c>
      <c r="C674" s="390"/>
      <c r="D674" s="393">
        <f t="shared" si="27"/>
        <v>-1500000</v>
      </c>
      <c r="E674" s="390"/>
      <c r="F674" s="393"/>
      <c r="G674" s="393">
        <v>-1500000.0</v>
      </c>
      <c r="H674" s="634"/>
      <c r="I674" s="712"/>
      <c r="J674" s="652" t="s">
        <v>1315</v>
      </c>
      <c r="K674" s="398"/>
    </row>
    <row r="675" hidden="1">
      <c r="A675" s="610">
        <v>8.0</v>
      </c>
      <c r="B675" s="643" t="s">
        <v>2561</v>
      </c>
      <c r="C675" s="368"/>
      <c r="D675" s="369">
        <f t="shared" si="27"/>
        <v>-1650000</v>
      </c>
      <c r="E675" s="368"/>
      <c r="F675" s="369"/>
      <c r="G675" s="369">
        <v>-1650000.0</v>
      </c>
      <c r="H675" s="613"/>
      <c r="I675" s="724"/>
      <c r="J675" s="650" t="s">
        <v>1317</v>
      </c>
      <c r="K675" s="372"/>
    </row>
    <row r="676" hidden="1">
      <c r="A676" s="536">
        <v>9.0</v>
      </c>
      <c r="B676" s="723" t="s">
        <v>1319</v>
      </c>
      <c r="C676" s="390"/>
      <c r="D676" s="393">
        <f t="shared" si="27"/>
        <v>-1058000</v>
      </c>
      <c r="E676" s="390"/>
      <c r="F676" s="393"/>
      <c r="G676" s="393">
        <v>-1058000.0</v>
      </c>
      <c r="H676" s="634"/>
      <c r="I676" s="712"/>
      <c r="J676" s="652" t="s">
        <v>1320</v>
      </c>
      <c r="K676" s="398"/>
    </row>
    <row r="677" hidden="1">
      <c r="A677" s="725"/>
      <c r="B677" s="643"/>
      <c r="C677" s="368"/>
      <c r="D677" s="369"/>
      <c r="E677" s="368"/>
      <c r="F677" s="369"/>
      <c r="G677" s="369"/>
      <c r="H677" s="598"/>
      <c r="I677" s="368"/>
      <c r="J677" s="650"/>
      <c r="K677" s="372"/>
    </row>
    <row r="678" hidden="1">
      <c r="A678" s="559" t="s">
        <v>43</v>
      </c>
      <c r="B678" s="560" t="s">
        <v>1321</v>
      </c>
      <c r="C678" s="561">
        <f t="shared" ref="C678:D678" si="28">C679+C685+C693+C700+C707</f>
        <v>0</v>
      </c>
      <c r="D678" s="562">
        <f t="shared" si="28"/>
        <v>-16240000</v>
      </c>
      <c r="E678" s="722"/>
      <c r="F678" s="562"/>
      <c r="G678" s="562">
        <f>G679+G685+G693+G700+G707</f>
        <v>-16240000</v>
      </c>
      <c r="H678" s="565"/>
      <c r="I678" s="561">
        <f>G678-D678</f>
        <v>0</v>
      </c>
      <c r="J678" s="569" t="s">
        <v>1322</v>
      </c>
      <c r="K678" s="570"/>
    </row>
    <row r="679" hidden="1">
      <c r="A679" s="141">
        <v>1.0</v>
      </c>
      <c r="B679" s="142" t="s">
        <v>1323</v>
      </c>
      <c r="C679" s="573">
        <v>0.0</v>
      </c>
      <c r="D679" s="144">
        <f>SUM(D681:D683)</f>
        <v>-400000</v>
      </c>
      <c r="E679" s="507"/>
      <c r="F679" s="508">
        <f>SUM(E681:E684)</f>
        <v>0</v>
      </c>
      <c r="G679" s="144">
        <f>SUM(G681:G683)</f>
        <v>-400000</v>
      </c>
      <c r="H679" s="145"/>
      <c r="I679" s="147"/>
      <c r="J679" s="574" t="s">
        <v>1325</v>
      </c>
      <c r="K679" s="149"/>
    </row>
    <row r="680" hidden="1">
      <c r="A680" s="63"/>
      <c r="B680" s="575"/>
      <c r="C680" s="576"/>
      <c r="D680" s="578"/>
      <c r="E680" s="460"/>
      <c r="F680" s="461"/>
      <c r="G680" s="580"/>
      <c r="H680" s="582"/>
      <c r="I680" s="584"/>
      <c r="J680" s="79"/>
      <c r="K680" s="82"/>
    </row>
    <row r="681" hidden="1">
      <c r="A681" s="610"/>
      <c r="B681" s="382" t="s">
        <v>1327</v>
      </c>
      <c r="C681" s="368"/>
      <c r="D681" s="369">
        <f t="shared" ref="D681:D683" si="29">G681</f>
        <v>-130000</v>
      </c>
      <c r="E681" s="368">
        <v>0.0</v>
      </c>
      <c r="F681" s="369"/>
      <c r="G681" s="726">
        <v>-130000.0</v>
      </c>
      <c r="H681" s="598"/>
      <c r="I681" s="713"/>
      <c r="J681" s="714"/>
      <c r="K681" s="372"/>
    </row>
    <row r="682" hidden="1">
      <c r="A682" s="536"/>
      <c r="B682" s="375" t="s">
        <v>1333</v>
      </c>
      <c r="C682" s="390"/>
      <c r="D682" s="393">
        <f t="shared" si="29"/>
        <v>-135000</v>
      </c>
      <c r="E682" s="390">
        <v>0.0</v>
      </c>
      <c r="F682" s="393"/>
      <c r="G682" s="709">
        <v>-135000.0</v>
      </c>
      <c r="H682" s="596"/>
      <c r="I682" s="720"/>
      <c r="J682" s="721"/>
      <c r="K682" s="398"/>
    </row>
    <row r="683" hidden="1">
      <c r="A683" s="610"/>
      <c r="B683" s="382" t="s">
        <v>1341</v>
      </c>
      <c r="C683" s="368"/>
      <c r="D683" s="369">
        <f t="shared" si="29"/>
        <v>-135000</v>
      </c>
      <c r="E683" s="368">
        <v>0.0</v>
      </c>
      <c r="F683" s="369"/>
      <c r="G683" s="726">
        <v>-135000.0</v>
      </c>
      <c r="H683" s="598"/>
      <c r="I683" s="713"/>
      <c r="J683" s="714"/>
      <c r="K683" s="372"/>
    </row>
    <row r="684" hidden="1">
      <c r="A684" s="536"/>
      <c r="B684" s="723"/>
      <c r="C684" s="390"/>
      <c r="D684" s="393"/>
      <c r="E684" s="390"/>
      <c r="F684" s="393"/>
      <c r="G684" s="393"/>
      <c r="H684" s="634"/>
      <c r="I684" s="720"/>
      <c r="J684" s="721"/>
      <c r="K684" s="398"/>
    </row>
    <row r="685" hidden="1">
      <c r="A685" s="141">
        <v>2.0</v>
      </c>
      <c r="B685" s="142" t="s">
        <v>1344</v>
      </c>
      <c r="C685" s="573">
        <v>0.0</v>
      </c>
      <c r="D685" s="144">
        <f>G685</f>
        <v>-986000</v>
      </c>
      <c r="E685" s="507"/>
      <c r="F685" s="508">
        <f>SUM(E687:E692)</f>
        <v>0</v>
      </c>
      <c r="G685" s="144">
        <f>SUM(G687:G691)</f>
        <v>-986000</v>
      </c>
      <c r="H685" s="145"/>
      <c r="I685" s="147"/>
      <c r="J685" s="574" t="s">
        <v>1325</v>
      </c>
      <c r="K685" s="149"/>
    </row>
    <row r="686" hidden="1">
      <c r="A686" s="63"/>
      <c r="B686" s="575"/>
      <c r="C686" s="576"/>
      <c r="D686" s="578"/>
      <c r="E686" s="460"/>
      <c r="F686" s="461"/>
      <c r="G686" s="580"/>
      <c r="H686" s="582"/>
      <c r="I686" s="584"/>
      <c r="J686" s="79"/>
      <c r="K686" s="82"/>
    </row>
    <row r="687" hidden="1">
      <c r="A687" s="610"/>
      <c r="B687" s="382" t="s">
        <v>1346</v>
      </c>
      <c r="C687" s="368"/>
      <c r="D687" s="369"/>
      <c r="E687" s="368">
        <v>0.0</v>
      </c>
      <c r="F687" s="369"/>
      <c r="G687" s="726">
        <v>-193000.0</v>
      </c>
      <c r="H687" s="598"/>
      <c r="I687" s="713"/>
      <c r="J687" s="714"/>
      <c r="K687" s="372"/>
    </row>
    <row r="688" hidden="1">
      <c r="A688" s="536"/>
      <c r="B688" s="375" t="s">
        <v>1348</v>
      </c>
      <c r="C688" s="390"/>
      <c r="D688" s="393"/>
      <c r="E688" s="390">
        <v>0.0</v>
      </c>
      <c r="F688" s="393"/>
      <c r="G688" s="709">
        <v>-193000.0</v>
      </c>
      <c r="H688" s="596"/>
      <c r="I688" s="720"/>
      <c r="J688" s="721"/>
      <c r="K688" s="398"/>
    </row>
    <row r="689" hidden="1">
      <c r="A689" s="610"/>
      <c r="B689" s="382" t="s">
        <v>1349</v>
      </c>
      <c r="C689" s="368"/>
      <c r="D689" s="369"/>
      <c r="E689" s="368">
        <v>0.0</v>
      </c>
      <c r="F689" s="369"/>
      <c r="G689" s="726">
        <v>-200000.0</v>
      </c>
      <c r="H689" s="598"/>
      <c r="I689" s="713"/>
      <c r="J689" s="714"/>
      <c r="K689" s="372"/>
    </row>
    <row r="690" hidden="1">
      <c r="A690" s="536"/>
      <c r="B690" s="375" t="s">
        <v>1350</v>
      </c>
      <c r="C690" s="390"/>
      <c r="D690" s="393"/>
      <c r="E690" s="390">
        <v>0.0</v>
      </c>
      <c r="F690" s="393"/>
      <c r="G690" s="709">
        <v>-200000.0</v>
      </c>
      <c r="H690" s="596"/>
      <c r="I690" s="720"/>
      <c r="J690" s="721"/>
      <c r="K690" s="398"/>
    </row>
    <row r="691" hidden="1">
      <c r="A691" s="610"/>
      <c r="B691" s="382" t="s">
        <v>1351</v>
      </c>
      <c r="C691" s="368"/>
      <c r="D691" s="369"/>
      <c r="E691" s="368">
        <v>0.0</v>
      </c>
      <c r="F691" s="369"/>
      <c r="G691" s="726">
        <v>-200000.0</v>
      </c>
      <c r="H691" s="598"/>
      <c r="I691" s="713"/>
      <c r="J691" s="714"/>
      <c r="K691" s="372"/>
    </row>
    <row r="692" hidden="1">
      <c r="A692" s="536"/>
      <c r="B692" s="723"/>
      <c r="C692" s="390"/>
      <c r="D692" s="393"/>
      <c r="E692" s="390"/>
      <c r="F692" s="393"/>
      <c r="G692" s="393"/>
      <c r="H692" s="634"/>
      <c r="I692" s="720"/>
      <c r="J692" s="721"/>
      <c r="K692" s="398"/>
    </row>
    <row r="693" hidden="1">
      <c r="A693" s="141">
        <v>3.0</v>
      </c>
      <c r="B693" s="142" t="s">
        <v>1352</v>
      </c>
      <c r="C693" s="573">
        <v>0.0</v>
      </c>
      <c r="D693" s="144">
        <f>G693</f>
        <v>-640000</v>
      </c>
      <c r="E693" s="507"/>
      <c r="F693" s="508">
        <f>SUM(E695:E698)</f>
        <v>0</v>
      </c>
      <c r="G693" s="144">
        <f>SUM(G695:G698)</f>
        <v>-640000</v>
      </c>
      <c r="H693" s="145"/>
      <c r="I693" s="147"/>
      <c r="J693" s="574" t="s">
        <v>1325</v>
      </c>
      <c r="K693" s="149"/>
    </row>
    <row r="694" hidden="1">
      <c r="A694" s="63"/>
      <c r="B694" s="575"/>
      <c r="C694" s="576"/>
      <c r="D694" s="578"/>
      <c r="E694" s="460"/>
      <c r="F694" s="461"/>
      <c r="G694" s="580"/>
      <c r="H694" s="582"/>
      <c r="I694" s="584"/>
      <c r="J694" s="79"/>
      <c r="K694" s="82"/>
    </row>
    <row r="695" hidden="1">
      <c r="A695" s="610"/>
      <c r="B695" s="643" t="s">
        <v>1355</v>
      </c>
      <c r="C695" s="368"/>
      <c r="D695" s="369"/>
      <c r="E695" s="368">
        <v>0.0</v>
      </c>
      <c r="F695" s="369"/>
      <c r="G695" s="726">
        <v>-160000.0</v>
      </c>
      <c r="H695" s="598"/>
      <c r="I695" s="713"/>
      <c r="J695" s="714"/>
      <c r="K695" s="372"/>
    </row>
    <row r="696" hidden="1">
      <c r="A696" s="536"/>
      <c r="B696" s="723" t="s">
        <v>1357</v>
      </c>
      <c r="C696" s="390"/>
      <c r="D696" s="393"/>
      <c r="E696" s="390">
        <v>0.0</v>
      </c>
      <c r="F696" s="393"/>
      <c r="G696" s="709">
        <v>-160000.0</v>
      </c>
      <c r="H696" s="596"/>
      <c r="I696" s="720"/>
      <c r="J696" s="721"/>
      <c r="K696" s="398"/>
    </row>
    <row r="697" hidden="1">
      <c r="A697" s="610"/>
      <c r="B697" s="643" t="s">
        <v>1358</v>
      </c>
      <c r="C697" s="368"/>
      <c r="D697" s="369"/>
      <c r="E697" s="368">
        <v>0.0</v>
      </c>
      <c r="F697" s="369"/>
      <c r="G697" s="726">
        <v>-160000.0</v>
      </c>
      <c r="H697" s="598"/>
      <c r="I697" s="713"/>
      <c r="J697" s="714"/>
      <c r="K697" s="372"/>
    </row>
    <row r="698" hidden="1">
      <c r="A698" s="536"/>
      <c r="B698" s="723" t="s">
        <v>1359</v>
      </c>
      <c r="C698" s="390"/>
      <c r="D698" s="393"/>
      <c r="E698" s="390">
        <v>0.0</v>
      </c>
      <c r="F698" s="393"/>
      <c r="G698" s="709">
        <v>-160000.0</v>
      </c>
      <c r="H698" s="596"/>
      <c r="I698" s="720"/>
      <c r="J698" s="721"/>
      <c r="K698" s="398"/>
    </row>
    <row r="699" hidden="1">
      <c r="A699" s="610"/>
      <c r="B699" s="643"/>
      <c r="C699" s="368"/>
      <c r="D699" s="369"/>
      <c r="E699" s="368"/>
      <c r="F699" s="369"/>
      <c r="G699" s="369"/>
      <c r="H699" s="613"/>
      <c r="I699" s="713"/>
      <c r="J699" s="714"/>
      <c r="K699" s="372"/>
    </row>
    <row r="700" hidden="1">
      <c r="A700" s="141">
        <v>4.0</v>
      </c>
      <c r="B700" s="142" t="s">
        <v>1362</v>
      </c>
      <c r="C700" s="573">
        <v>0.0</v>
      </c>
      <c r="D700" s="144">
        <f>G700</f>
        <v>-664000</v>
      </c>
      <c r="E700" s="507"/>
      <c r="F700" s="508">
        <f>SUM(E702:E706)</f>
        <v>0</v>
      </c>
      <c r="G700" s="144">
        <f>SUM(G702:G705)</f>
        <v>-664000</v>
      </c>
      <c r="H700" s="145"/>
      <c r="I700" s="147"/>
      <c r="J700" s="574" t="s">
        <v>1325</v>
      </c>
      <c r="K700" s="149"/>
    </row>
    <row r="701" hidden="1">
      <c r="A701" s="63"/>
      <c r="B701" s="575"/>
      <c r="C701" s="576"/>
      <c r="D701" s="578"/>
      <c r="E701" s="460"/>
      <c r="F701" s="461"/>
      <c r="G701" s="580"/>
      <c r="H701" s="582"/>
      <c r="I701" s="584"/>
      <c r="J701" s="79"/>
      <c r="K701" s="82"/>
    </row>
    <row r="702" hidden="1">
      <c r="A702" s="536"/>
      <c r="B702" s="723" t="s">
        <v>1366</v>
      </c>
      <c r="C702" s="390"/>
      <c r="D702" s="393"/>
      <c r="E702" s="390">
        <v>0.0</v>
      </c>
      <c r="F702" s="393"/>
      <c r="G702" s="709">
        <v>-166000.0</v>
      </c>
      <c r="H702" s="596"/>
      <c r="I702" s="720"/>
      <c r="J702" s="721"/>
      <c r="K702" s="398"/>
    </row>
    <row r="703" hidden="1">
      <c r="A703" s="610"/>
      <c r="B703" s="643" t="s">
        <v>1369</v>
      </c>
      <c r="C703" s="368"/>
      <c r="D703" s="369"/>
      <c r="E703" s="368">
        <v>0.0</v>
      </c>
      <c r="F703" s="369"/>
      <c r="G703" s="726">
        <v>-166000.0</v>
      </c>
      <c r="H703" s="598"/>
      <c r="I703" s="713"/>
      <c r="J703" s="714"/>
      <c r="K703" s="372"/>
    </row>
    <row r="704" hidden="1">
      <c r="A704" s="536"/>
      <c r="B704" s="723" t="s">
        <v>1370</v>
      </c>
      <c r="C704" s="390"/>
      <c r="D704" s="393"/>
      <c r="E704" s="390">
        <v>0.0</v>
      </c>
      <c r="F704" s="393"/>
      <c r="G704" s="709">
        <v>-166000.0</v>
      </c>
      <c r="H704" s="596"/>
      <c r="I704" s="720"/>
      <c r="J704" s="721"/>
      <c r="K704" s="398"/>
    </row>
    <row r="705" hidden="1">
      <c r="A705" s="610"/>
      <c r="B705" s="643" t="s">
        <v>1372</v>
      </c>
      <c r="C705" s="368"/>
      <c r="D705" s="369"/>
      <c r="E705" s="368">
        <v>0.0</v>
      </c>
      <c r="F705" s="369"/>
      <c r="G705" s="726">
        <v>-166000.0</v>
      </c>
      <c r="H705" s="598"/>
      <c r="I705" s="713"/>
      <c r="J705" s="714"/>
      <c r="K705" s="372"/>
    </row>
    <row r="706" hidden="1">
      <c r="A706" s="536"/>
      <c r="B706" s="723"/>
      <c r="C706" s="390"/>
      <c r="D706" s="393"/>
      <c r="E706" s="390"/>
      <c r="F706" s="393"/>
      <c r="G706" s="393"/>
      <c r="H706" s="634"/>
      <c r="I706" s="720"/>
      <c r="J706" s="721"/>
      <c r="K706" s="398"/>
    </row>
    <row r="707" hidden="1">
      <c r="A707" s="141">
        <v>5.0</v>
      </c>
      <c r="B707" s="142" t="s">
        <v>1374</v>
      </c>
      <c r="C707" s="573">
        <v>0.0</v>
      </c>
      <c r="D707" s="144">
        <f>G707</f>
        <v>-13550000</v>
      </c>
      <c r="E707" s="507"/>
      <c r="F707" s="508">
        <f>SUM(E709:E719)</f>
        <v>0</v>
      </c>
      <c r="G707" s="144">
        <f>SUM(G709:G718)</f>
        <v>-13550000</v>
      </c>
      <c r="H707" s="145"/>
      <c r="I707" s="147"/>
      <c r="J707" s="574" t="s">
        <v>1325</v>
      </c>
      <c r="K707" s="149"/>
    </row>
    <row r="708" hidden="1">
      <c r="A708" s="63"/>
      <c r="B708" s="575"/>
      <c r="C708" s="576"/>
      <c r="D708" s="578"/>
      <c r="E708" s="460"/>
      <c r="F708" s="461"/>
      <c r="G708" s="580"/>
      <c r="H708" s="582"/>
      <c r="I708" s="584"/>
      <c r="J708" s="79"/>
      <c r="K708" s="82"/>
    </row>
    <row r="709" hidden="1">
      <c r="A709" s="610"/>
      <c r="B709" s="643" t="s">
        <v>1377</v>
      </c>
      <c r="C709" s="368"/>
      <c r="D709" s="369"/>
      <c r="E709" s="368">
        <v>0.0</v>
      </c>
      <c r="F709" s="369"/>
      <c r="G709" s="726">
        <v>-1355000.0</v>
      </c>
      <c r="H709" s="598"/>
      <c r="I709" s="713"/>
      <c r="J709" s="714"/>
      <c r="K709" s="372"/>
    </row>
    <row r="710" hidden="1">
      <c r="A710" s="536"/>
      <c r="B710" s="723" t="s">
        <v>1379</v>
      </c>
      <c r="C710" s="390"/>
      <c r="D710" s="393"/>
      <c r="E710" s="390">
        <v>0.0</v>
      </c>
      <c r="F710" s="393"/>
      <c r="G710" s="709">
        <v>-1355000.0</v>
      </c>
      <c r="H710" s="596"/>
      <c r="I710" s="720"/>
      <c r="J710" s="721"/>
      <c r="K710" s="398"/>
    </row>
    <row r="711" hidden="1">
      <c r="A711" s="610"/>
      <c r="B711" s="643" t="s">
        <v>1380</v>
      </c>
      <c r="C711" s="368"/>
      <c r="D711" s="369"/>
      <c r="E711" s="368">
        <v>0.0</v>
      </c>
      <c r="F711" s="369"/>
      <c r="G711" s="726">
        <v>-1355000.0</v>
      </c>
      <c r="H711" s="598"/>
      <c r="I711" s="713"/>
      <c r="J711" s="714"/>
      <c r="K711" s="372"/>
    </row>
    <row r="712" hidden="1">
      <c r="A712" s="536"/>
      <c r="B712" s="723" t="s">
        <v>1382</v>
      </c>
      <c r="C712" s="390"/>
      <c r="D712" s="393"/>
      <c r="E712" s="390">
        <v>0.0</v>
      </c>
      <c r="F712" s="393"/>
      <c r="G712" s="709">
        <v>-1355000.0</v>
      </c>
      <c r="H712" s="596"/>
      <c r="I712" s="720"/>
      <c r="J712" s="721"/>
      <c r="K712" s="398"/>
    </row>
    <row r="713" hidden="1">
      <c r="A713" s="610"/>
      <c r="B713" s="643" t="s">
        <v>1384</v>
      </c>
      <c r="C713" s="368"/>
      <c r="D713" s="369"/>
      <c r="E713" s="368">
        <v>0.0</v>
      </c>
      <c r="F713" s="369"/>
      <c r="G713" s="726">
        <v>-1355000.0</v>
      </c>
      <c r="H713" s="598"/>
      <c r="I713" s="713"/>
      <c r="J713" s="714"/>
      <c r="K713" s="372"/>
    </row>
    <row r="714" hidden="1">
      <c r="A714" s="536"/>
      <c r="B714" s="723" t="s">
        <v>1385</v>
      </c>
      <c r="C714" s="390"/>
      <c r="D714" s="393"/>
      <c r="E714" s="390">
        <v>0.0</v>
      </c>
      <c r="F714" s="393"/>
      <c r="G714" s="709">
        <v>-1355000.0</v>
      </c>
      <c r="H714" s="596"/>
      <c r="I714" s="720"/>
      <c r="J714" s="721"/>
      <c r="K714" s="398"/>
    </row>
    <row r="715" hidden="1">
      <c r="A715" s="610"/>
      <c r="B715" s="643" t="s">
        <v>1387</v>
      </c>
      <c r="C715" s="368"/>
      <c r="D715" s="369"/>
      <c r="E715" s="368">
        <v>0.0</v>
      </c>
      <c r="F715" s="369"/>
      <c r="G715" s="726">
        <v>-1355000.0</v>
      </c>
      <c r="H715" s="598"/>
      <c r="I715" s="713"/>
      <c r="J715" s="714"/>
      <c r="K715" s="372"/>
    </row>
    <row r="716" hidden="1">
      <c r="A716" s="536"/>
      <c r="B716" s="723" t="s">
        <v>1388</v>
      </c>
      <c r="C716" s="390"/>
      <c r="D716" s="393"/>
      <c r="E716" s="390">
        <v>0.0</v>
      </c>
      <c r="F716" s="393"/>
      <c r="G716" s="709">
        <v>-1355000.0</v>
      </c>
      <c r="H716" s="596"/>
      <c r="I716" s="720"/>
      <c r="J716" s="721"/>
      <c r="K716" s="398"/>
    </row>
    <row r="717" hidden="1">
      <c r="A717" s="610"/>
      <c r="B717" s="643" t="s">
        <v>1390</v>
      </c>
      <c r="C717" s="368"/>
      <c r="D717" s="369"/>
      <c r="E717" s="368">
        <v>0.0</v>
      </c>
      <c r="F717" s="369"/>
      <c r="G717" s="726">
        <v>-1355000.0</v>
      </c>
      <c r="H717" s="598"/>
      <c r="I717" s="713"/>
      <c r="J717" s="714"/>
      <c r="K717" s="372"/>
    </row>
    <row r="718" hidden="1">
      <c r="A718" s="536"/>
      <c r="B718" s="723" t="s">
        <v>1391</v>
      </c>
      <c r="C718" s="390"/>
      <c r="D718" s="393"/>
      <c r="E718" s="390">
        <v>0.0</v>
      </c>
      <c r="F718" s="393"/>
      <c r="G718" s="709">
        <v>-1355000.0</v>
      </c>
      <c r="H718" s="596"/>
      <c r="I718" s="720"/>
      <c r="J718" s="721"/>
      <c r="K718" s="398"/>
    </row>
    <row r="719" hidden="1">
      <c r="A719" s="610"/>
      <c r="B719" s="643"/>
      <c r="C719" s="368"/>
      <c r="D719" s="369"/>
      <c r="E719" s="368"/>
      <c r="F719" s="369"/>
      <c r="G719" s="369"/>
      <c r="H719" s="613"/>
      <c r="I719" s="713"/>
      <c r="J719" s="714"/>
      <c r="K719" s="372"/>
    </row>
    <row r="720" hidden="1">
      <c r="A720" s="559" t="s">
        <v>46</v>
      </c>
      <c r="B720" s="560" t="s">
        <v>1393</v>
      </c>
      <c r="C720" s="561"/>
      <c r="D720" s="562"/>
      <c r="E720" s="722"/>
      <c r="F720" s="562"/>
      <c r="G720" s="562">
        <f>G721</f>
        <v>-3800000</v>
      </c>
      <c r="H720" s="565"/>
      <c r="I720" s="561"/>
      <c r="J720" s="569"/>
      <c r="K720" s="570"/>
    </row>
    <row r="721" hidden="1">
      <c r="A721" s="610">
        <v>1.0</v>
      </c>
      <c r="B721" s="643" t="s">
        <v>2562</v>
      </c>
      <c r="C721" s="368"/>
      <c r="D721" s="369">
        <v>-3800000.0</v>
      </c>
      <c r="E721" s="368">
        <v>0.0</v>
      </c>
      <c r="F721" s="369"/>
      <c r="G721" s="369">
        <v>-3800000.0</v>
      </c>
      <c r="H721" s="613"/>
      <c r="I721" s="713"/>
      <c r="J721" s="650" t="s">
        <v>1397</v>
      </c>
      <c r="K721" s="372"/>
    </row>
    <row r="722" hidden="1">
      <c r="A722" s="559" t="s">
        <v>1399</v>
      </c>
      <c r="B722" s="560" t="s">
        <v>1401</v>
      </c>
      <c r="C722" s="561"/>
      <c r="D722" s="562"/>
      <c r="E722" s="722"/>
      <c r="F722" s="562"/>
      <c r="G722" s="562">
        <f>SUM(G723:G738)</f>
        <v>-13760000</v>
      </c>
      <c r="H722" s="565"/>
      <c r="I722" s="561"/>
      <c r="J722" s="569"/>
      <c r="K722" s="570"/>
    </row>
    <row r="723" hidden="1">
      <c r="A723" s="683">
        <v>1.0</v>
      </c>
      <c r="B723" s="643" t="s">
        <v>2563</v>
      </c>
      <c r="C723" s="667"/>
      <c r="D723" s="668">
        <f>-500000-587510-432072-75000-60000-110000-25500</f>
        <v>-1790082</v>
      </c>
      <c r="E723" s="667"/>
      <c r="F723" s="668"/>
      <c r="G723" s="445">
        <f>-550000*3</f>
        <v>-1650000</v>
      </c>
      <c r="H723" s="469"/>
      <c r="I723" s="304"/>
      <c r="J723" s="472" t="s">
        <v>2564</v>
      </c>
      <c r="K723" s="447"/>
    </row>
    <row r="724" hidden="1">
      <c r="A724" s="681">
        <f t="shared" ref="A724:A737" si="30">A723+1</f>
        <v>2</v>
      </c>
      <c r="B724" s="375" t="s">
        <v>2565</v>
      </c>
      <c r="C724" s="376"/>
      <c r="D724" s="377">
        <v>-5000000.0</v>
      </c>
      <c r="E724" s="376"/>
      <c r="F724" s="377"/>
      <c r="G724" s="377">
        <v>-5000000.0</v>
      </c>
      <c r="H724" s="466"/>
      <c r="I724" s="442"/>
      <c r="J724" s="467"/>
      <c r="K724" s="380"/>
    </row>
    <row r="725" hidden="1">
      <c r="A725" s="683">
        <f t="shared" si="30"/>
        <v>3</v>
      </c>
      <c r="B725" s="382" t="s">
        <v>2566</v>
      </c>
      <c r="C725" s="370"/>
      <c r="D725" s="445">
        <v>-2200000.0</v>
      </c>
      <c r="E725" s="370"/>
      <c r="F725" s="445"/>
      <c r="G725" s="445">
        <v>-2200000.0</v>
      </c>
      <c r="H725" s="469"/>
      <c r="I725" s="304"/>
      <c r="J725" s="305"/>
      <c r="K725" s="470"/>
    </row>
    <row r="726" hidden="1">
      <c r="A726" s="681">
        <f t="shared" si="30"/>
        <v>4</v>
      </c>
      <c r="B726" s="375" t="s">
        <v>2567</v>
      </c>
      <c r="C726" s="376"/>
      <c r="D726" s="377">
        <v>0.0</v>
      </c>
      <c r="E726" s="376"/>
      <c r="F726" s="377"/>
      <c r="G726" s="377">
        <v>0.0</v>
      </c>
      <c r="H726" s="466"/>
      <c r="I726" s="442"/>
      <c r="J726" s="467"/>
      <c r="K726" s="421"/>
    </row>
    <row r="727" hidden="1">
      <c r="A727" s="683">
        <f t="shared" si="30"/>
        <v>5</v>
      </c>
      <c r="B727" s="382" t="s">
        <v>2568</v>
      </c>
      <c r="C727" s="370"/>
      <c r="D727" s="445">
        <v>-530000.0</v>
      </c>
      <c r="E727" s="370"/>
      <c r="F727" s="445"/>
      <c r="G727" s="445">
        <v>-530000.0</v>
      </c>
      <c r="H727" s="469"/>
      <c r="I727" s="304"/>
      <c r="J727" s="472" t="s">
        <v>1415</v>
      </c>
      <c r="K727" s="470"/>
    </row>
    <row r="728" hidden="1">
      <c r="A728" s="681">
        <f t="shared" si="30"/>
        <v>6</v>
      </c>
      <c r="B728" s="375" t="s">
        <v>2569</v>
      </c>
      <c r="C728" s="376"/>
      <c r="D728" s="377">
        <v>-80000.0</v>
      </c>
      <c r="E728" s="376"/>
      <c r="F728" s="377"/>
      <c r="G728" s="377">
        <v>-80000.0</v>
      </c>
      <c r="H728" s="466"/>
      <c r="I728" s="442"/>
      <c r="J728" s="467"/>
      <c r="K728" s="421"/>
    </row>
    <row r="729" hidden="1">
      <c r="A729" s="683">
        <f t="shared" si="30"/>
        <v>7</v>
      </c>
      <c r="B729" s="382" t="s">
        <v>2570</v>
      </c>
      <c r="C729" s="370"/>
      <c r="D729" s="445">
        <v>-70000.0</v>
      </c>
      <c r="E729" s="370"/>
      <c r="F729" s="445"/>
      <c r="G729" s="445">
        <v>-100000.0</v>
      </c>
      <c r="H729" s="469"/>
      <c r="I729" s="304"/>
      <c r="J729" s="305"/>
      <c r="K729" s="470"/>
    </row>
    <row r="730" hidden="1">
      <c r="A730" s="681">
        <f t="shared" si="30"/>
        <v>8</v>
      </c>
      <c r="B730" s="375" t="s">
        <v>1422</v>
      </c>
      <c r="C730" s="376"/>
      <c r="D730" s="377">
        <v>0.0</v>
      </c>
      <c r="E730" s="376"/>
      <c r="F730" s="377"/>
      <c r="G730" s="377">
        <v>0.0</v>
      </c>
      <c r="H730" s="466"/>
      <c r="I730" s="442"/>
      <c r="J730" s="467"/>
      <c r="K730" s="421"/>
    </row>
    <row r="731" hidden="1">
      <c r="A731" s="683">
        <f t="shared" si="30"/>
        <v>9</v>
      </c>
      <c r="B731" s="382" t="s">
        <v>2571</v>
      </c>
      <c r="C731" s="370"/>
      <c r="D731" s="445">
        <v>0.0</v>
      </c>
      <c r="E731" s="370"/>
      <c r="F731" s="445"/>
      <c r="G731" s="445">
        <v>-250000.0</v>
      </c>
      <c r="H731" s="469"/>
      <c r="I731" s="304"/>
      <c r="J731" s="472" t="s">
        <v>1425</v>
      </c>
      <c r="K731" s="470"/>
    </row>
    <row r="732" hidden="1">
      <c r="A732" s="681">
        <f t="shared" si="30"/>
        <v>10</v>
      </c>
      <c r="B732" s="375" t="s">
        <v>1427</v>
      </c>
      <c r="C732" s="376"/>
      <c r="D732" s="377">
        <v>0.0</v>
      </c>
      <c r="E732" s="376"/>
      <c r="F732" s="377"/>
      <c r="G732" s="377">
        <v>0.0</v>
      </c>
      <c r="H732" s="466"/>
      <c r="I732" s="442"/>
      <c r="J732" s="467"/>
      <c r="K732" s="421"/>
    </row>
    <row r="733" hidden="1">
      <c r="A733" s="683">
        <f t="shared" si="30"/>
        <v>11</v>
      </c>
      <c r="B733" s="382" t="s">
        <v>2572</v>
      </c>
      <c r="C733" s="370"/>
      <c r="D733" s="445">
        <v>0.0</v>
      </c>
      <c r="E733" s="370"/>
      <c r="F733" s="445"/>
      <c r="G733" s="445">
        <v>0.0</v>
      </c>
      <c r="H733" s="469"/>
      <c r="I733" s="304"/>
      <c r="J733" s="305"/>
      <c r="K733" s="470"/>
    </row>
    <row r="734" hidden="1">
      <c r="A734" s="681">
        <f t="shared" si="30"/>
        <v>12</v>
      </c>
      <c r="B734" s="375" t="s">
        <v>2573</v>
      </c>
      <c r="C734" s="376"/>
      <c r="D734" s="377">
        <v>0.0</v>
      </c>
      <c r="E734" s="376"/>
      <c r="F734" s="377"/>
      <c r="G734" s="377">
        <v>0.0</v>
      </c>
      <c r="H734" s="466"/>
      <c r="I734" s="442"/>
      <c r="J734" s="467"/>
      <c r="K734" s="421"/>
    </row>
    <row r="735" hidden="1">
      <c r="A735" s="683">
        <f t="shared" si="30"/>
        <v>13</v>
      </c>
      <c r="B735" s="382" t="s">
        <v>2574</v>
      </c>
      <c r="C735" s="370"/>
      <c r="D735" s="445">
        <v>-600000.0</v>
      </c>
      <c r="E735" s="370"/>
      <c r="F735" s="445"/>
      <c r="G735" s="445">
        <v>-600000.0</v>
      </c>
      <c r="H735" s="469"/>
      <c r="I735" s="304"/>
      <c r="J735" s="305"/>
      <c r="K735" s="470"/>
    </row>
    <row r="736" hidden="1">
      <c r="A736" s="681">
        <f t="shared" si="30"/>
        <v>14</v>
      </c>
      <c r="B736" s="375" t="s">
        <v>2575</v>
      </c>
      <c r="C736" s="376"/>
      <c r="D736" s="377">
        <v>-150000.0</v>
      </c>
      <c r="E736" s="376"/>
      <c r="F736" s="377"/>
      <c r="G736" s="377">
        <v>-150000.0</v>
      </c>
      <c r="H736" s="466"/>
      <c r="I736" s="442"/>
      <c r="J736" s="467"/>
      <c r="K736" s="421"/>
    </row>
    <row r="737" hidden="1">
      <c r="A737" s="683">
        <f t="shared" si="30"/>
        <v>15</v>
      </c>
      <c r="B737" s="382" t="s">
        <v>2576</v>
      </c>
      <c r="C737" s="370"/>
      <c r="D737" s="445">
        <f>-2400000-200000</f>
        <v>-2600000</v>
      </c>
      <c r="E737" s="370"/>
      <c r="F737" s="445"/>
      <c r="G737" s="445">
        <v>-1200000.0</v>
      </c>
      <c r="H737" s="469"/>
      <c r="I737" s="304"/>
      <c r="J737" s="305"/>
      <c r="K737" s="470"/>
    </row>
    <row r="738" hidden="1">
      <c r="A738" s="681">
        <f>A742+1</f>
        <v>19</v>
      </c>
      <c r="B738" s="375" t="s">
        <v>2577</v>
      </c>
      <c r="C738" s="376"/>
      <c r="D738" s="377">
        <v>-2000000.0</v>
      </c>
      <c r="E738" s="376"/>
      <c r="F738" s="377"/>
      <c r="G738" s="377">
        <v>-2000000.0</v>
      </c>
      <c r="H738" s="466"/>
      <c r="I738" s="442"/>
      <c r="J738" s="471" t="s">
        <v>1440</v>
      </c>
      <c r="K738" s="421"/>
    </row>
    <row r="739" hidden="1">
      <c r="A739" s="559" t="s">
        <v>1441</v>
      </c>
      <c r="B739" s="560" t="s">
        <v>1442</v>
      </c>
      <c r="C739" s="561"/>
      <c r="D739" s="562"/>
      <c r="E739" s="722"/>
      <c r="F739" s="562"/>
      <c r="G739" s="562">
        <f>SUM(G740:G744)</f>
        <v>-2367652.03</v>
      </c>
      <c r="H739" s="565"/>
      <c r="I739" s="561"/>
      <c r="J739" s="569"/>
      <c r="K739" s="570"/>
    </row>
    <row r="740" hidden="1">
      <c r="A740" s="681">
        <f>A737+1</f>
        <v>16</v>
      </c>
      <c r="B740" s="375" t="s">
        <v>2578</v>
      </c>
      <c r="C740" s="376"/>
      <c r="D740" s="377">
        <v>0.0</v>
      </c>
      <c r="E740" s="376"/>
      <c r="F740" s="377"/>
      <c r="G740" s="377">
        <v>-200000.0</v>
      </c>
      <c r="H740" s="466"/>
      <c r="I740" s="442"/>
      <c r="J740" s="467"/>
      <c r="K740" s="421"/>
    </row>
    <row r="741" hidden="1">
      <c r="A741" s="683">
        <f t="shared" ref="A741:A742" si="31">A740+1</f>
        <v>17</v>
      </c>
      <c r="B741" s="382" t="s">
        <v>2579</v>
      </c>
      <c r="C741" s="370"/>
      <c r="D741" s="445">
        <v>0.0</v>
      </c>
      <c r="E741" s="370"/>
      <c r="F741" s="445"/>
      <c r="G741" s="445">
        <v>-350000.0</v>
      </c>
      <c r="H741" s="469"/>
      <c r="I741" s="304"/>
      <c r="J741" s="305"/>
      <c r="K741" s="470"/>
    </row>
    <row r="742" hidden="1">
      <c r="A742" s="681">
        <f t="shared" si="31"/>
        <v>18</v>
      </c>
      <c r="B742" s="375" t="s">
        <v>2580</v>
      </c>
      <c r="C742" s="376"/>
      <c r="D742" s="377">
        <v>0.0</v>
      </c>
      <c r="E742" s="376"/>
      <c r="F742" s="377"/>
      <c r="G742" s="377">
        <v>-1150000.0</v>
      </c>
      <c r="H742" s="466"/>
      <c r="I742" s="442"/>
      <c r="J742" s="467"/>
      <c r="K742" s="421"/>
    </row>
    <row r="743" hidden="1">
      <c r="A743" s="683">
        <f>A738+1</f>
        <v>20</v>
      </c>
      <c r="B743" s="382" t="s">
        <v>2581</v>
      </c>
      <c r="C743" s="370"/>
      <c r="D743" s="445">
        <v>0.0</v>
      </c>
      <c r="E743" s="370"/>
      <c r="F743" s="445"/>
      <c r="G743" s="445">
        <v>-347652.03</v>
      </c>
      <c r="H743" s="469"/>
      <c r="I743" s="304"/>
      <c r="J743" s="472" t="s">
        <v>1450</v>
      </c>
      <c r="K743" s="470"/>
    </row>
    <row r="744" hidden="1">
      <c r="A744" s="681">
        <f>A743+1</f>
        <v>21</v>
      </c>
      <c r="B744" s="375" t="s">
        <v>2582</v>
      </c>
      <c r="C744" s="376"/>
      <c r="D744" s="377">
        <f>450000+G744</f>
        <v>130000</v>
      </c>
      <c r="E744" s="376"/>
      <c r="F744" s="377"/>
      <c r="G744" s="377">
        <v>-320000.0</v>
      </c>
      <c r="H744" s="466"/>
      <c r="I744" s="442"/>
      <c r="J744" s="471" t="s">
        <v>1453</v>
      </c>
      <c r="K744" s="421"/>
    </row>
    <row r="745" hidden="1">
      <c r="A745" s="683"/>
      <c r="B745" s="611"/>
      <c r="C745" s="370"/>
      <c r="D745" s="445"/>
      <c r="E745" s="370"/>
      <c r="F745" s="445"/>
      <c r="G745" s="684"/>
      <c r="H745" s="727"/>
      <c r="I745" s="304"/>
      <c r="J745" s="305"/>
      <c r="K745" s="470"/>
    </row>
    <row r="746" hidden="1">
      <c r="A746" s="400"/>
      <c r="B746" s="401"/>
      <c r="C746" s="402"/>
      <c r="D746" s="403"/>
      <c r="E746" s="404"/>
      <c r="F746" s="405"/>
      <c r="G746" s="406"/>
      <c r="H746" s="522"/>
      <c r="I746" s="407"/>
      <c r="J746" s="404"/>
      <c r="K746" s="408"/>
    </row>
    <row r="747" hidden="1">
      <c r="A747" s="409"/>
      <c r="B747" s="410"/>
      <c r="C747" s="411"/>
      <c r="D747" s="412"/>
      <c r="E747" s="413"/>
      <c r="F747" s="414"/>
      <c r="G747" s="415"/>
      <c r="H747" s="520"/>
      <c r="I747" s="416"/>
      <c r="J747" s="413"/>
      <c r="K747" s="417"/>
    </row>
    <row r="748" hidden="1">
      <c r="A748" s="400"/>
      <c r="B748" s="401"/>
      <c r="C748" s="402"/>
      <c r="D748" s="403"/>
      <c r="E748" s="404"/>
      <c r="F748" s="405"/>
      <c r="G748" s="406"/>
      <c r="H748" s="522"/>
      <c r="I748" s="407"/>
      <c r="J748" s="404"/>
      <c r="K748" s="408"/>
    </row>
    <row r="749" hidden="1">
      <c r="A749" s="409"/>
      <c r="B749" s="410"/>
      <c r="C749" s="411"/>
      <c r="D749" s="412"/>
      <c r="E749" s="413"/>
      <c r="F749" s="414"/>
      <c r="G749" s="415"/>
      <c r="H749" s="520"/>
      <c r="I749" s="416"/>
      <c r="J749" s="413"/>
      <c r="K749" s="417"/>
    </row>
    <row r="750" hidden="1">
      <c r="A750" s="400"/>
      <c r="B750" s="401"/>
      <c r="C750" s="402"/>
      <c r="D750" s="403"/>
      <c r="E750" s="404"/>
      <c r="F750" s="405"/>
      <c r="G750" s="406"/>
      <c r="H750" s="522"/>
      <c r="I750" s="407"/>
      <c r="J750" s="404"/>
      <c r="K750" s="408"/>
    </row>
    <row r="751" hidden="1">
      <c r="A751" s="409"/>
      <c r="B751" s="410"/>
      <c r="C751" s="411"/>
      <c r="D751" s="412"/>
      <c r="E751" s="413"/>
      <c r="F751" s="414"/>
      <c r="G751" s="415"/>
      <c r="H751" s="520"/>
      <c r="I751" s="416"/>
      <c r="J751" s="413"/>
      <c r="K751" s="417"/>
    </row>
    <row r="752" hidden="1">
      <c r="A752" s="400"/>
      <c r="B752" s="401"/>
      <c r="C752" s="402"/>
      <c r="D752" s="403"/>
      <c r="E752" s="404"/>
      <c r="F752" s="405"/>
      <c r="G752" s="406"/>
      <c r="H752" s="522"/>
      <c r="I752" s="407"/>
      <c r="J752" s="404"/>
      <c r="K752" s="408"/>
    </row>
    <row r="753" hidden="1">
      <c r="A753" s="409"/>
      <c r="B753" s="410"/>
      <c r="C753" s="411"/>
      <c r="D753" s="412"/>
      <c r="E753" s="413"/>
      <c r="F753" s="414"/>
      <c r="G753" s="415"/>
      <c r="H753" s="520"/>
      <c r="I753" s="416"/>
      <c r="J753" s="413"/>
      <c r="K753" s="417"/>
    </row>
    <row r="754" hidden="1">
      <c r="A754" s="400"/>
      <c r="B754" s="401"/>
      <c r="C754" s="402"/>
      <c r="D754" s="403"/>
      <c r="E754" s="404"/>
      <c r="F754" s="405"/>
      <c r="G754" s="406"/>
      <c r="H754" s="522"/>
      <c r="I754" s="407"/>
      <c r="J754" s="404"/>
      <c r="K754" s="408"/>
    </row>
    <row r="755" hidden="1">
      <c r="A755" s="409"/>
      <c r="B755" s="410"/>
      <c r="C755" s="411"/>
      <c r="D755" s="412"/>
      <c r="E755" s="413"/>
      <c r="F755" s="414"/>
      <c r="G755" s="415"/>
      <c r="H755" s="520"/>
      <c r="I755" s="416"/>
      <c r="J755" s="413"/>
      <c r="K755" s="417"/>
    </row>
    <row r="756" hidden="1">
      <c r="A756" s="400"/>
      <c r="B756" s="401"/>
      <c r="C756" s="402"/>
      <c r="D756" s="403"/>
      <c r="E756" s="404"/>
      <c r="F756" s="405"/>
      <c r="G756" s="406"/>
      <c r="H756" s="522"/>
      <c r="I756" s="407"/>
      <c r="J756" s="404"/>
      <c r="K756" s="408"/>
    </row>
    <row r="757" hidden="1">
      <c r="A757" s="409"/>
      <c r="B757" s="410"/>
      <c r="C757" s="411"/>
      <c r="D757" s="412"/>
      <c r="E757" s="413"/>
      <c r="F757" s="414"/>
      <c r="G757" s="415"/>
      <c r="H757" s="520"/>
      <c r="I757" s="416"/>
      <c r="J757" s="413"/>
      <c r="K757" s="417"/>
    </row>
    <row r="758" hidden="1">
      <c r="A758" s="400"/>
      <c r="B758" s="401"/>
      <c r="C758" s="402"/>
      <c r="D758" s="403"/>
      <c r="E758" s="404"/>
      <c r="F758" s="405"/>
      <c r="G758" s="406"/>
      <c r="H758" s="522"/>
      <c r="I758" s="407"/>
      <c r="J758" s="404"/>
      <c r="K758" s="408"/>
    </row>
    <row r="759" hidden="1">
      <c r="A759" s="409"/>
      <c r="B759" s="410"/>
      <c r="C759" s="411"/>
      <c r="D759" s="412"/>
      <c r="E759" s="413"/>
      <c r="F759" s="414"/>
      <c r="G759" s="415"/>
      <c r="H759" s="520"/>
      <c r="I759" s="416"/>
      <c r="J759" s="413"/>
      <c r="K759" s="417"/>
    </row>
  </sheetData>
  <autoFilter ref="$A$1:$K$759">
    <filterColumn colId="7">
      <filters>
        <filter val="R$ 440,000.00"/>
        <filter val="R$ 274,000.00"/>
        <filter val="R$ 106,000.00"/>
        <filter val="R$ 576,000.00"/>
        <filter val="R$ 141,000.00"/>
        <filter val="R$ 82,000.00"/>
        <filter val="R$ 84,000.00"/>
        <filter val="R$ 595,000.00"/>
        <filter val="R$ 277,000.00"/>
        <filter val="R$ 272,000.00"/>
        <filter val="R$ 125,000.00"/>
        <filter val="R$ 162,000.00"/>
        <filter val="R$ 148,000.00"/>
        <filter val="R$ 160,000.00"/>
        <filter val="R$ 167,000.00"/>
        <filter val="R$ 168,000.00"/>
        <filter val="R$ 293,000.00"/>
        <filter val="R$ 1,500,000.00"/>
        <filter val="R$ 360,000.00"/>
        <filter val="R$ 309,000.00"/>
        <filter val="R$ 169,000.00"/>
        <filter val="R$ 198,000.00"/>
        <filter val="R$ 220,000.00"/>
        <filter val="R$ 934,000.00"/>
        <filter val="R$ 1,355,000.00"/>
        <filter val="R$ 206,000.00"/>
        <filter val="R$ 204,000.00"/>
        <filter val="R$ 185,000.00"/>
        <filter val="R$ 189,000.00"/>
        <filter val="R$ 99,000.00"/>
        <filter val="R$ 88,000.00"/>
        <filter val="R$ 235,000.00"/>
        <filter val="R$ 77,000.00"/>
        <filter val="R$ 532,000.00"/>
        <filter val="R$ 253,000.00"/>
        <filter val="R$ 10,631,378.60"/>
        <filter val="R$ 1,100,000.00"/>
        <filter val="R$ 416,000.00"/>
        <filter val="R$ 550,000.00"/>
        <filter val="R$ 131,000.00"/>
        <filter val="R$ 414,000.00"/>
        <filter val="R$ 301,000.00"/>
        <filter val="R$ 264,000.00"/>
        <filter val="R$ 581,000.00"/>
        <filter val="R$ 1,010,000.00"/>
        <filter val="R$ 209,000.00"/>
        <filter val="R$ 305,000.00"/>
        <filter val="R$ 39,288,378.60"/>
        <filter val="R$ 152,000.00"/>
        <filter val="R$ 156,000.00"/>
        <filter val="R$ 159,000.00"/>
        <filter val="R$ 326,000.00"/>
        <filter val="R$ 175,000.00"/>
        <filter val="R$ 199,000.00"/>
        <filter val="R$ 191,000.00"/>
        <filter val="R$ 182,000.00"/>
        <filter val="R$ 758,000.00"/>
        <filter val="R$ 214,000.00"/>
        <filter val="R$ 212,000.00"/>
        <filter val="R$ 354,000.00"/>
        <filter val="R$ 188,000.00"/>
        <filter val="R$ 225,000.00"/>
        <filter val="R$ 232,000.00"/>
        <filter val="R$ 850,000.00"/>
        <filter val="R$ 389,000.00"/>
        <filter val="R$ 236,000.00"/>
        <filter val="R$ 413,000.00"/>
        <filter val="R$ 241,000.00"/>
        <filter val="R$ 67,000.00"/>
        <filter val="R$ 385,000.00"/>
      </filters>
    </filterColumn>
  </autoFilter>
  <conditionalFormatting sqref="D1:D759">
    <cfRule type="cellIs" dxfId="4" priority="1" operator="lessThan">
      <formula>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outlineLevelRow="1"/>
  <cols>
    <col customWidth="1" min="1" max="1" width="5.13"/>
    <col customWidth="1" min="2" max="2" width="31.38"/>
    <col customWidth="1" min="3" max="3" width="15.13"/>
    <col customWidth="1" min="4" max="4" width="9.5"/>
    <col customWidth="1" min="5" max="6" width="17.0"/>
    <col customWidth="1" min="7" max="7" width="12.0"/>
    <col customWidth="1" min="8" max="8" width="17.0"/>
    <col customWidth="1" min="9" max="9" width="17.63"/>
    <col customWidth="1" min="10" max="11" width="17.0"/>
    <col customWidth="1" min="12" max="12" width="12.0"/>
  </cols>
  <sheetData>
    <row r="1">
      <c r="A1" s="579" t="s">
        <v>1326</v>
      </c>
      <c r="B1" s="581"/>
      <c r="C1" s="581"/>
      <c r="D1" s="581"/>
      <c r="E1" s="581"/>
      <c r="F1" s="581"/>
      <c r="G1" s="581"/>
      <c r="H1" s="581"/>
      <c r="I1" s="581"/>
      <c r="J1" s="581"/>
      <c r="K1" s="581"/>
      <c r="L1" s="581"/>
    </row>
    <row r="2" ht="36.0" customHeight="1">
      <c r="A2" s="585" t="s">
        <v>1328</v>
      </c>
    </row>
    <row r="3">
      <c r="A3" s="586"/>
      <c r="B3" s="586"/>
      <c r="C3" s="586"/>
      <c r="D3" s="586"/>
      <c r="E3" s="586"/>
      <c r="F3" s="586"/>
      <c r="G3" s="586"/>
      <c r="H3" s="586"/>
      <c r="I3" s="586"/>
      <c r="J3" s="586"/>
      <c r="K3" s="586"/>
      <c r="L3" s="586"/>
    </row>
    <row r="4" ht="33.75" customHeight="1">
      <c r="A4" s="587" t="s">
        <v>1329</v>
      </c>
      <c r="B4" s="587" t="s">
        <v>76</v>
      </c>
      <c r="C4" s="587" t="s">
        <v>1330</v>
      </c>
      <c r="D4" s="587" t="s">
        <v>93</v>
      </c>
      <c r="E4" s="587" t="s">
        <v>1331</v>
      </c>
      <c r="F4" s="587" t="s">
        <v>1332</v>
      </c>
      <c r="G4" s="587" t="s">
        <v>1334</v>
      </c>
      <c r="H4" s="587" t="s">
        <v>1335</v>
      </c>
      <c r="I4" s="587" t="s">
        <v>1336</v>
      </c>
      <c r="J4" s="587" t="s">
        <v>1337</v>
      </c>
      <c r="K4" s="587" t="s">
        <v>1338</v>
      </c>
      <c r="L4" s="587" t="s">
        <v>1339</v>
      </c>
    </row>
    <row r="5">
      <c r="A5" s="589">
        <v>1.0</v>
      </c>
      <c r="B5" s="590" t="s">
        <v>1340</v>
      </c>
      <c r="C5" s="590" t="s">
        <v>1342</v>
      </c>
      <c r="D5" s="591">
        <f>IF(ISNUMBER('11.Empreendimentos'!C95),N('11.Empreendimentos'!C96),0)</f>
        <v>14</v>
      </c>
      <c r="E5" s="592">
        <f>IF(ISNUMBER('11.Empreendimentos'!C95),'11.Empreendimentos'!C95,0)</f>
        <v>2800000</v>
      </c>
      <c r="F5" s="592">
        <f t="shared" ref="F5:F36" si="1">IF(D5=0,0,E5/D5)</f>
        <v>200000</v>
      </c>
      <c r="G5" s="591">
        <f>COUNTIF('11.Empreendimentos'!$G$97:$G$110,"&gt;0")</f>
        <v>11</v>
      </c>
      <c r="H5" s="592">
        <f>SUMIF('11.Empreendimentos'!$G$97:$G$110,"&gt;0")</f>
        <v>4031000</v>
      </c>
      <c r="I5" s="593">
        <f t="shared" ref="I5:I36" si="2">IF(G5=0,0,H5/G5)</f>
        <v>366454.5455</v>
      </c>
      <c r="J5" s="592">
        <f>IF(G5=0,0,MINIFS('11.Empreendimentos'!$G$97:$G$110,'11.Empreendimentos'!$G$97:$G$110,"&gt;0"))</f>
        <v>330000</v>
      </c>
      <c r="K5" s="592">
        <f>IF(G5=0,0,MAXIFS('11.Empreendimentos'!$G$97:$G$110,'11.Empreendimentos'!$G$97:$G$110,"&gt;0"))</f>
        <v>389000</v>
      </c>
      <c r="L5" s="595">
        <f t="shared" ref="L5:L36" si="3">IF(OR(F5=0,I5=0),0,I5/F5-1)</f>
        <v>0.8322727273</v>
      </c>
    </row>
    <row r="6">
      <c r="A6" s="589">
        <v>2.0</v>
      </c>
      <c r="B6" s="590" t="s">
        <v>1364</v>
      </c>
      <c r="C6" s="590" t="s">
        <v>1365</v>
      </c>
      <c r="D6" s="591">
        <f>IF(ISNUMBER('11.Empreendimentos'!C112),N('11.Empreendimentos'!C113),0)</f>
        <v>0</v>
      </c>
      <c r="E6" s="592">
        <f>IF(ISNUMBER('11.Empreendimentos'!C112),'11.Empreendimentos'!C112,0)</f>
        <v>0</v>
      </c>
      <c r="F6" s="592">
        <f t="shared" si="1"/>
        <v>0</v>
      </c>
      <c r="G6" s="591">
        <f>COUNTIF('11.Empreendimentos'!$G$114,"&gt;0")</f>
        <v>1</v>
      </c>
      <c r="H6" s="592">
        <f>SUMIF('11.Empreendimentos'!$G$114,"&gt;0")</f>
        <v>136000</v>
      </c>
      <c r="I6" s="593">
        <f t="shared" si="2"/>
        <v>136000</v>
      </c>
      <c r="J6" s="592">
        <f>IF(G6=0,0,MINIFS('11.Empreendimentos'!$G$114,'11.Empreendimentos'!$G$114,"&gt;0"))</f>
        <v>136000</v>
      </c>
      <c r="K6" s="592">
        <f>IF(G6=0,0,MAXIFS('11.Empreendimentos'!$G$114,'11.Empreendimentos'!$G$114,"&gt;0"))</f>
        <v>136000</v>
      </c>
      <c r="L6" s="595">
        <f t="shared" si="3"/>
        <v>0</v>
      </c>
    </row>
    <row r="7">
      <c r="A7" s="589">
        <v>3.0</v>
      </c>
      <c r="B7" s="590" t="s">
        <v>101</v>
      </c>
      <c r="C7" s="590" t="s">
        <v>1383</v>
      </c>
      <c r="D7" s="591">
        <f>IF(ISNUMBER('11.Empreendimentos'!C116),N('11.Empreendimentos'!C117),0)</f>
        <v>29</v>
      </c>
      <c r="E7" s="592">
        <f>IF(ISNUMBER('11.Empreendimentos'!C116),'11.Empreendimentos'!C116,0)</f>
        <v>4350000</v>
      </c>
      <c r="F7" s="592">
        <f t="shared" si="1"/>
        <v>150000</v>
      </c>
      <c r="G7" s="591">
        <f>COUNTIF('11.Empreendimentos'!$G$118:$G$119,"&gt;0")</f>
        <v>1</v>
      </c>
      <c r="H7" s="592">
        <f>SUMIF('11.Empreendimentos'!$G$118:$G$119,"&gt;0")</f>
        <v>629000</v>
      </c>
      <c r="I7" s="593">
        <f t="shared" si="2"/>
        <v>629000</v>
      </c>
      <c r="J7" s="592">
        <f>IF(G7=0,0,MINIFS('11.Empreendimentos'!$G$118:$G$119,'11.Empreendimentos'!$G$118:$G$119,"&gt;0"))</f>
        <v>629000</v>
      </c>
      <c r="K7" s="592">
        <f>IF(G7=0,0,MAXIFS('11.Empreendimentos'!$G$118:$G$119,'11.Empreendimentos'!$G$118:$G$119,"&gt;0"))</f>
        <v>629000</v>
      </c>
      <c r="L7" s="595">
        <f t="shared" si="3"/>
        <v>3.193333333</v>
      </c>
    </row>
    <row r="8">
      <c r="A8" s="589">
        <v>4.0</v>
      </c>
      <c r="B8" s="590" t="s">
        <v>1398</v>
      </c>
      <c r="C8" s="590" t="s">
        <v>1400</v>
      </c>
      <c r="D8" s="591">
        <f>IF(ISNUMBER('11.Empreendimentos'!C121),N('11.Empreendimentos'!C122),0)</f>
        <v>4</v>
      </c>
      <c r="E8" s="592">
        <f>IF(ISNUMBER('11.Empreendimentos'!C121),'11.Empreendimentos'!C121,0)</f>
        <v>1000000</v>
      </c>
      <c r="F8" s="592">
        <f t="shared" si="1"/>
        <v>250000</v>
      </c>
      <c r="G8" s="591">
        <f>COUNTIF('11.Empreendimentos'!$G$123:$G$126,"&gt;0")</f>
        <v>0</v>
      </c>
      <c r="H8" s="592">
        <f>SUMIF('11.Empreendimentos'!$G$123:$G$126,"&gt;0")</f>
        <v>0</v>
      </c>
      <c r="I8" s="593">
        <f t="shared" si="2"/>
        <v>0</v>
      </c>
      <c r="J8" s="592">
        <f>IF(G8=0,0,MINIFS('11.Empreendimentos'!$G$123:$G$126,'11.Empreendimentos'!$G$123:$G$126,"&gt;0"))</f>
        <v>0</v>
      </c>
      <c r="K8" s="592">
        <f>IF(G8=0,0,MAXIFS('11.Empreendimentos'!$G$123:$G$126,'11.Empreendimentos'!$G$123:$G$126,"&gt;0"))</f>
        <v>0</v>
      </c>
      <c r="L8" s="595">
        <f t="shared" si="3"/>
        <v>0</v>
      </c>
    </row>
    <row r="9">
      <c r="A9" s="589">
        <v>5.0</v>
      </c>
      <c r="B9" s="590" t="s">
        <v>1409</v>
      </c>
      <c r="C9" s="590" t="s">
        <v>1400</v>
      </c>
      <c r="D9" s="591">
        <f>IF(ISNUMBER('11.Empreendimentos'!C128),N('11.Empreendimentos'!C129),0)</f>
        <v>10</v>
      </c>
      <c r="E9" s="592">
        <f>IF(ISNUMBER('11.Empreendimentos'!C128),'11.Empreendimentos'!C128,0)</f>
        <v>1330000</v>
      </c>
      <c r="F9" s="592">
        <f t="shared" si="1"/>
        <v>133000</v>
      </c>
      <c r="G9" s="591">
        <f>COUNTIF('11.Empreendimentos'!$G$130:$G$135,"&gt;0")</f>
        <v>6</v>
      </c>
      <c r="H9" s="592">
        <f>SUMIF('11.Empreendimentos'!$G$130:$G$135,"&gt;0")</f>
        <v>1171000</v>
      </c>
      <c r="I9" s="593">
        <f t="shared" si="2"/>
        <v>195166.6667</v>
      </c>
      <c r="J9" s="592">
        <f>IF(G9=0,0,MINIFS('11.Empreendimentos'!$G$130:$G$135,'11.Empreendimentos'!$G$130:$G$135,"&gt;0"))</f>
        <v>169000</v>
      </c>
      <c r="K9" s="592">
        <f>IF(G9=0,0,MAXIFS('11.Empreendimentos'!$G$130:$G$135,'11.Empreendimentos'!$G$130:$G$135,"&gt;0"))</f>
        <v>232000</v>
      </c>
      <c r="L9" s="595">
        <f t="shared" si="3"/>
        <v>0.4674185464</v>
      </c>
    </row>
    <row r="10">
      <c r="A10" s="589">
        <v>6.0</v>
      </c>
      <c r="B10" s="590" t="s">
        <v>1435</v>
      </c>
      <c r="C10" s="590" t="s">
        <v>1400</v>
      </c>
      <c r="D10" s="591">
        <f>IF(ISNUMBER('11.Empreendimentos'!C137),N('11.Empreendimentos'!C138),0)</f>
        <v>20</v>
      </c>
      <c r="E10" s="592">
        <f>IF(ISNUMBER('11.Empreendimentos'!C137),'11.Empreendimentos'!C137,0)</f>
        <v>2000000</v>
      </c>
      <c r="F10" s="592">
        <f t="shared" si="1"/>
        <v>100000</v>
      </c>
      <c r="G10" s="591">
        <f>COUNTIF('11.Empreendimentos'!$G$139:$G$153,"&gt;0")</f>
        <v>15</v>
      </c>
      <c r="H10" s="592">
        <f>SUMIF('11.Empreendimentos'!$G$139:$G$153,"&gt;0")</f>
        <v>2647000</v>
      </c>
      <c r="I10" s="593">
        <f t="shared" si="2"/>
        <v>176466.6667</v>
      </c>
      <c r="J10" s="592">
        <f>IF(G10=0,0,MINIFS('11.Empreendimentos'!$G$139:$G$153,'11.Empreendimentos'!$G$139:$G$153,"&gt;0"))</f>
        <v>152000</v>
      </c>
      <c r="K10" s="592">
        <f>IF(G10=0,0,MAXIFS('11.Empreendimentos'!$G$139:$G$153,'11.Empreendimentos'!$G$139:$G$153,"&gt;0"))</f>
        <v>220000</v>
      </c>
      <c r="L10" s="595">
        <f t="shared" si="3"/>
        <v>0.7646666667</v>
      </c>
    </row>
    <row r="11">
      <c r="A11" s="589">
        <v>7.0</v>
      </c>
      <c r="B11" s="590" t="s">
        <v>1451</v>
      </c>
      <c r="C11" s="590" t="s">
        <v>1400</v>
      </c>
      <c r="D11" s="591">
        <f>IF(ISNUMBER('11.Empreendimentos'!C155),N('11.Empreendimentos'!C156),0)</f>
        <v>23</v>
      </c>
      <c r="E11" s="592">
        <f>IF(ISNUMBER('11.Empreendimentos'!C155),'11.Empreendimentos'!C155,0)</f>
        <v>2460000</v>
      </c>
      <c r="F11" s="592">
        <f t="shared" si="1"/>
        <v>106956.5217</v>
      </c>
      <c r="G11" s="591">
        <f>COUNTIF('11.Empreendimentos'!$G$157:$G$169,"&gt;0")</f>
        <v>13</v>
      </c>
      <c r="H11" s="592">
        <f>SUMIF('11.Empreendimentos'!$G$157:$G$169,"&gt;0")</f>
        <v>2585000</v>
      </c>
      <c r="I11" s="593">
        <f t="shared" si="2"/>
        <v>198846.1538</v>
      </c>
      <c r="J11" s="592">
        <f>IF(G11=0,0,MINIFS('11.Empreendimentos'!$G$157:$G$169,'11.Empreendimentos'!$G$157:$G$169,"&gt;0"))</f>
        <v>149000</v>
      </c>
      <c r="K11" s="592">
        <f>IF(G11=0,0,MAXIFS('11.Empreendimentos'!$G$157:$G$169,'11.Empreendimentos'!$G$157:$G$169,"&gt;0"))</f>
        <v>437000</v>
      </c>
      <c r="L11" s="595">
        <f t="shared" si="3"/>
        <v>0.8591307067</v>
      </c>
    </row>
    <row r="12">
      <c r="A12" s="589">
        <v>8.0</v>
      </c>
      <c r="B12" s="590" t="s">
        <v>1457</v>
      </c>
      <c r="C12" s="590" t="s">
        <v>1400</v>
      </c>
      <c r="D12" s="591">
        <f>IF(ISNUMBER('11.Empreendimentos'!C171),N('11.Empreendimentos'!C172),0)</f>
        <v>36</v>
      </c>
      <c r="E12" s="592">
        <f>IF(ISNUMBER('11.Empreendimentos'!C171),'11.Empreendimentos'!C171,0)</f>
        <v>5160000</v>
      </c>
      <c r="F12" s="592">
        <f t="shared" si="1"/>
        <v>143333.3333</v>
      </c>
      <c r="G12" s="591">
        <f>COUNTIF('11.Empreendimentos'!$G$173:$G$206,"&gt;0")</f>
        <v>26</v>
      </c>
      <c r="H12" s="592">
        <f>SUMIF('11.Empreendimentos'!$G$173:$G$206,"&gt;0")</f>
        <v>8374000</v>
      </c>
      <c r="I12" s="593">
        <f t="shared" si="2"/>
        <v>322076.9231</v>
      </c>
      <c r="J12" s="592">
        <f>IF(G12=0,0,MINIFS('11.Empreendimentos'!$G$173:$G$206,'11.Empreendimentos'!$G$173:$G$206,"&gt;0"))</f>
        <v>189000</v>
      </c>
      <c r="K12" s="592">
        <f>IF(G12=0,0,MAXIFS('11.Empreendimentos'!$G$173:$G$206,'11.Empreendimentos'!$G$173:$G$206,"&gt;0"))</f>
        <v>440000</v>
      </c>
      <c r="L12" s="595">
        <f t="shared" si="3"/>
        <v>1.247048301</v>
      </c>
    </row>
    <row r="13">
      <c r="A13" s="589">
        <v>9.0</v>
      </c>
      <c r="B13" s="590" t="s">
        <v>1459</v>
      </c>
      <c r="C13" s="590" t="s">
        <v>1400</v>
      </c>
      <c r="D13" s="591">
        <f>IF(ISNUMBER('11.Empreendimentos'!C208),N('11.Empreendimentos'!C209),0)</f>
        <v>105</v>
      </c>
      <c r="E13" s="592">
        <f>IF(ISNUMBER('11.Empreendimentos'!C208),'11.Empreendimentos'!C208,0)</f>
        <v>9450000</v>
      </c>
      <c r="F13" s="592">
        <f t="shared" si="1"/>
        <v>90000</v>
      </c>
      <c r="G13" s="591">
        <f>COUNTIF('11.Empreendimentos'!$G$210:$G$315,"&gt;0")</f>
        <v>102</v>
      </c>
      <c r="H13" s="592">
        <f>SUMIF('11.Empreendimentos'!$G$210:$G$315,"&gt;0")</f>
        <v>20181000</v>
      </c>
      <c r="I13" s="593">
        <f t="shared" si="2"/>
        <v>197852.9412</v>
      </c>
      <c r="J13" s="592">
        <f>IF(G13=0,0,MINIFS('11.Empreendimentos'!$G$210:$G$315,'11.Empreendimentos'!$G$210:$G$315,"&gt;0"))</f>
        <v>162000</v>
      </c>
      <c r="K13" s="592">
        <f>IF(G13=0,0,MAXIFS('11.Empreendimentos'!$G$210:$G$315,'11.Empreendimentos'!$G$210:$G$315,"&gt;0"))</f>
        <v>310000</v>
      </c>
      <c r="L13" s="595">
        <f t="shared" si="3"/>
        <v>1.198366013</v>
      </c>
    </row>
    <row r="14">
      <c r="A14" s="589">
        <v>10.0</v>
      </c>
      <c r="B14" s="590" t="s">
        <v>1461</v>
      </c>
      <c r="C14" s="590" t="s">
        <v>1400</v>
      </c>
      <c r="D14" s="591">
        <f>IF(ISNUMBER('11.Empreendimentos'!C317),N('11.Empreendimentos'!C318),0)</f>
        <v>39</v>
      </c>
      <c r="E14" s="592">
        <f>IF(ISNUMBER('11.Empreendimentos'!C317),'11.Empreendimentos'!C317,0)</f>
        <v>9510000</v>
      </c>
      <c r="F14" s="592">
        <f t="shared" si="1"/>
        <v>243846.1538</v>
      </c>
      <c r="G14" s="591">
        <f>COUNTIF('11.Empreendimentos'!$G$319:$G$349,"&gt;0")</f>
        <v>31</v>
      </c>
      <c r="H14" s="592">
        <f>SUMIF('11.Empreendimentos'!$G$319:$G$349,"&gt;0")</f>
        <v>10985000</v>
      </c>
      <c r="I14" s="593">
        <f t="shared" si="2"/>
        <v>354354.8387</v>
      </c>
      <c r="J14" s="592">
        <f>IF(G14=0,0,MINIFS('11.Empreendimentos'!$G$319:$G$349,'11.Empreendimentos'!$G$319:$G$349,"&gt;0"))</f>
        <v>273000</v>
      </c>
      <c r="K14" s="592">
        <f>IF(G14=0,0,MAXIFS('11.Empreendimentos'!$G$319:$G$349,'11.Empreendimentos'!$G$319:$G$349,"&gt;0"))</f>
        <v>943000</v>
      </c>
      <c r="L14" s="595">
        <f t="shared" si="3"/>
        <v>0.4531901903</v>
      </c>
    </row>
    <row r="15">
      <c r="A15" s="589">
        <v>11.0</v>
      </c>
      <c r="B15" s="590" t="s">
        <v>1463</v>
      </c>
      <c r="C15" s="590" t="s">
        <v>1464</v>
      </c>
      <c r="D15" s="591">
        <f>IF(ISNUMBER('11.Empreendimentos'!C351),N('11.Empreendimentos'!C352),0)</f>
        <v>1</v>
      </c>
      <c r="E15" s="592">
        <f>IF(ISNUMBER('11.Empreendimentos'!C351),'11.Empreendimentos'!C351,0)</f>
        <v>110000</v>
      </c>
      <c r="F15" s="592">
        <f t="shared" si="1"/>
        <v>110000</v>
      </c>
      <c r="G15" s="591">
        <f>COUNTIF('11.Empreendimentos'!$G$353,"&gt;0")</f>
        <v>1</v>
      </c>
      <c r="H15" s="592">
        <f>SUMIF('11.Empreendimentos'!$G$353,"&gt;0")</f>
        <v>241000</v>
      </c>
      <c r="I15" s="593">
        <f t="shared" si="2"/>
        <v>241000</v>
      </c>
      <c r="J15" s="592">
        <f>IF(G15=0,0,MINIFS('11.Empreendimentos'!$G$353,'11.Empreendimentos'!$G$353,"&gt;0"))</f>
        <v>241000</v>
      </c>
      <c r="K15" s="592">
        <f>IF(G15=0,0,MAXIFS('11.Empreendimentos'!$G$353,'11.Empreendimentos'!$G$353,"&gt;0"))</f>
        <v>241000</v>
      </c>
      <c r="L15" s="595">
        <f t="shared" si="3"/>
        <v>1.190909091</v>
      </c>
    </row>
    <row r="16">
      <c r="A16" s="589">
        <v>12.0</v>
      </c>
      <c r="B16" s="590" t="s">
        <v>1466</v>
      </c>
      <c r="C16" s="590" t="s">
        <v>1464</v>
      </c>
      <c r="D16" s="591">
        <f>IF(ISNUMBER('11.Empreendimentos'!C355),N('11.Empreendimentos'!C356),0)</f>
        <v>15</v>
      </c>
      <c r="E16" s="592">
        <f>IF(ISNUMBER('11.Empreendimentos'!C355),'11.Empreendimentos'!C355,0)</f>
        <v>1800000</v>
      </c>
      <c r="F16" s="592">
        <f t="shared" si="1"/>
        <v>120000</v>
      </c>
      <c r="G16" s="591">
        <f>COUNTIF('11.Empreendimentos'!$G$357:$G$361,"&gt;0")</f>
        <v>5</v>
      </c>
      <c r="H16" s="592">
        <f>SUMIF('11.Empreendimentos'!$G$357:$G$361,"&gt;0")</f>
        <v>1419000</v>
      </c>
      <c r="I16" s="593">
        <f t="shared" si="2"/>
        <v>283800</v>
      </c>
      <c r="J16" s="592">
        <f>IF(G16=0,0,MINIFS('11.Empreendimentos'!$G$357:$G$361,'11.Empreendimentos'!$G$357:$G$361,"&gt;0"))</f>
        <v>262000</v>
      </c>
      <c r="K16" s="592">
        <f>IF(G16=0,0,MAXIFS('11.Empreendimentos'!$G$357:$G$361,'11.Empreendimentos'!$G$357:$G$361,"&gt;0"))</f>
        <v>304000</v>
      </c>
      <c r="L16" s="595">
        <f t="shared" si="3"/>
        <v>1.365</v>
      </c>
    </row>
    <row r="17">
      <c r="A17" s="589">
        <v>13.0</v>
      </c>
      <c r="B17" s="590" t="s">
        <v>1468</v>
      </c>
      <c r="C17" s="590" t="s">
        <v>1365</v>
      </c>
      <c r="D17" s="591">
        <f>IF(ISNUMBER('11.Empreendimentos'!C363),N('11.Empreendimentos'!C364),0)</f>
        <v>14</v>
      </c>
      <c r="E17" s="592">
        <f>IF(ISNUMBER('11.Empreendimentos'!C363),'11.Empreendimentos'!C363,0)</f>
        <v>1260000</v>
      </c>
      <c r="F17" s="592">
        <f t="shared" si="1"/>
        <v>90000</v>
      </c>
      <c r="G17" s="591">
        <f>COUNTIF('11.Empreendimentos'!$G$365:$G$378,"&gt;0")</f>
        <v>14</v>
      </c>
      <c r="H17" s="592">
        <f>SUMIF('11.Empreendimentos'!$G$365:$G$378,"&gt;0")</f>
        <v>2180000</v>
      </c>
      <c r="I17" s="593">
        <f t="shared" si="2"/>
        <v>155714.2857</v>
      </c>
      <c r="J17" s="592">
        <f>IF(G17=0,0,MINIFS('11.Empreendimentos'!$G$365:$G$378,'11.Empreendimentos'!$G$365:$G$378,"&gt;0"))</f>
        <v>125000</v>
      </c>
      <c r="K17" s="592">
        <f>IF(G17=0,0,MAXIFS('11.Empreendimentos'!$G$365:$G$378,'11.Empreendimentos'!$G$365:$G$378,"&gt;0"))</f>
        <v>220000</v>
      </c>
      <c r="L17" s="595">
        <f t="shared" si="3"/>
        <v>0.7301587302</v>
      </c>
    </row>
    <row r="18">
      <c r="A18" s="589">
        <v>14.0</v>
      </c>
      <c r="B18" s="590" t="s">
        <v>1469</v>
      </c>
      <c r="C18" s="590" t="s">
        <v>1365</v>
      </c>
      <c r="D18" s="591">
        <f>IF(ISNUMBER('11.Empreendimentos'!C380),N('11.Empreendimentos'!C381),0)</f>
        <v>17</v>
      </c>
      <c r="E18" s="592">
        <f>IF(ISNUMBER('11.Empreendimentos'!C380),'11.Empreendimentos'!C380,0)</f>
        <v>1530000</v>
      </c>
      <c r="F18" s="592">
        <f t="shared" si="1"/>
        <v>90000</v>
      </c>
      <c r="G18" s="591">
        <f>COUNTIF('11.Empreendimentos'!$G$382:$G$384,"&gt;0")</f>
        <v>3</v>
      </c>
      <c r="H18" s="592">
        <f>SUMIF('11.Empreendimentos'!$G$382:$G$384,"&gt;0")</f>
        <v>617000</v>
      </c>
      <c r="I18" s="593">
        <f t="shared" si="2"/>
        <v>205666.6667</v>
      </c>
      <c r="J18" s="592">
        <f>IF(G18=0,0,MINIFS('11.Empreendimentos'!$G$382:$G$384,'11.Empreendimentos'!$G$382:$G$384,"&gt;0"))</f>
        <v>188000</v>
      </c>
      <c r="K18" s="592">
        <f>IF(G18=0,0,MAXIFS('11.Empreendimentos'!$G$382:$G$384,'11.Empreendimentos'!$G$382:$G$384,"&gt;0"))</f>
        <v>241000</v>
      </c>
      <c r="L18" s="595">
        <f t="shared" si="3"/>
        <v>1.285185185</v>
      </c>
    </row>
    <row r="19">
      <c r="A19" s="589">
        <v>15.0</v>
      </c>
      <c r="B19" s="590" t="s">
        <v>1470</v>
      </c>
      <c r="C19" s="590" t="s">
        <v>1365</v>
      </c>
      <c r="D19" s="591">
        <f>IF(ISNUMBER('11.Empreendimentos'!C386),N('11.Empreendimentos'!C387),0)</f>
        <v>20</v>
      </c>
      <c r="E19" s="592">
        <f>IF(ISNUMBER('11.Empreendimentos'!C386),'11.Empreendimentos'!C386,0)</f>
        <v>2600000</v>
      </c>
      <c r="F19" s="592">
        <f t="shared" si="1"/>
        <v>130000</v>
      </c>
      <c r="G19" s="591">
        <f>COUNTIF('11.Empreendimentos'!$G$388:$G$391,"&gt;0")</f>
        <v>4</v>
      </c>
      <c r="H19" s="592">
        <f>SUMIF('11.Empreendimentos'!$G$388:$G$391,"&gt;0")</f>
        <v>822000</v>
      </c>
      <c r="I19" s="593">
        <f t="shared" si="2"/>
        <v>205500</v>
      </c>
      <c r="J19" s="592">
        <f>IF(G19=0,0,MINIFS('11.Empreendimentos'!$G$388:$G$391,'11.Empreendimentos'!$G$388:$G$391,"&gt;0"))</f>
        <v>170000</v>
      </c>
      <c r="K19" s="592">
        <f>IF(G19=0,0,MAXIFS('11.Empreendimentos'!$G$388:$G$391,'11.Empreendimentos'!$G$388:$G$391,"&gt;0"))</f>
        <v>241000</v>
      </c>
      <c r="L19" s="595">
        <f t="shared" si="3"/>
        <v>0.5807692308</v>
      </c>
    </row>
    <row r="20">
      <c r="A20" s="589">
        <v>16.0</v>
      </c>
      <c r="B20" s="590" t="s">
        <v>1471</v>
      </c>
      <c r="C20" s="590" t="s">
        <v>1472</v>
      </c>
      <c r="D20" s="591">
        <f>IF(ISNUMBER('11.Empreendimentos'!C393),N('11.Empreendimentos'!C394),0)</f>
        <v>1</v>
      </c>
      <c r="E20" s="592">
        <f>IF(ISNUMBER('11.Empreendimentos'!C393),'11.Empreendimentos'!C393,0)</f>
        <v>60000</v>
      </c>
      <c r="F20" s="592">
        <f t="shared" si="1"/>
        <v>60000</v>
      </c>
      <c r="G20" s="591">
        <f>COUNTIF('11.Empreendimentos'!$G$395,"&gt;0")</f>
        <v>1</v>
      </c>
      <c r="H20" s="592">
        <f>SUMIF('11.Empreendimentos'!$G$395,"&gt;0")</f>
        <v>142000</v>
      </c>
      <c r="I20" s="593">
        <f t="shared" si="2"/>
        <v>142000</v>
      </c>
      <c r="J20" s="592">
        <f>IF(G20=0,0,MINIFS('11.Empreendimentos'!$G$395,'11.Empreendimentos'!$G$395,"&gt;0"))</f>
        <v>142000</v>
      </c>
      <c r="K20" s="592">
        <f>IF(G20=0,0,MAXIFS('11.Empreendimentos'!$G$395,'11.Empreendimentos'!$G$395,"&gt;0"))</f>
        <v>142000</v>
      </c>
      <c r="L20" s="595">
        <f t="shared" si="3"/>
        <v>1.366666667</v>
      </c>
    </row>
    <row r="21">
      <c r="A21" s="589">
        <v>17.0</v>
      </c>
      <c r="B21" s="590" t="s">
        <v>1474</v>
      </c>
      <c r="C21" s="590" t="s">
        <v>1475</v>
      </c>
      <c r="D21" s="591">
        <f>IF(ISNUMBER('11.Empreendimentos'!C397),N('11.Empreendimentos'!C398),0)</f>
        <v>5</v>
      </c>
      <c r="E21" s="592">
        <f>IF(ISNUMBER('11.Empreendimentos'!C397),'11.Empreendimentos'!C397,0)</f>
        <v>375000</v>
      </c>
      <c r="F21" s="592">
        <f t="shared" si="1"/>
        <v>75000</v>
      </c>
      <c r="G21" s="591">
        <f>COUNTIF('11.Empreendimentos'!$G$399:$G$402,"&gt;0")</f>
        <v>4</v>
      </c>
      <c r="H21" s="592">
        <f>SUMIF('11.Empreendimentos'!$G$399:$G$402,"&gt;0")</f>
        <v>650000</v>
      </c>
      <c r="I21" s="593">
        <f t="shared" si="2"/>
        <v>162500</v>
      </c>
      <c r="J21" s="592">
        <f>IF(G21=0,0,MINIFS('11.Empreendimentos'!$G$399:$G$402,'11.Empreendimentos'!$G$399:$G$402,"&gt;0"))</f>
        <v>148000</v>
      </c>
      <c r="K21" s="592">
        <f>IF(G21=0,0,MAXIFS('11.Empreendimentos'!$G$399:$G$402,'11.Empreendimentos'!$G$399:$G$402,"&gt;0"))</f>
        <v>178000</v>
      </c>
      <c r="L21" s="595">
        <f t="shared" si="3"/>
        <v>1.166666667</v>
      </c>
    </row>
    <row r="22">
      <c r="A22" s="589">
        <v>18.0</v>
      </c>
      <c r="B22" s="590" t="s">
        <v>1477</v>
      </c>
      <c r="C22" s="590" t="s">
        <v>1478</v>
      </c>
      <c r="D22" s="591">
        <f>IF(ISNUMBER('11.Empreendimentos'!C404),N('11.Empreendimentos'!C405),0)</f>
        <v>27</v>
      </c>
      <c r="E22" s="592">
        <f>IF(ISNUMBER('11.Empreendimentos'!C404),'11.Empreendimentos'!C404,0)</f>
        <v>8650000</v>
      </c>
      <c r="F22" s="592">
        <f t="shared" si="1"/>
        <v>320370.3704</v>
      </c>
      <c r="G22" s="591">
        <f>COUNTIF('11.Empreendimentos'!$G$406:$G$418,"&gt;0")</f>
        <v>5</v>
      </c>
      <c r="H22" s="592">
        <f>SUMIF('11.Empreendimentos'!$G$406:$G$418,"&gt;0")</f>
        <v>4021000</v>
      </c>
      <c r="I22" s="593">
        <f t="shared" si="2"/>
        <v>804200</v>
      </c>
      <c r="J22" s="592">
        <f>IF(G22=0,0,MINIFS('11.Empreendimentos'!$G$406:$G$418,'11.Empreendimentos'!$G$406:$G$418,"&gt;0"))</f>
        <v>720000</v>
      </c>
      <c r="K22" s="592">
        <f>IF(G22=0,0,MAXIFS('11.Empreendimentos'!$G$406:$G$418,'11.Empreendimentos'!$G$406:$G$418,"&gt;0"))</f>
        <v>879000</v>
      </c>
      <c r="L22" s="595">
        <f t="shared" si="3"/>
        <v>1.510219653</v>
      </c>
    </row>
    <row r="23">
      <c r="A23" s="589">
        <v>19.0</v>
      </c>
      <c r="B23" s="590" t="s">
        <v>1480</v>
      </c>
      <c r="C23" s="590" t="s">
        <v>1481</v>
      </c>
      <c r="D23" s="591">
        <f>IF(ISNUMBER('11.Empreendimentos'!C420),N('11.Empreendimentos'!C421),0)</f>
        <v>10</v>
      </c>
      <c r="E23" s="592">
        <f>IF(ISNUMBER('11.Empreendimentos'!C420),'11.Empreendimentos'!C420,0)</f>
        <v>2570000</v>
      </c>
      <c r="F23" s="592">
        <f t="shared" si="1"/>
        <v>257000</v>
      </c>
      <c r="G23" s="591">
        <f>COUNTIF('11.Empreendimentos'!$G$422:$G$424,"&gt;0")</f>
        <v>3</v>
      </c>
      <c r="H23" s="592">
        <f>SUMIF('11.Empreendimentos'!$G$422:$G$424,"&gt;0")</f>
        <v>4560000</v>
      </c>
      <c r="I23" s="593">
        <f t="shared" si="2"/>
        <v>1520000</v>
      </c>
      <c r="J23" s="592">
        <f>IF(G23=0,0,MINIFS('11.Empreendimentos'!$G$422:$G$424,'11.Empreendimentos'!$G$422:$G$424,"&gt;0"))</f>
        <v>1520000</v>
      </c>
      <c r="K23" s="592">
        <f>IF(G23=0,0,MAXIFS('11.Empreendimentos'!$G$422:$G$424,'11.Empreendimentos'!$G$422:$G$424,"&gt;0"))</f>
        <v>1520000</v>
      </c>
      <c r="L23" s="595">
        <f t="shared" si="3"/>
        <v>4.914396887</v>
      </c>
    </row>
    <row r="24">
      <c r="A24" s="589">
        <v>20.0</v>
      </c>
      <c r="B24" s="590" t="s">
        <v>1482</v>
      </c>
      <c r="C24" s="590" t="s">
        <v>1481</v>
      </c>
      <c r="D24" s="591">
        <f>IF(ISNUMBER('11.Empreendimentos'!C426),N('11.Empreendimentos'!C427),0)</f>
        <v>30</v>
      </c>
      <c r="E24" s="592">
        <f>IF(ISNUMBER('11.Empreendimentos'!C426),'11.Empreendimentos'!C426,0)</f>
        <v>3300000</v>
      </c>
      <c r="F24" s="592">
        <f t="shared" si="1"/>
        <v>110000</v>
      </c>
      <c r="G24" s="591">
        <f>COUNTIF('11.Empreendimentos'!$G$428:$G$438,"&gt;0")</f>
        <v>8</v>
      </c>
      <c r="H24" s="592">
        <f>SUMIF('11.Empreendimentos'!$G$428:$G$438,"&gt;0")</f>
        <v>2080000</v>
      </c>
      <c r="I24" s="593">
        <f t="shared" si="2"/>
        <v>260000</v>
      </c>
      <c r="J24" s="592">
        <f>IF(G24=0,0,MINIFS('11.Empreendimentos'!$G$428:$G$438,'11.Empreendimentos'!$G$428:$G$438,"&gt;0"))</f>
        <v>253000</v>
      </c>
      <c r="K24" s="592">
        <f>IF(G24=0,0,MAXIFS('11.Empreendimentos'!$G$428:$G$438,'11.Empreendimentos'!$G$428:$G$438,"&gt;0"))</f>
        <v>266000</v>
      </c>
      <c r="L24" s="595">
        <f t="shared" si="3"/>
        <v>1.363636364</v>
      </c>
    </row>
    <row r="25">
      <c r="A25" s="589">
        <v>21.0</v>
      </c>
      <c r="B25" s="590" t="s">
        <v>1484</v>
      </c>
      <c r="C25" s="590" t="s">
        <v>1481</v>
      </c>
      <c r="D25" s="591">
        <f>IF(ISNUMBER('11.Empreendimentos'!C440),N('11.Empreendimentos'!C441),0)</f>
        <v>15</v>
      </c>
      <c r="E25" s="592">
        <f>IF(ISNUMBER('11.Empreendimentos'!C440),'11.Empreendimentos'!C440,0)</f>
        <v>1500000</v>
      </c>
      <c r="F25" s="592">
        <f t="shared" si="1"/>
        <v>100000</v>
      </c>
      <c r="G25" s="591">
        <f>COUNTIF('11.Empreendimentos'!$G$442:$G$450,"&gt;0")</f>
        <v>8</v>
      </c>
      <c r="H25" s="592">
        <f>SUMIF('11.Empreendimentos'!$G$442:$G$450,"&gt;0")</f>
        <v>1790000</v>
      </c>
      <c r="I25" s="593">
        <f t="shared" si="2"/>
        <v>223750</v>
      </c>
      <c r="J25" s="592">
        <f>IF(G25=0,0,MINIFS('11.Empreendimentos'!$G$442:$G$450,'11.Empreendimentos'!$G$442:$G$450,"&gt;0"))</f>
        <v>102000</v>
      </c>
      <c r="K25" s="592">
        <f>IF(G25=0,0,MAXIFS('11.Empreendimentos'!$G$442:$G$450,'11.Empreendimentos'!$G$442:$G$450,"&gt;0"))</f>
        <v>385000</v>
      </c>
      <c r="L25" s="595">
        <f t="shared" si="3"/>
        <v>1.2375</v>
      </c>
    </row>
    <row r="26">
      <c r="A26" s="589">
        <v>22.0</v>
      </c>
      <c r="B26" s="590" t="s">
        <v>1485</v>
      </c>
      <c r="C26" s="590" t="s">
        <v>1481</v>
      </c>
      <c r="D26" s="591">
        <f>IF(ISNUMBER('11.Empreendimentos'!C452),N('11.Empreendimentos'!C453),0)</f>
        <v>2</v>
      </c>
      <c r="E26" s="592">
        <f>IF(ISNUMBER('11.Empreendimentos'!C452),'11.Empreendimentos'!C452,0)</f>
        <v>160000</v>
      </c>
      <c r="F26" s="592">
        <f t="shared" si="1"/>
        <v>80000</v>
      </c>
      <c r="G26" s="591">
        <f>COUNTIF('11.Empreendimentos'!$G$454:$G$456,"&gt;0")</f>
        <v>1</v>
      </c>
      <c r="H26" s="592">
        <f>SUMIF('11.Empreendimentos'!$G$454:$G$456,"&gt;0")</f>
        <v>148000</v>
      </c>
      <c r="I26" s="593">
        <f t="shared" si="2"/>
        <v>148000</v>
      </c>
      <c r="J26" s="592">
        <f>IF(G26=0,0,MINIFS('11.Empreendimentos'!$G$454:$G$456,'11.Empreendimentos'!$G$454:$G$456,"&gt;0"))</f>
        <v>148000</v>
      </c>
      <c r="K26" s="592">
        <f>IF(G26=0,0,MAXIFS('11.Empreendimentos'!$G$454:$G$456,'11.Empreendimentos'!$G$454:$G$456,"&gt;0"))</f>
        <v>148000</v>
      </c>
      <c r="L26" s="595">
        <f t="shared" si="3"/>
        <v>0.85</v>
      </c>
    </row>
    <row r="27">
      <c r="A27" s="589">
        <v>23.0</v>
      </c>
      <c r="B27" s="590" t="s">
        <v>1487</v>
      </c>
      <c r="C27" s="590" t="s">
        <v>1481</v>
      </c>
      <c r="D27" s="591">
        <f>IF(ISNUMBER('11.Empreendimentos'!C458),N('11.Empreendimentos'!C459),0)</f>
        <v>2</v>
      </c>
      <c r="E27" s="592">
        <f>IF(ISNUMBER('11.Empreendimentos'!C458),'11.Empreendimentos'!C458,0)</f>
        <v>90000</v>
      </c>
      <c r="F27" s="592">
        <f t="shared" si="1"/>
        <v>45000</v>
      </c>
      <c r="G27" s="591">
        <f>COUNTIF('11.Empreendimentos'!$G$460,"&gt;0")</f>
        <v>1</v>
      </c>
      <c r="H27" s="592">
        <f>SUMIF('11.Empreendimentos'!$G$460,"&gt;0")</f>
        <v>157000</v>
      </c>
      <c r="I27" s="593">
        <f t="shared" si="2"/>
        <v>157000</v>
      </c>
      <c r="J27" s="592">
        <f>IF(G27=0,0,MINIFS('11.Empreendimentos'!$G$460,'11.Empreendimentos'!$G$460,"&gt;0"))</f>
        <v>157000</v>
      </c>
      <c r="K27" s="592">
        <f>IF(G27=0,0,MAXIFS('11.Empreendimentos'!$G$460,'11.Empreendimentos'!$G$460,"&gt;0"))</f>
        <v>157000</v>
      </c>
      <c r="L27" s="595">
        <f t="shared" si="3"/>
        <v>2.488888889</v>
      </c>
    </row>
    <row r="28">
      <c r="A28" s="589">
        <v>24.0</v>
      </c>
      <c r="B28" s="590" t="s">
        <v>1489</v>
      </c>
      <c r="C28" s="590" t="s">
        <v>1481</v>
      </c>
      <c r="D28" s="591">
        <f>IF(ISNUMBER('11.Empreendimentos'!C462),N('11.Empreendimentos'!C463),0)</f>
        <v>11</v>
      </c>
      <c r="E28" s="592">
        <f>IF(ISNUMBER('11.Empreendimentos'!C462),'11.Empreendimentos'!C462,0)</f>
        <v>8800000</v>
      </c>
      <c r="F28" s="592">
        <f t="shared" si="1"/>
        <v>800000</v>
      </c>
      <c r="G28" s="591">
        <f>COUNTIF('11.Empreendimentos'!$G$464:$G$468,"&gt;0")</f>
        <v>4</v>
      </c>
      <c r="H28" s="592">
        <f>SUMIF('11.Empreendimentos'!$G$464:$G$468,"&gt;0")</f>
        <v>5420000</v>
      </c>
      <c r="I28" s="593">
        <f t="shared" si="2"/>
        <v>1355000</v>
      </c>
      <c r="J28" s="592">
        <f>IF(G28=0,0,MINIFS('11.Empreendimentos'!$G$464:$G$468,'11.Empreendimentos'!$G$464:$G$468,"&gt;0"))</f>
        <v>1355000</v>
      </c>
      <c r="K28" s="592">
        <f>IF(G28=0,0,MAXIFS('11.Empreendimentos'!$G$464:$G$468,'11.Empreendimentos'!$G$464:$G$468,"&gt;0"))</f>
        <v>1355000</v>
      </c>
      <c r="L28" s="595">
        <f t="shared" si="3"/>
        <v>0.69375</v>
      </c>
    </row>
    <row r="29">
      <c r="A29" s="589">
        <v>25.0</v>
      </c>
      <c r="B29" s="590" t="s">
        <v>1491</v>
      </c>
      <c r="C29" s="590" t="s">
        <v>1481</v>
      </c>
      <c r="D29" s="591">
        <f>IF(ISNUMBER('11.Empreendimentos'!C470),N('11.Empreendimentos'!C471),0)</f>
        <v>40</v>
      </c>
      <c r="E29" s="592">
        <f>IF(ISNUMBER('11.Empreendimentos'!C470),'11.Empreendimentos'!C470,0)</f>
        <v>4000000</v>
      </c>
      <c r="F29" s="592">
        <f t="shared" si="1"/>
        <v>100000</v>
      </c>
      <c r="G29" s="591">
        <f>COUNTIF('11.Empreendimentos'!$G$472:$G$498,"&gt;0")</f>
        <v>27</v>
      </c>
      <c r="H29" s="592">
        <f>SUMIF('11.Empreendimentos'!$G$472:$G$498,"&gt;0")</f>
        <v>5823000</v>
      </c>
      <c r="I29" s="593">
        <f t="shared" si="2"/>
        <v>215666.6667</v>
      </c>
      <c r="J29" s="592">
        <f>IF(G29=0,0,MINIFS('11.Empreendimentos'!$G$472:$G$498,'11.Empreendimentos'!$G$472:$G$498,"&gt;0"))</f>
        <v>192000</v>
      </c>
      <c r="K29" s="592">
        <f>IF(G29=0,0,MAXIFS('11.Empreendimentos'!$G$472:$G$498,'11.Empreendimentos'!$G$472:$G$498,"&gt;0"))</f>
        <v>264000</v>
      </c>
      <c r="L29" s="595">
        <f t="shared" si="3"/>
        <v>1.156666667</v>
      </c>
    </row>
    <row r="30">
      <c r="A30" s="589">
        <v>26.0</v>
      </c>
      <c r="B30" s="590" t="s">
        <v>1494</v>
      </c>
      <c r="C30" s="590" t="s">
        <v>1481</v>
      </c>
      <c r="D30" s="591">
        <f>IF(ISNUMBER('11.Empreendimentos'!C500),N('11.Empreendimentos'!C501),0)</f>
        <v>40</v>
      </c>
      <c r="E30" s="592">
        <f>IF(ISNUMBER('11.Empreendimentos'!C500),'11.Empreendimentos'!C500,0)</f>
        <v>3600000</v>
      </c>
      <c r="F30" s="592">
        <f t="shared" si="1"/>
        <v>90000</v>
      </c>
      <c r="G30" s="591">
        <f>COUNTIF('11.Empreendimentos'!$G$502:$G$511,"&gt;0")</f>
        <v>10</v>
      </c>
      <c r="H30" s="592">
        <f>SUMIF('11.Empreendimentos'!$G$502:$G$511,"&gt;0")</f>
        <v>2086000</v>
      </c>
      <c r="I30" s="593">
        <f t="shared" si="2"/>
        <v>208600</v>
      </c>
      <c r="J30" s="592">
        <f>IF(G30=0,0,MINIFS('11.Empreendimentos'!$G$502:$G$511,'11.Empreendimentos'!$G$502:$G$511,"&gt;0"))</f>
        <v>148000</v>
      </c>
      <c r="K30" s="592">
        <f>IF(G30=0,0,MAXIFS('11.Empreendimentos'!$G$502:$G$511,'11.Empreendimentos'!$G$502:$G$511,"&gt;0"))</f>
        <v>432000</v>
      </c>
      <c r="L30" s="595">
        <f t="shared" si="3"/>
        <v>1.317777778</v>
      </c>
    </row>
    <row r="31">
      <c r="A31" s="589">
        <v>27.0</v>
      </c>
      <c r="B31" s="590" t="s">
        <v>1497</v>
      </c>
      <c r="C31" s="590" t="s">
        <v>1498</v>
      </c>
      <c r="D31" s="591">
        <f>IF(ISNUMBER('11.Empreendimentos'!C513),N('11.Empreendimentos'!C514),0)</f>
        <v>80</v>
      </c>
      <c r="E31" s="592">
        <f>IF(ISNUMBER('11.Empreendimentos'!C513),'11.Empreendimentos'!C513,0)</f>
        <v>5600000</v>
      </c>
      <c r="F31" s="592">
        <f t="shared" si="1"/>
        <v>70000</v>
      </c>
      <c r="G31" s="591">
        <f>COUNTIF('11.Empreendimentos'!$G$515:$G$574,"&gt;0")</f>
        <v>60</v>
      </c>
      <c r="H31" s="592">
        <f>SUMIF('11.Empreendimentos'!$G$515:$G$574,"&gt;0")</f>
        <v>5336000</v>
      </c>
      <c r="I31" s="593">
        <f t="shared" si="2"/>
        <v>88933.33333</v>
      </c>
      <c r="J31" s="592">
        <f>IF(G31=0,0,MINIFS('11.Empreendimentos'!$G$515:$G$574,'11.Empreendimentos'!$G$515:$G$574,"&gt;0"))</f>
        <v>77000</v>
      </c>
      <c r="K31" s="592">
        <f>IF(G31=0,0,MAXIFS('11.Empreendimentos'!$G$515:$G$574,'11.Empreendimentos'!$G$515:$G$574,"&gt;0"))</f>
        <v>106000</v>
      </c>
      <c r="L31" s="595">
        <f t="shared" si="3"/>
        <v>0.2704761905</v>
      </c>
    </row>
    <row r="32">
      <c r="A32" s="589">
        <v>28.0</v>
      </c>
      <c r="B32" s="590" t="s">
        <v>1501</v>
      </c>
      <c r="C32" s="590" t="s">
        <v>1502</v>
      </c>
      <c r="D32" s="591">
        <f>IF(ISNUMBER('11.Empreendimentos'!C576),N('11.Empreendimentos'!C577),0)</f>
        <v>4</v>
      </c>
      <c r="E32" s="592">
        <f>IF(ISNUMBER('11.Empreendimentos'!C576),'11.Empreendimentos'!C576,0)</f>
        <v>320000</v>
      </c>
      <c r="F32" s="592">
        <f t="shared" si="1"/>
        <v>80000</v>
      </c>
      <c r="G32" s="591">
        <f>COUNTIF('11.Empreendimentos'!$G$578:$G$581,"&gt;0")</f>
        <v>4</v>
      </c>
      <c r="H32" s="592">
        <f>SUMIF('11.Empreendimentos'!$G$578:$G$581,"&gt;0")</f>
        <v>533000</v>
      </c>
      <c r="I32" s="593">
        <f t="shared" si="2"/>
        <v>133250</v>
      </c>
      <c r="J32" s="592">
        <f>IF(G32=0,0,MINIFS('11.Empreendimentos'!$G$578:$G$581,'11.Empreendimentos'!$G$578:$G$581,"&gt;0"))</f>
        <v>110000</v>
      </c>
      <c r="K32" s="592">
        <f>IF(G32=0,0,MAXIFS('11.Empreendimentos'!$G$578:$G$581,'11.Empreendimentos'!$G$578:$G$581,"&gt;0"))</f>
        <v>146000</v>
      </c>
      <c r="L32" s="595">
        <f t="shared" si="3"/>
        <v>0.665625</v>
      </c>
    </row>
    <row r="33">
      <c r="A33" s="589">
        <v>29.0</v>
      </c>
      <c r="B33" s="590" t="s">
        <v>1504</v>
      </c>
      <c r="C33" s="590" t="s">
        <v>1505</v>
      </c>
      <c r="D33" s="591">
        <f>IF(ISNUMBER('11.Empreendimentos'!C583),N('11.Empreendimentos'!C584),0)</f>
        <v>51</v>
      </c>
      <c r="E33" s="592">
        <f>IF(ISNUMBER('11.Empreendimentos'!C583),'11.Empreendimentos'!C583,0)</f>
        <v>5100000</v>
      </c>
      <c r="F33" s="592">
        <f t="shared" si="1"/>
        <v>100000</v>
      </c>
      <c r="G33" s="591">
        <f>COUNTIF('11.Empreendimentos'!$G$585:$G$598,"&gt;0")</f>
        <v>14</v>
      </c>
      <c r="H33" s="592">
        <f>SUMIF('11.Empreendimentos'!$G$585:$G$598,"&gt;0")</f>
        <v>3699000</v>
      </c>
      <c r="I33" s="593">
        <f t="shared" si="2"/>
        <v>264214.2857</v>
      </c>
      <c r="J33" s="592">
        <f>IF(G33=0,0,MINIFS('11.Empreendimentos'!$G$585:$G$598,'11.Empreendimentos'!$G$585:$G$598,"&gt;0"))</f>
        <v>141000</v>
      </c>
      <c r="K33" s="592">
        <f>IF(G33=0,0,MAXIFS('11.Empreendimentos'!$G$585:$G$598,'11.Empreendimentos'!$G$585:$G$598,"&gt;0"))</f>
        <v>416000</v>
      </c>
      <c r="L33" s="595">
        <f t="shared" si="3"/>
        <v>1.642142857</v>
      </c>
    </row>
    <row r="34">
      <c r="A34" s="589">
        <v>30.0</v>
      </c>
      <c r="B34" s="590" t="s">
        <v>1508</v>
      </c>
      <c r="C34" s="590" t="s">
        <v>1509</v>
      </c>
      <c r="D34" s="591">
        <f>IF(ISNUMBER('11.Empreendimentos'!C600),N('11.Empreendimentos'!C601),0)</f>
        <v>50</v>
      </c>
      <c r="E34" s="592">
        <f>IF(ISNUMBER('11.Empreendimentos'!C600),'11.Empreendimentos'!C600,0)</f>
        <v>5000000</v>
      </c>
      <c r="F34" s="592">
        <f t="shared" si="1"/>
        <v>100000</v>
      </c>
      <c r="G34" s="591">
        <f>COUNTIF('11.Empreendimentos'!$G$602:$G$631,"&gt;0")</f>
        <v>30</v>
      </c>
      <c r="H34" s="592">
        <f>SUMIF('11.Empreendimentos'!$G$602:$G$631,"&gt;0")</f>
        <v>18216000</v>
      </c>
      <c r="I34" s="593">
        <f t="shared" si="2"/>
        <v>607200</v>
      </c>
      <c r="J34" s="592">
        <f>IF(G34=0,0,MINIFS('11.Empreendimentos'!$G$602:$G$631,'11.Empreendimentos'!$G$602:$G$631,"&gt;0"))</f>
        <v>405000</v>
      </c>
      <c r="K34" s="592">
        <f>IF(G34=0,0,MAXIFS('11.Empreendimentos'!$G$602:$G$631,'11.Empreendimentos'!$G$602:$G$631,"&gt;0"))</f>
        <v>934000</v>
      </c>
      <c r="L34" s="595">
        <f t="shared" si="3"/>
        <v>5.072</v>
      </c>
    </row>
    <row r="35">
      <c r="A35" s="589">
        <v>31.0</v>
      </c>
      <c r="B35" s="590" t="s">
        <v>1511</v>
      </c>
      <c r="C35" s="590" t="s">
        <v>1464</v>
      </c>
      <c r="D35" s="591">
        <f>IF(ISNUMBER('11.Empreendimentos'!C634),N('11.Empreendimentos'!C635),0)</f>
        <v>0</v>
      </c>
      <c r="E35" s="592">
        <f>IF(ISNUMBER('11.Empreendimentos'!C634),'11.Empreendimentos'!C634,0)</f>
        <v>0</v>
      </c>
      <c r="F35" s="592">
        <f t="shared" si="1"/>
        <v>0</v>
      </c>
      <c r="G35" s="591">
        <f>COUNTIF('11.Empreendimentos'!$G$636,"&gt;0")</f>
        <v>1</v>
      </c>
      <c r="H35" s="592">
        <f>SUMIF('11.Empreendimentos'!$G$636,"&gt;0")</f>
        <v>500000</v>
      </c>
      <c r="I35" s="593">
        <f t="shared" si="2"/>
        <v>500000</v>
      </c>
      <c r="J35" s="592">
        <f>IF(G35=0,0,MINIFS('11.Empreendimentos'!$G$636,'11.Empreendimentos'!$G$636,"&gt;0"))</f>
        <v>500000</v>
      </c>
      <c r="K35" s="592">
        <f>IF(G35=0,0,MAXIFS('11.Empreendimentos'!$G$636,'11.Empreendimentos'!$G$636,"&gt;0"))</f>
        <v>500000</v>
      </c>
      <c r="L35" s="595">
        <f t="shared" si="3"/>
        <v>0</v>
      </c>
    </row>
    <row r="36">
      <c r="A36" s="671"/>
      <c r="B36" s="672" t="s">
        <v>2194</v>
      </c>
      <c r="C36" s="671"/>
      <c r="D36" s="673">
        <f t="shared" ref="D36:E36" si="4">SUM(D5:D35)</f>
        <v>715</v>
      </c>
      <c r="E36" s="593">
        <f t="shared" si="4"/>
        <v>94485000</v>
      </c>
      <c r="F36" s="593">
        <f t="shared" si="1"/>
        <v>132146.8531</v>
      </c>
      <c r="G36" s="673">
        <f t="shared" ref="G36:H36" si="5">SUM(G5:G35)</f>
        <v>414</v>
      </c>
      <c r="H36" s="593">
        <f t="shared" si="5"/>
        <v>111179000</v>
      </c>
      <c r="I36" s="593">
        <f t="shared" si="2"/>
        <v>268548.3092</v>
      </c>
      <c r="J36" s="593">
        <f>MINIFS(J5:J35,J5:J35,"&gt;0")</f>
        <v>77000</v>
      </c>
      <c r="K36" s="593">
        <f>MAX(K5:K35)</f>
        <v>1520000</v>
      </c>
      <c r="L36" s="674">
        <f t="shared" si="3"/>
        <v>1.032196021</v>
      </c>
    </row>
  </sheetData>
  <autoFilter ref="$A$4:$L$35">
    <sortState ref="A4:L35">
      <sortCondition ref="A4:A35"/>
      <sortCondition descending="1" ref="L4:L35"/>
    </sortState>
  </autoFilter>
  <mergeCells count="1">
    <mergeCell ref="A2:L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28.88"/>
    <col customWidth="1" min="2" max="2" width="17.63"/>
    <col customWidth="1" min="3" max="4" width="9.5"/>
    <col customWidth="1" min="5" max="5" width="12.0"/>
    <col customWidth="1" min="6" max="6" width="27.63"/>
    <col customWidth="1" min="7" max="7" width="45.13"/>
    <col customWidth="1" min="8" max="8" width="18.88"/>
    <col customWidth="1" min="9" max="9" width="41.38"/>
  </cols>
  <sheetData>
    <row r="1">
      <c r="A1" s="579" t="s">
        <v>1417</v>
      </c>
      <c r="B1" s="581"/>
      <c r="C1" s="581"/>
      <c r="D1" s="581"/>
      <c r="E1" s="581"/>
      <c r="F1" s="581"/>
      <c r="G1" s="581"/>
      <c r="H1" s="581"/>
      <c r="I1" s="581"/>
    </row>
    <row r="2" ht="45.0" customHeight="1">
      <c r="A2" s="585" t="s">
        <v>1420</v>
      </c>
    </row>
    <row r="3">
      <c r="A3" s="586"/>
      <c r="B3" s="586"/>
      <c r="C3" s="586"/>
      <c r="D3" s="586"/>
      <c r="E3" s="586"/>
      <c r="F3" s="586"/>
      <c r="G3" s="586"/>
      <c r="H3" s="586"/>
      <c r="I3" s="586"/>
    </row>
    <row r="4">
      <c r="A4" s="606" t="s">
        <v>1423</v>
      </c>
      <c r="B4" s="607"/>
      <c r="C4" s="607"/>
      <c r="D4" s="607"/>
      <c r="E4" s="607"/>
      <c r="F4" s="607"/>
      <c r="G4" s="607"/>
      <c r="H4" s="607"/>
      <c r="I4" s="607"/>
    </row>
    <row r="5" ht="33.75" customHeight="1">
      <c r="A5" s="608" t="s">
        <v>76</v>
      </c>
      <c r="B5" s="608" t="s">
        <v>1330</v>
      </c>
      <c r="C5" s="608" t="s">
        <v>93</v>
      </c>
      <c r="D5" s="608" t="s">
        <v>1428</v>
      </c>
      <c r="E5" s="608" t="s">
        <v>1429</v>
      </c>
      <c r="F5" s="608" t="s">
        <v>1430</v>
      </c>
      <c r="G5" s="608" t="s">
        <v>1431</v>
      </c>
      <c r="H5" s="608" t="s">
        <v>1432</v>
      </c>
      <c r="I5" s="608" t="s">
        <v>10</v>
      </c>
    </row>
    <row r="6">
      <c r="A6" s="609" t="s">
        <v>1340</v>
      </c>
      <c r="B6" s="609" t="s">
        <v>1342</v>
      </c>
      <c r="C6" s="612">
        <f>N('11.Empreendimentos'!C96)</f>
        <v>14</v>
      </c>
      <c r="D6" s="612">
        <f>N('11.Empreendimentos'!G96)</f>
        <v>11</v>
      </c>
      <c r="E6" s="612">
        <f t="shared" ref="E6:E47" si="1">C6-D6</f>
        <v>3</v>
      </c>
      <c r="F6" s="612">
        <f t="shared" ref="F6:F46" si="2">COUNTIF($A$61:$A$469,A6)</f>
        <v>6</v>
      </c>
      <c r="G6" s="612">
        <f t="shared" ref="G6:G46" si="3">COUNTIFS($A$61:$A$469,A6,$E$61:$E$469,"&lt;"&amp;DATE(2018,1,1))</f>
        <v>0</v>
      </c>
      <c r="H6" s="612">
        <f t="shared" ref="H6:H47" si="4">F6-E6</f>
        <v>3</v>
      </c>
      <c r="I6" s="614" t="s">
        <v>1443</v>
      </c>
    </row>
    <row r="7">
      <c r="A7" s="609" t="s">
        <v>1364</v>
      </c>
      <c r="B7" s="609" t="s">
        <v>1365</v>
      </c>
      <c r="C7" s="612">
        <f>N('11.Empreendimentos'!C113)</f>
        <v>1</v>
      </c>
      <c r="D7" s="612">
        <f>N('11.Empreendimentos'!G113)</f>
        <v>1</v>
      </c>
      <c r="E7" s="612">
        <f t="shared" si="1"/>
        <v>0</v>
      </c>
      <c r="F7" s="612">
        <f t="shared" si="2"/>
        <v>0</v>
      </c>
      <c r="G7" s="612">
        <f t="shared" si="3"/>
        <v>0</v>
      </c>
      <c r="H7" s="612">
        <f t="shared" si="4"/>
        <v>0</v>
      </c>
      <c r="I7" s="615"/>
    </row>
    <row r="8">
      <c r="A8" s="609" t="s">
        <v>101</v>
      </c>
      <c r="B8" s="609" t="s">
        <v>1383</v>
      </c>
      <c r="C8" s="612">
        <f>N('11.Empreendimentos'!C117)</f>
        <v>29</v>
      </c>
      <c r="D8" s="612">
        <f>N('11.Empreendimentos'!G117)</f>
        <v>1</v>
      </c>
      <c r="E8" s="612">
        <f t="shared" si="1"/>
        <v>28</v>
      </c>
      <c r="F8" s="612">
        <f t="shared" si="2"/>
        <v>31</v>
      </c>
      <c r="G8" s="612">
        <f t="shared" si="3"/>
        <v>0</v>
      </c>
      <c r="H8" s="612">
        <f t="shared" si="4"/>
        <v>3</v>
      </c>
      <c r="I8" s="614" t="s">
        <v>1449</v>
      </c>
    </row>
    <row r="9">
      <c r="A9" s="609" t="s">
        <v>1398</v>
      </c>
      <c r="B9" s="609" t="s">
        <v>1400</v>
      </c>
      <c r="C9" s="612">
        <f>N('11.Empreendimentos'!C122)</f>
        <v>4</v>
      </c>
      <c r="D9" s="612">
        <f>N('11.Empreendimentos'!G122)</f>
        <v>4</v>
      </c>
      <c r="E9" s="612">
        <f t="shared" si="1"/>
        <v>0</v>
      </c>
      <c r="F9" s="612">
        <f t="shared" si="2"/>
        <v>0</v>
      </c>
      <c r="G9" s="612">
        <f t="shared" si="3"/>
        <v>0</v>
      </c>
      <c r="H9" s="612">
        <f t="shared" si="4"/>
        <v>0</v>
      </c>
      <c r="I9" s="615"/>
    </row>
    <row r="10">
      <c r="A10" s="609" t="s">
        <v>1409</v>
      </c>
      <c r="B10" s="609" t="s">
        <v>1400</v>
      </c>
      <c r="C10" s="612">
        <f>N('11.Empreendimentos'!C129)</f>
        <v>10</v>
      </c>
      <c r="D10" s="612">
        <f>N('11.Empreendimentos'!G129)</f>
        <v>6</v>
      </c>
      <c r="E10" s="612">
        <f t="shared" si="1"/>
        <v>4</v>
      </c>
      <c r="F10" s="612">
        <f t="shared" si="2"/>
        <v>4</v>
      </c>
      <c r="G10" s="612">
        <f t="shared" si="3"/>
        <v>0</v>
      </c>
      <c r="H10" s="612">
        <f t="shared" si="4"/>
        <v>0</v>
      </c>
      <c r="I10" s="615"/>
    </row>
    <row r="11">
      <c r="A11" s="609" t="s">
        <v>1435</v>
      </c>
      <c r="B11" s="609" t="s">
        <v>1400</v>
      </c>
      <c r="C11" s="612">
        <f>N('11.Empreendimentos'!C138)</f>
        <v>20</v>
      </c>
      <c r="D11" s="612">
        <f>N('11.Empreendimentos'!G138)</f>
        <v>15</v>
      </c>
      <c r="E11" s="612">
        <f t="shared" si="1"/>
        <v>5</v>
      </c>
      <c r="F11" s="612">
        <f t="shared" si="2"/>
        <v>4</v>
      </c>
      <c r="G11" s="612">
        <f t="shared" si="3"/>
        <v>1</v>
      </c>
      <c r="H11" s="612">
        <f t="shared" si="4"/>
        <v>-1</v>
      </c>
      <c r="I11" s="614" t="s">
        <v>1456</v>
      </c>
    </row>
    <row r="12">
      <c r="A12" s="609" t="s">
        <v>1451</v>
      </c>
      <c r="B12" s="609" t="s">
        <v>1400</v>
      </c>
      <c r="C12" s="612">
        <f>N('11.Empreendimentos'!C156)</f>
        <v>23</v>
      </c>
      <c r="D12" s="612">
        <f>N('11.Empreendimentos'!G156)</f>
        <v>13</v>
      </c>
      <c r="E12" s="612">
        <f t="shared" si="1"/>
        <v>10</v>
      </c>
      <c r="F12" s="612">
        <f t="shared" si="2"/>
        <v>10</v>
      </c>
      <c r="G12" s="612">
        <f t="shared" si="3"/>
        <v>0</v>
      </c>
      <c r="H12" s="612">
        <f t="shared" si="4"/>
        <v>0</v>
      </c>
      <c r="I12" s="615"/>
    </row>
    <row r="13">
      <c r="A13" s="609" t="s">
        <v>1457</v>
      </c>
      <c r="B13" s="609" t="s">
        <v>1400</v>
      </c>
      <c r="C13" s="612">
        <f>N('11.Empreendimentos'!C172)</f>
        <v>36</v>
      </c>
      <c r="D13" s="612">
        <f>N('11.Empreendimentos'!G172)</f>
        <v>26</v>
      </c>
      <c r="E13" s="612">
        <f t="shared" si="1"/>
        <v>10</v>
      </c>
      <c r="F13" s="612">
        <f t="shared" si="2"/>
        <v>13</v>
      </c>
      <c r="G13" s="612">
        <f t="shared" si="3"/>
        <v>2</v>
      </c>
      <c r="H13" s="612">
        <f t="shared" si="4"/>
        <v>3</v>
      </c>
      <c r="I13" s="614" t="s">
        <v>1458</v>
      </c>
    </row>
    <row r="14">
      <c r="A14" s="609" t="s">
        <v>1459</v>
      </c>
      <c r="B14" s="609" t="s">
        <v>1400</v>
      </c>
      <c r="C14" s="612">
        <f>N('11.Empreendimentos'!C209)</f>
        <v>105</v>
      </c>
      <c r="D14" s="612">
        <f>N('11.Empreendimentos'!G209)</f>
        <v>102</v>
      </c>
      <c r="E14" s="612">
        <f t="shared" si="1"/>
        <v>3</v>
      </c>
      <c r="F14" s="612">
        <f t="shared" si="2"/>
        <v>6</v>
      </c>
      <c r="G14" s="612">
        <f t="shared" si="3"/>
        <v>2</v>
      </c>
      <c r="H14" s="612">
        <f t="shared" si="4"/>
        <v>3</v>
      </c>
      <c r="I14" s="614" t="s">
        <v>1460</v>
      </c>
    </row>
    <row r="15">
      <c r="A15" s="609" t="s">
        <v>1461</v>
      </c>
      <c r="B15" s="609" t="s">
        <v>1400</v>
      </c>
      <c r="C15" s="612">
        <f>N('11.Empreendimentos'!C318)</f>
        <v>39</v>
      </c>
      <c r="D15" s="612">
        <f>N('11.Empreendimentos'!G318)</f>
        <v>31</v>
      </c>
      <c r="E15" s="612">
        <f t="shared" si="1"/>
        <v>8</v>
      </c>
      <c r="F15" s="612">
        <f t="shared" si="2"/>
        <v>9</v>
      </c>
      <c r="G15" s="612">
        <f t="shared" si="3"/>
        <v>4</v>
      </c>
      <c r="H15" s="612">
        <f t="shared" si="4"/>
        <v>1</v>
      </c>
      <c r="I15" s="614" t="s">
        <v>1462</v>
      </c>
    </row>
    <row r="16">
      <c r="A16" s="609" t="s">
        <v>1463</v>
      </c>
      <c r="B16" s="609" t="s">
        <v>1464</v>
      </c>
      <c r="C16" s="612">
        <f>N('11.Empreendimentos'!C352)</f>
        <v>1</v>
      </c>
      <c r="D16" s="612">
        <f>N('11.Empreendimentos'!G352)</f>
        <v>1</v>
      </c>
      <c r="E16" s="612">
        <f t="shared" si="1"/>
        <v>0</v>
      </c>
      <c r="F16" s="612">
        <f t="shared" si="2"/>
        <v>0</v>
      </c>
      <c r="G16" s="612">
        <f t="shared" si="3"/>
        <v>0</v>
      </c>
      <c r="H16" s="612">
        <f t="shared" si="4"/>
        <v>0</v>
      </c>
      <c r="I16" s="615"/>
    </row>
    <row r="17">
      <c r="A17" s="609" t="s">
        <v>1466</v>
      </c>
      <c r="B17" s="609" t="s">
        <v>1464</v>
      </c>
      <c r="C17" s="612">
        <f>N('11.Empreendimentos'!C356)</f>
        <v>15</v>
      </c>
      <c r="D17" s="612">
        <f>N('11.Empreendimentos'!G356)</f>
        <v>5</v>
      </c>
      <c r="E17" s="612">
        <f t="shared" si="1"/>
        <v>10</v>
      </c>
      <c r="F17" s="612">
        <f t="shared" si="2"/>
        <v>12</v>
      </c>
      <c r="G17" s="612">
        <f t="shared" si="3"/>
        <v>0</v>
      </c>
      <c r="H17" s="612">
        <f t="shared" si="4"/>
        <v>2</v>
      </c>
      <c r="I17" s="614" t="s">
        <v>1467</v>
      </c>
    </row>
    <row r="18">
      <c r="A18" s="609" t="s">
        <v>1468</v>
      </c>
      <c r="B18" s="609" t="s">
        <v>1365</v>
      </c>
      <c r="C18" s="612">
        <f>N('11.Empreendimentos'!C364)</f>
        <v>14</v>
      </c>
      <c r="D18" s="612">
        <f>N('11.Empreendimentos'!G364)</f>
        <v>14</v>
      </c>
      <c r="E18" s="612">
        <f t="shared" si="1"/>
        <v>0</v>
      </c>
      <c r="F18" s="612">
        <f t="shared" si="2"/>
        <v>0</v>
      </c>
      <c r="G18" s="612">
        <f t="shared" si="3"/>
        <v>0</v>
      </c>
      <c r="H18" s="612">
        <f t="shared" si="4"/>
        <v>0</v>
      </c>
      <c r="I18" s="615"/>
    </row>
    <row r="19">
      <c r="A19" s="609" t="s">
        <v>1469</v>
      </c>
      <c r="B19" s="609" t="s">
        <v>1365</v>
      </c>
      <c r="C19" s="612">
        <f>N('11.Empreendimentos'!C381)</f>
        <v>17</v>
      </c>
      <c r="D19" s="612">
        <f>N('11.Empreendimentos'!G381)</f>
        <v>3</v>
      </c>
      <c r="E19" s="612">
        <f t="shared" si="1"/>
        <v>14</v>
      </c>
      <c r="F19" s="612">
        <f t="shared" si="2"/>
        <v>14</v>
      </c>
      <c r="G19" s="612">
        <f t="shared" si="3"/>
        <v>0</v>
      </c>
      <c r="H19" s="612">
        <f t="shared" si="4"/>
        <v>0</v>
      </c>
      <c r="I19" s="615"/>
    </row>
    <row r="20">
      <c r="A20" s="609" t="s">
        <v>1470</v>
      </c>
      <c r="B20" s="609" t="s">
        <v>1365</v>
      </c>
      <c r="C20" s="612">
        <f>N('11.Empreendimentos'!C387)</f>
        <v>20</v>
      </c>
      <c r="D20" s="612">
        <f>N('11.Empreendimentos'!G387)</f>
        <v>4</v>
      </c>
      <c r="E20" s="612">
        <f t="shared" si="1"/>
        <v>16</v>
      </c>
      <c r="F20" s="612">
        <f t="shared" si="2"/>
        <v>16</v>
      </c>
      <c r="G20" s="612">
        <f t="shared" si="3"/>
        <v>5</v>
      </c>
      <c r="H20" s="612">
        <f t="shared" si="4"/>
        <v>0</v>
      </c>
      <c r="I20" s="615"/>
    </row>
    <row r="21">
      <c r="A21" s="609" t="s">
        <v>1471</v>
      </c>
      <c r="B21" s="609" t="s">
        <v>1472</v>
      </c>
      <c r="C21" s="612">
        <f>N('11.Empreendimentos'!C394)</f>
        <v>1</v>
      </c>
      <c r="D21" s="612">
        <f>N('11.Empreendimentos'!G394)</f>
        <v>1</v>
      </c>
      <c r="E21" s="612">
        <f t="shared" si="1"/>
        <v>0</v>
      </c>
      <c r="F21" s="612">
        <f t="shared" si="2"/>
        <v>0</v>
      </c>
      <c r="G21" s="612">
        <f t="shared" si="3"/>
        <v>0</v>
      </c>
      <c r="H21" s="612">
        <f t="shared" si="4"/>
        <v>0</v>
      </c>
      <c r="I21" s="614" t="s">
        <v>1473</v>
      </c>
    </row>
    <row r="22">
      <c r="A22" s="609" t="s">
        <v>1474</v>
      </c>
      <c r="B22" s="609" t="s">
        <v>1475</v>
      </c>
      <c r="C22" s="612">
        <f>N('11.Empreendimentos'!C398)</f>
        <v>5</v>
      </c>
      <c r="D22" s="612">
        <f>N('11.Empreendimentos'!G398)</f>
        <v>4</v>
      </c>
      <c r="E22" s="612">
        <f t="shared" si="1"/>
        <v>1</v>
      </c>
      <c r="F22" s="612">
        <f t="shared" si="2"/>
        <v>2</v>
      </c>
      <c r="G22" s="612">
        <f t="shared" si="3"/>
        <v>2</v>
      </c>
      <c r="H22" s="612">
        <f t="shared" si="4"/>
        <v>1</v>
      </c>
      <c r="I22" s="614" t="s">
        <v>1476</v>
      </c>
    </row>
    <row r="23">
      <c r="A23" s="609" t="s">
        <v>1477</v>
      </c>
      <c r="B23" s="609" t="s">
        <v>1478</v>
      </c>
      <c r="C23" s="612">
        <f>N('11.Empreendimentos'!C405)</f>
        <v>27</v>
      </c>
      <c r="D23" s="612">
        <f>N('11.Empreendimentos'!G405)</f>
        <v>5</v>
      </c>
      <c r="E23" s="612">
        <f t="shared" si="1"/>
        <v>22</v>
      </c>
      <c r="F23" s="612">
        <f t="shared" si="2"/>
        <v>48</v>
      </c>
      <c r="G23" s="612">
        <f t="shared" si="3"/>
        <v>2</v>
      </c>
      <c r="H23" s="612">
        <f t="shared" si="4"/>
        <v>26</v>
      </c>
      <c r="I23" s="614" t="s">
        <v>1479</v>
      </c>
    </row>
    <row r="24">
      <c r="A24" s="609" t="s">
        <v>1480</v>
      </c>
      <c r="B24" s="609" t="s">
        <v>1481</v>
      </c>
      <c r="C24" s="612">
        <f>N('11.Empreendimentos'!C421)</f>
        <v>10</v>
      </c>
      <c r="D24" s="612">
        <f>N('11.Empreendimentos'!G421)</f>
        <v>3</v>
      </c>
      <c r="E24" s="612">
        <f t="shared" si="1"/>
        <v>7</v>
      </c>
      <c r="F24" s="612">
        <f t="shared" si="2"/>
        <v>7</v>
      </c>
      <c r="G24" s="612">
        <f t="shared" si="3"/>
        <v>0</v>
      </c>
      <c r="H24" s="612">
        <f t="shared" si="4"/>
        <v>0</v>
      </c>
      <c r="I24" s="615"/>
    </row>
    <row r="25">
      <c r="A25" s="609" t="s">
        <v>1482</v>
      </c>
      <c r="B25" s="609" t="s">
        <v>1481</v>
      </c>
      <c r="C25" s="612">
        <f>N('11.Empreendimentos'!C427)</f>
        <v>30</v>
      </c>
      <c r="D25" s="612">
        <f>N('11.Empreendimentos'!G427)</f>
        <v>8</v>
      </c>
      <c r="E25" s="612">
        <f t="shared" si="1"/>
        <v>22</v>
      </c>
      <c r="F25" s="612">
        <f t="shared" si="2"/>
        <v>19</v>
      </c>
      <c r="G25" s="612">
        <f t="shared" si="3"/>
        <v>0</v>
      </c>
      <c r="H25" s="612">
        <f t="shared" si="4"/>
        <v>-3</v>
      </c>
      <c r="I25" s="614" t="s">
        <v>1483</v>
      </c>
    </row>
    <row r="26">
      <c r="A26" s="609" t="s">
        <v>1484</v>
      </c>
      <c r="B26" s="609" t="s">
        <v>1481</v>
      </c>
      <c r="C26" s="612">
        <f>N('11.Empreendimentos'!C441)</f>
        <v>15</v>
      </c>
      <c r="D26" s="612">
        <f>N('11.Empreendimentos'!G441)</f>
        <v>8</v>
      </c>
      <c r="E26" s="612">
        <f t="shared" si="1"/>
        <v>7</v>
      </c>
      <c r="F26" s="612">
        <f t="shared" si="2"/>
        <v>7</v>
      </c>
      <c r="G26" s="612">
        <f t="shared" si="3"/>
        <v>0</v>
      </c>
      <c r="H26" s="612">
        <f t="shared" si="4"/>
        <v>0</v>
      </c>
      <c r="I26" s="615"/>
    </row>
    <row r="27">
      <c r="A27" s="609" t="s">
        <v>1485</v>
      </c>
      <c r="B27" s="609" t="s">
        <v>1481</v>
      </c>
      <c r="C27" s="612">
        <f>N('11.Empreendimentos'!C453)</f>
        <v>2</v>
      </c>
      <c r="D27" s="612">
        <f>N('11.Empreendimentos'!G453)</f>
        <v>1</v>
      </c>
      <c r="E27" s="612">
        <f t="shared" si="1"/>
        <v>1</v>
      </c>
      <c r="F27" s="612">
        <f t="shared" si="2"/>
        <v>1</v>
      </c>
      <c r="G27" s="612">
        <f t="shared" si="3"/>
        <v>0</v>
      </c>
      <c r="H27" s="612">
        <f t="shared" si="4"/>
        <v>0</v>
      </c>
      <c r="I27" s="615"/>
    </row>
    <row r="28">
      <c r="A28" s="609" t="s">
        <v>1487</v>
      </c>
      <c r="B28" s="609" t="s">
        <v>1481</v>
      </c>
      <c r="C28" s="612">
        <f>N('11.Empreendimentos'!C459)</f>
        <v>2</v>
      </c>
      <c r="D28" s="612">
        <f>N('11.Empreendimentos'!G459)</f>
        <v>1</v>
      </c>
      <c r="E28" s="612">
        <f t="shared" si="1"/>
        <v>1</v>
      </c>
      <c r="F28" s="612">
        <f t="shared" si="2"/>
        <v>1</v>
      </c>
      <c r="G28" s="612">
        <f t="shared" si="3"/>
        <v>0</v>
      </c>
      <c r="H28" s="612">
        <f t="shared" si="4"/>
        <v>0</v>
      </c>
      <c r="I28" s="615"/>
    </row>
    <row r="29">
      <c r="A29" s="609" t="s">
        <v>1489</v>
      </c>
      <c r="B29" s="609" t="s">
        <v>1481</v>
      </c>
      <c r="C29" s="612">
        <f>N('11.Empreendimentos'!C463)</f>
        <v>11</v>
      </c>
      <c r="D29" s="612">
        <f>N('11.Empreendimentos'!G463)</f>
        <v>4</v>
      </c>
      <c r="E29" s="612">
        <f t="shared" si="1"/>
        <v>7</v>
      </c>
      <c r="F29" s="612">
        <f t="shared" si="2"/>
        <v>7</v>
      </c>
      <c r="G29" s="612">
        <f t="shared" si="3"/>
        <v>2</v>
      </c>
      <c r="H29" s="612">
        <f t="shared" si="4"/>
        <v>0</v>
      </c>
      <c r="I29" s="615"/>
    </row>
    <row r="30">
      <c r="A30" s="609" t="s">
        <v>1491</v>
      </c>
      <c r="B30" s="609" t="s">
        <v>1481</v>
      </c>
      <c r="C30" s="612">
        <f>N('11.Empreendimentos'!C471)</f>
        <v>40</v>
      </c>
      <c r="D30" s="612">
        <f>N('11.Empreendimentos'!G471)</f>
        <v>27</v>
      </c>
      <c r="E30" s="612">
        <f t="shared" si="1"/>
        <v>13</v>
      </c>
      <c r="F30" s="612">
        <f t="shared" si="2"/>
        <v>13</v>
      </c>
      <c r="G30" s="612">
        <f t="shared" si="3"/>
        <v>0</v>
      </c>
      <c r="H30" s="612">
        <f t="shared" si="4"/>
        <v>0</v>
      </c>
      <c r="I30" s="615"/>
    </row>
    <row r="31">
      <c r="A31" s="609" t="s">
        <v>1494</v>
      </c>
      <c r="B31" s="609" t="s">
        <v>1481</v>
      </c>
      <c r="C31" s="612">
        <f>N('11.Empreendimentos'!C501)</f>
        <v>40</v>
      </c>
      <c r="D31" s="612">
        <f>N('11.Empreendimentos'!G501)</f>
        <v>10</v>
      </c>
      <c r="E31" s="612">
        <f t="shared" si="1"/>
        <v>30</v>
      </c>
      <c r="F31" s="612">
        <f t="shared" si="2"/>
        <v>41</v>
      </c>
      <c r="G31" s="612">
        <f t="shared" si="3"/>
        <v>0</v>
      </c>
      <c r="H31" s="612">
        <f t="shared" si="4"/>
        <v>11</v>
      </c>
      <c r="I31" s="614" t="s">
        <v>1496</v>
      </c>
    </row>
    <row r="32">
      <c r="A32" s="609" t="s">
        <v>1497</v>
      </c>
      <c r="B32" s="609" t="s">
        <v>1498</v>
      </c>
      <c r="C32" s="612">
        <f>N('11.Empreendimentos'!C514)</f>
        <v>80</v>
      </c>
      <c r="D32" s="612">
        <f>N('11.Empreendimentos'!G514)</f>
        <v>60</v>
      </c>
      <c r="E32" s="612">
        <f t="shared" si="1"/>
        <v>20</v>
      </c>
      <c r="F32" s="612">
        <f t="shared" si="2"/>
        <v>21</v>
      </c>
      <c r="G32" s="612">
        <f t="shared" si="3"/>
        <v>2</v>
      </c>
      <c r="H32" s="612">
        <f t="shared" si="4"/>
        <v>1</v>
      </c>
      <c r="I32" s="614" t="s">
        <v>1500</v>
      </c>
    </row>
    <row r="33">
      <c r="A33" s="609" t="s">
        <v>1501</v>
      </c>
      <c r="B33" s="609" t="s">
        <v>1502</v>
      </c>
      <c r="C33" s="612">
        <f>N('11.Empreendimentos'!C577)</f>
        <v>4</v>
      </c>
      <c r="D33" s="612">
        <f>N('11.Empreendimentos'!G577)</f>
        <v>4</v>
      </c>
      <c r="E33" s="612">
        <f t="shared" si="1"/>
        <v>0</v>
      </c>
      <c r="F33" s="612">
        <f t="shared" si="2"/>
        <v>0</v>
      </c>
      <c r="G33" s="612">
        <f t="shared" si="3"/>
        <v>0</v>
      </c>
      <c r="H33" s="612">
        <f t="shared" si="4"/>
        <v>0</v>
      </c>
      <c r="I33" s="615"/>
    </row>
    <row r="34">
      <c r="A34" s="609" t="s">
        <v>1504</v>
      </c>
      <c r="B34" s="609" t="s">
        <v>1505</v>
      </c>
      <c r="C34" s="612">
        <f>N('11.Empreendimentos'!C584)</f>
        <v>51</v>
      </c>
      <c r="D34" s="612">
        <f>N('11.Empreendimentos'!G584)</f>
        <v>14</v>
      </c>
      <c r="E34" s="612">
        <f t="shared" si="1"/>
        <v>37</v>
      </c>
      <c r="F34" s="612">
        <f t="shared" si="2"/>
        <v>59</v>
      </c>
      <c r="G34" s="612">
        <f t="shared" si="3"/>
        <v>7</v>
      </c>
      <c r="H34" s="612">
        <f t="shared" si="4"/>
        <v>22</v>
      </c>
      <c r="I34" s="614" t="s">
        <v>1507</v>
      </c>
    </row>
    <row r="35">
      <c r="A35" s="609" t="s">
        <v>1508</v>
      </c>
      <c r="B35" s="609" t="s">
        <v>1509</v>
      </c>
      <c r="C35" s="612">
        <f>N('11.Empreendimentos'!C601)</f>
        <v>50</v>
      </c>
      <c r="D35" s="612">
        <f>N('11.Empreendimentos'!G601)</f>
        <v>30</v>
      </c>
      <c r="E35" s="612">
        <f t="shared" si="1"/>
        <v>20</v>
      </c>
      <c r="F35" s="612">
        <f t="shared" si="2"/>
        <v>20</v>
      </c>
      <c r="G35" s="612">
        <f t="shared" si="3"/>
        <v>0</v>
      </c>
      <c r="H35" s="612">
        <f t="shared" si="4"/>
        <v>0</v>
      </c>
      <c r="I35" s="614" t="s">
        <v>1510</v>
      </c>
    </row>
    <row r="36">
      <c r="A36" s="609" t="s">
        <v>1511</v>
      </c>
      <c r="B36" s="609" t="s">
        <v>1464</v>
      </c>
      <c r="C36" s="612">
        <f>N('11.Empreendimentos'!C635)</f>
        <v>0</v>
      </c>
      <c r="D36" s="612">
        <f>N('11.Empreendimentos'!G635)</f>
        <v>1</v>
      </c>
      <c r="E36" s="612">
        <f t="shared" si="1"/>
        <v>-1</v>
      </c>
      <c r="F36" s="612">
        <f t="shared" si="2"/>
        <v>0</v>
      </c>
      <c r="G36" s="612">
        <f t="shared" si="3"/>
        <v>0</v>
      </c>
      <c r="H36" s="612">
        <f t="shared" si="4"/>
        <v>1</v>
      </c>
      <c r="I36" s="614" t="s">
        <v>1512</v>
      </c>
    </row>
    <row r="37">
      <c r="A37" s="609" t="s">
        <v>1513</v>
      </c>
      <c r="B37" s="609" t="s">
        <v>1464</v>
      </c>
      <c r="C37" s="632">
        <v>10.0</v>
      </c>
      <c r="D37" s="632">
        <v>0.0</v>
      </c>
      <c r="E37" s="612">
        <f t="shared" si="1"/>
        <v>10</v>
      </c>
      <c r="F37" s="612">
        <f t="shared" si="2"/>
        <v>10</v>
      </c>
      <c r="G37" s="612">
        <f t="shared" si="3"/>
        <v>0</v>
      </c>
      <c r="H37" s="612">
        <f t="shared" si="4"/>
        <v>0</v>
      </c>
      <c r="I37" s="615"/>
    </row>
    <row r="38">
      <c r="A38" s="609" t="s">
        <v>1514</v>
      </c>
      <c r="B38" s="609" t="s">
        <v>1464</v>
      </c>
      <c r="C38" s="632">
        <v>1.0</v>
      </c>
      <c r="D38" s="632">
        <v>0.0</v>
      </c>
      <c r="E38" s="612">
        <f t="shared" si="1"/>
        <v>1</v>
      </c>
      <c r="F38" s="612">
        <f t="shared" si="2"/>
        <v>1</v>
      </c>
      <c r="G38" s="612">
        <f t="shared" si="3"/>
        <v>0</v>
      </c>
      <c r="H38" s="612">
        <f t="shared" si="4"/>
        <v>0</v>
      </c>
      <c r="I38" s="615"/>
    </row>
    <row r="39">
      <c r="A39" s="609" t="s">
        <v>1515</v>
      </c>
      <c r="B39" s="609" t="s">
        <v>1464</v>
      </c>
      <c r="C39" s="632">
        <v>2.0</v>
      </c>
      <c r="D39" s="632">
        <v>0.0</v>
      </c>
      <c r="E39" s="612">
        <f t="shared" si="1"/>
        <v>2</v>
      </c>
      <c r="F39" s="612">
        <f t="shared" si="2"/>
        <v>2</v>
      </c>
      <c r="G39" s="612">
        <f t="shared" si="3"/>
        <v>1</v>
      </c>
      <c r="H39" s="612">
        <f t="shared" si="4"/>
        <v>0</v>
      </c>
      <c r="I39" s="614" t="s">
        <v>1516</v>
      </c>
    </row>
    <row r="40">
      <c r="A40" s="609" t="s">
        <v>1517</v>
      </c>
      <c r="B40" s="609" t="s">
        <v>1505</v>
      </c>
      <c r="C40" s="632">
        <v>3.0</v>
      </c>
      <c r="D40" s="632">
        <v>0.0</v>
      </c>
      <c r="E40" s="612">
        <f t="shared" si="1"/>
        <v>3</v>
      </c>
      <c r="F40" s="612">
        <f t="shared" si="2"/>
        <v>3</v>
      </c>
      <c r="G40" s="612">
        <f t="shared" si="3"/>
        <v>0</v>
      </c>
      <c r="H40" s="612">
        <f t="shared" si="4"/>
        <v>0</v>
      </c>
      <c r="I40" s="615"/>
    </row>
    <row r="41">
      <c r="A41" s="609" t="s">
        <v>1518</v>
      </c>
      <c r="B41" s="609" t="s">
        <v>1400</v>
      </c>
      <c r="C41" s="632">
        <v>5.0</v>
      </c>
      <c r="D41" s="632">
        <v>0.0</v>
      </c>
      <c r="E41" s="612">
        <f t="shared" si="1"/>
        <v>5</v>
      </c>
      <c r="F41" s="612">
        <f t="shared" si="2"/>
        <v>5</v>
      </c>
      <c r="G41" s="612">
        <f t="shared" si="3"/>
        <v>0</v>
      </c>
      <c r="H41" s="612">
        <f t="shared" si="4"/>
        <v>0</v>
      </c>
      <c r="I41" s="615"/>
    </row>
    <row r="42">
      <c r="A42" s="609" t="s">
        <v>1519</v>
      </c>
      <c r="B42" s="609" t="s">
        <v>1400</v>
      </c>
      <c r="C42" s="632">
        <v>1.0</v>
      </c>
      <c r="D42" s="632">
        <v>0.0</v>
      </c>
      <c r="E42" s="612">
        <f t="shared" si="1"/>
        <v>1</v>
      </c>
      <c r="F42" s="612">
        <f t="shared" si="2"/>
        <v>1</v>
      </c>
      <c r="G42" s="612">
        <f t="shared" si="3"/>
        <v>0</v>
      </c>
      <c r="H42" s="612">
        <f t="shared" si="4"/>
        <v>0</v>
      </c>
      <c r="I42" s="614" t="s">
        <v>1520</v>
      </c>
    </row>
    <row r="43">
      <c r="A43" s="609" t="s">
        <v>1521</v>
      </c>
      <c r="B43" s="609" t="s">
        <v>1365</v>
      </c>
      <c r="C43" s="632">
        <v>2.0</v>
      </c>
      <c r="D43" s="632">
        <v>0.0</v>
      </c>
      <c r="E43" s="612">
        <f t="shared" si="1"/>
        <v>2</v>
      </c>
      <c r="F43" s="612">
        <f t="shared" si="2"/>
        <v>2</v>
      </c>
      <c r="G43" s="612">
        <f t="shared" si="3"/>
        <v>2</v>
      </c>
      <c r="H43" s="612">
        <f t="shared" si="4"/>
        <v>0</v>
      </c>
      <c r="I43" s="614" t="s">
        <v>1522</v>
      </c>
    </row>
    <row r="44">
      <c r="A44" s="609" t="s">
        <v>1523</v>
      </c>
      <c r="B44" s="609" t="s">
        <v>1342</v>
      </c>
      <c r="C44" s="632">
        <v>2.0</v>
      </c>
      <c r="D44" s="632">
        <v>0.0</v>
      </c>
      <c r="E44" s="612">
        <f t="shared" si="1"/>
        <v>2</v>
      </c>
      <c r="F44" s="612">
        <f t="shared" si="2"/>
        <v>2</v>
      </c>
      <c r="G44" s="612">
        <f t="shared" si="3"/>
        <v>0</v>
      </c>
      <c r="H44" s="612">
        <f t="shared" si="4"/>
        <v>0</v>
      </c>
      <c r="I44" s="615"/>
    </row>
    <row r="45">
      <c r="A45" s="609" t="s">
        <v>1524</v>
      </c>
      <c r="B45" s="609" t="s">
        <v>1481</v>
      </c>
      <c r="C45" s="632">
        <v>8.0</v>
      </c>
      <c r="D45" s="632">
        <v>0.0</v>
      </c>
      <c r="E45" s="612">
        <f t="shared" si="1"/>
        <v>8</v>
      </c>
      <c r="F45" s="612">
        <f t="shared" si="2"/>
        <v>8</v>
      </c>
      <c r="G45" s="612">
        <f t="shared" si="3"/>
        <v>0</v>
      </c>
      <c r="H45" s="612">
        <f t="shared" si="4"/>
        <v>0</v>
      </c>
      <c r="I45" s="615"/>
    </row>
    <row r="46">
      <c r="A46" s="609" t="s">
        <v>1526</v>
      </c>
      <c r="B46" s="609" t="s">
        <v>1527</v>
      </c>
      <c r="C46" s="612">
        <f>N('11.Empreendimentos'!C49)</f>
        <v>11</v>
      </c>
      <c r="D46" s="612">
        <f>N('11.Empreendimentos'!G49)</f>
        <v>8</v>
      </c>
      <c r="E46" s="612">
        <f t="shared" si="1"/>
        <v>3</v>
      </c>
      <c r="F46" s="612">
        <f t="shared" si="2"/>
        <v>4</v>
      </c>
      <c r="G46" s="612">
        <f t="shared" si="3"/>
        <v>0</v>
      </c>
      <c r="H46" s="612">
        <f t="shared" si="4"/>
        <v>1</v>
      </c>
      <c r="I46" s="614" t="s">
        <v>1529</v>
      </c>
    </row>
    <row r="47">
      <c r="A47" s="635" t="s">
        <v>314</v>
      </c>
      <c r="B47" s="636"/>
      <c r="C47" s="637">
        <f t="shared" ref="C47:D47" si="5">SUM(C6:C46)</f>
        <v>761</v>
      </c>
      <c r="D47" s="637">
        <f t="shared" si="5"/>
        <v>426</v>
      </c>
      <c r="E47" s="637">
        <f t="shared" si="1"/>
        <v>335</v>
      </c>
      <c r="F47" s="637">
        <f t="shared" ref="F47:G47" si="6">SUM(F6:F46)</f>
        <v>409</v>
      </c>
      <c r="G47" s="637">
        <f t="shared" si="6"/>
        <v>32</v>
      </c>
      <c r="H47" s="637">
        <f t="shared" si="4"/>
        <v>74</v>
      </c>
      <c r="I47" s="636"/>
    </row>
    <row r="48">
      <c r="A48" s="586"/>
      <c r="B48" s="586"/>
      <c r="C48" s="586"/>
      <c r="D48" s="586"/>
      <c r="E48" s="586"/>
      <c r="F48" s="586"/>
      <c r="G48" s="586"/>
      <c r="H48" s="586"/>
      <c r="I48" s="586"/>
    </row>
    <row r="49">
      <c r="A49" s="606" t="s">
        <v>1530</v>
      </c>
      <c r="B49" s="607"/>
      <c r="C49" s="607"/>
      <c r="D49" s="607"/>
      <c r="E49" s="607"/>
      <c r="F49" s="607"/>
      <c r="G49" s="607"/>
      <c r="H49" s="607"/>
      <c r="I49" s="607"/>
    </row>
    <row r="50" ht="22.5" customHeight="1">
      <c r="A50" s="608" t="s">
        <v>76</v>
      </c>
      <c r="B50" s="608" t="s">
        <v>1330</v>
      </c>
      <c r="C50" s="608" t="s">
        <v>1531</v>
      </c>
      <c r="D50" s="608" t="s">
        <v>1532</v>
      </c>
      <c r="E50" s="608" t="s">
        <v>1533</v>
      </c>
      <c r="F50" s="608" t="s">
        <v>1534</v>
      </c>
      <c r="G50" s="608" t="s">
        <v>1535</v>
      </c>
      <c r="H50" s="608" t="s">
        <v>1536</v>
      </c>
      <c r="I50" s="608" t="s">
        <v>1537</v>
      </c>
    </row>
    <row r="51">
      <c r="A51" s="609" t="s">
        <v>1435</v>
      </c>
      <c r="B51" s="609" t="s">
        <v>1400</v>
      </c>
      <c r="C51" s="638" t="s">
        <v>90</v>
      </c>
      <c r="D51" s="638" t="s">
        <v>126</v>
      </c>
      <c r="E51" s="639">
        <v>45406.0</v>
      </c>
      <c r="F51" s="614" t="s">
        <v>1538</v>
      </c>
      <c r="G51" s="614" t="s">
        <v>1539</v>
      </c>
      <c r="H51" s="614" t="s">
        <v>1540</v>
      </c>
      <c r="I51" s="614" t="s">
        <v>1541</v>
      </c>
    </row>
    <row r="52">
      <c r="A52" s="609" t="s">
        <v>1497</v>
      </c>
      <c r="B52" s="609" t="s">
        <v>1498</v>
      </c>
      <c r="C52" s="638" t="s">
        <v>120</v>
      </c>
      <c r="D52" s="638" t="s">
        <v>106</v>
      </c>
      <c r="E52" s="639">
        <v>45744.0</v>
      </c>
      <c r="F52" s="614" t="s">
        <v>1542</v>
      </c>
      <c r="G52" s="614" t="s">
        <v>1543</v>
      </c>
      <c r="H52" s="614" t="s">
        <v>1544</v>
      </c>
      <c r="I52" s="614" t="s">
        <v>1545</v>
      </c>
    </row>
    <row r="53">
      <c r="A53" s="609" t="s">
        <v>1340</v>
      </c>
      <c r="B53" s="609" t="s">
        <v>1342</v>
      </c>
      <c r="C53" s="638" t="s">
        <v>80</v>
      </c>
      <c r="D53" s="638" t="s">
        <v>1546</v>
      </c>
      <c r="E53" s="639">
        <v>43438.0</v>
      </c>
      <c r="F53" s="614" t="s">
        <v>1547</v>
      </c>
      <c r="G53" s="614" t="s">
        <v>1548</v>
      </c>
      <c r="H53" s="614" t="s">
        <v>1549</v>
      </c>
      <c r="I53" s="614" t="s">
        <v>1550</v>
      </c>
    </row>
    <row r="54">
      <c r="A54" s="609" t="s">
        <v>1340</v>
      </c>
      <c r="B54" s="609" t="s">
        <v>1342</v>
      </c>
      <c r="C54" s="638" t="s">
        <v>90</v>
      </c>
      <c r="D54" s="638" t="s">
        <v>1546</v>
      </c>
      <c r="E54" s="639">
        <v>43438.0</v>
      </c>
      <c r="F54" s="614" t="s">
        <v>1547</v>
      </c>
      <c r="G54" s="614" t="s">
        <v>1548</v>
      </c>
      <c r="H54" s="614" t="s">
        <v>1549</v>
      </c>
      <c r="I54" s="614" t="s">
        <v>1551</v>
      </c>
    </row>
    <row r="55">
      <c r="A55" s="609" t="s">
        <v>1508</v>
      </c>
      <c r="B55" s="609" t="s">
        <v>1509</v>
      </c>
      <c r="C55" s="638" t="s">
        <v>1552</v>
      </c>
      <c r="D55" s="638" t="s">
        <v>1553</v>
      </c>
      <c r="E55" s="639">
        <v>46121.0</v>
      </c>
      <c r="F55" s="614" t="s">
        <v>1554</v>
      </c>
      <c r="G55" s="614" t="s">
        <v>1555</v>
      </c>
      <c r="H55" s="614" t="s">
        <v>1556</v>
      </c>
      <c r="I55" s="614" t="s">
        <v>1557</v>
      </c>
    </row>
    <row r="56">
      <c r="A56" s="609" t="s">
        <v>1471</v>
      </c>
      <c r="B56" s="609" t="s">
        <v>1472</v>
      </c>
      <c r="C56" s="638" t="s">
        <v>305</v>
      </c>
      <c r="D56" s="638" t="s">
        <v>1558</v>
      </c>
      <c r="E56" s="640"/>
      <c r="F56" s="614" t="s">
        <v>1559</v>
      </c>
      <c r="G56" s="614" t="s">
        <v>1560</v>
      </c>
      <c r="H56" s="614" t="s">
        <v>1561</v>
      </c>
      <c r="I56" s="614" t="s">
        <v>1562</v>
      </c>
    </row>
    <row r="57">
      <c r="A57" s="609" t="s">
        <v>1511</v>
      </c>
      <c r="B57" s="609" t="s">
        <v>1464</v>
      </c>
      <c r="C57" s="638" t="s">
        <v>1563</v>
      </c>
      <c r="D57" s="638" t="s">
        <v>1564</v>
      </c>
      <c r="E57" s="639">
        <v>45919.0</v>
      </c>
      <c r="F57" s="614" t="s">
        <v>1565</v>
      </c>
      <c r="G57" s="614" t="s">
        <v>1566</v>
      </c>
      <c r="H57" s="614" t="s">
        <v>1567</v>
      </c>
      <c r="I57" s="614" t="s">
        <v>1568</v>
      </c>
    </row>
    <row r="58">
      <c r="A58" s="586"/>
      <c r="B58" s="586"/>
      <c r="C58" s="586"/>
      <c r="D58" s="586"/>
      <c r="E58" s="586"/>
      <c r="F58" s="586"/>
      <c r="G58" s="586"/>
      <c r="H58" s="586"/>
      <c r="I58" s="586"/>
    </row>
    <row r="59">
      <c r="A59" s="606" t="s">
        <v>1570</v>
      </c>
      <c r="B59" s="607"/>
      <c r="C59" s="607"/>
      <c r="D59" s="607"/>
      <c r="E59" s="607"/>
      <c r="F59" s="607"/>
      <c r="G59" s="607"/>
      <c r="H59" s="607"/>
      <c r="I59" s="607"/>
    </row>
    <row r="60" ht="22.5" customHeight="1">
      <c r="A60" s="608" t="s">
        <v>76</v>
      </c>
      <c r="B60" s="608" t="s">
        <v>1330</v>
      </c>
      <c r="C60" s="608" t="s">
        <v>1531</v>
      </c>
      <c r="D60" s="608" t="s">
        <v>1532</v>
      </c>
      <c r="E60" s="608" t="s">
        <v>1571</v>
      </c>
      <c r="F60" s="608" t="s">
        <v>1534</v>
      </c>
      <c r="G60" s="608" t="s">
        <v>1572</v>
      </c>
      <c r="H60" s="608" t="s">
        <v>1536</v>
      </c>
      <c r="I60" s="608" t="s">
        <v>1573</v>
      </c>
    </row>
    <row r="61">
      <c r="A61" s="609" t="s">
        <v>1340</v>
      </c>
      <c r="B61" s="609" t="s">
        <v>1342</v>
      </c>
      <c r="C61" s="638" t="s">
        <v>143</v>
      </c>
      <c r="D61" s="638" t="s">
        <v>1574</v>
      </c>
      <c r="E61" s="639">
        <v>45440.0</v>
      </c>
      <c r="F61" s="614" t="s">
        <v>1575</v>
      </c>
      <c r="G61" s="614" t="s">
        <v>1576</v>
      </c>
      <c r="H61" s="609" t="s">
        <v>1577</v>
      </c>
      <c r="I61" s="615"/>
    </row>
    <row r="62">
      <c r="A62" s="609" t="s">
        <v>1340</v>
      </c>
      <c r="B62" s="609" t="s">
        <v>1342</v>
      </c>
      <c r="C62" s="638" t="s">
        <v>114</v>
      </c>
      <c r="D62" s="638" t="s">
        <v>1558</v>
      </c>
      <c r="E62" s="639">
        <v>43438.0</v>
      </c>
      <c r="F62" s="614" t="s">
        <v>1547</v>
      </c>
      <c r="G62" s="614" t="s">
        <v>1578</v>
      </c>
      <c r="H62" s="609" t="s">
        <v>1549</v>
      </c>
      <c r="I62" s="614" t="s">
        <v>1579</v>
      </c>
    </row>
    <row r="63">
      <c r="A63" s="609" t="s">
        <v>1340</v>
      </c>
      <c r="B63" s="609" t="s">
        <v>1342</v>
      </c>
      <c r="C63" s="638" t="s">
        <v>120</v>
      </c>
      <c r="D63" s="638" t="s">
        <v>1558</v>
      </c>
      <c r="E63" s="639">
        <v>43438.0</v>
      </c>
      <c r="F63" s="614" t="s">
        <v>1547</v>
      </c>
      <c r="G63" s="614" t="s">
        <v>1578</v>
      </c>
      <c r="H63" s="609" t="s">
        <v>1549</v>
      </c>
      <c r="I63" s="614" t="s">
        <v>1579</v>
      </c>
    </row>
    <row r="64">
      <c r="A64" s="609" t="s">
        <v>1340</v>
      </c>
      <c r="B64" s="609" t="s">
        <v>1342</v>
      </c>
      <c r="C64" s="638" t="s">
        <v>213</v>
      </c>
      <c r="D64" s="638" t="s">
        <v>1580</v>
      </c>
      <c r="E64" s="639">
        <v>45440.0</v>
      </c>
      <c r="F64" s="614" t="s">
        <v>1575</v>
      </c>
      <c r="G64" s="614" t="s">
        <v>1576</v>
      </c>
      <c r="H64" s="609" t="s">
        <v>1581</v>
      </c>
      <c r="I64" s="615"/>
    </row>
    <row r="65">
      <c r="A65" s="609" t="s">
        <v>1340</v>
      </c>
      <c r="B65" s="609" t="s">
        <v>1342</v>
      </c>
      <c r="C65" s="638" t="s">
        <v>218</v>
      </c>
      <c r="D65" s="638" t="s">
        <v>1580</v>
      </c>
      <c r="E65" s="639">
        <v>45111.0</v>
      </c>
      <c r="F65" s="614" t="s">
        <v>1583</v>
      </c>
      <c r="G65" s="614" t="s">
        <v>1584</v>
      </c>
      <c r="H65" s="609" t="s">
        <v>1585</v>
      </c>
      <c r="I65" s="615"/>
    </row>
    <row r="66">
      <c r="A66" s="609" t="s">
        <v>1340</v>
      </c>
      <c r="B66" s="609" t="s">
        <v>1342</v>
      </c>
      <c r="C66" s="638" t="s">
        <v>134</v>
      </c>
      <c r="D66" s="638" t="s">
        <v>1586</v>
      </c>
      <c r="E66" s="639">
        <v>43438.0</v>
      </c>
      <c r="F66" s="614" t="s">
        <v>1547</v>
      </c>
      <c r="G66" s="614" t="s">
        <v>1578</v>
      </c>
      <c r="H66" s="609" t="s">
        <v>1549</v>
      </c>
      <c r="I66" s="614" t="s">
        <v>1579</v>
      </c>
    </row>
    <row r="67">
      <c r="A67" s="609" t="s">
        <v>101</v>
      </c>
      <c r="B67" s="609" t="s">
        <v>1383</v>
      </c>
      <c r="C67" s="638" t="s">
        <v>1587</v>
      </c>
      <c r="D67" s="638" t="s">
        <v>80</v>
      </c>
      <c r="E67" s="639">
        <v>45499.0</v>
      </c>
      <c r="F67" s="614" t="s">
        <v>1588</v>
      </c>
      <c r="G67" s="614" t="s">
        <v>1589</v>
      </c>
      <c r="H67" s="609" t="s">
        <v>1590</v>
      </c>
      <c r="I67" s="615"/>
    </row>
    <row r="68">
      <c r="A68" s="609" t="s">
        <v>101</v>
      </c>
      <c r="B68" s="609" t="s">
        <v>1383</v>
      </c>
      <c r="C68" s="638" t="s">
        <v>1591</v>
      </c>
      <c r="D68" s="638" t="s">
        <v>90</v>
      </c>
      <c r="E68" s="639">
        <v>44662.0</v>
      </c>
      <c r="F68" s="614" t="s">
        <v>1592</v>
      </c>
      <c r="G68" s="614" t="s">
        <v>1593</v>
      </c>
      <c r="H68" s="609" t="s">
        <v>1594</v>
      </c>
      <c r="I68" s="615"/>
    </row>
    <row r="69">
      <c r="A69" s="609" t="s">
        <v>101</v>
      </c>
      <c r="B69" s="609" t="s">
        <v>1383</v>
      </c>
      <c r="C69" s="638" t="s">
        <v>1595</v>
      </c>
      <c r="D69" s="638" t="s">
        <v>90</v>
      </c>
      <c r="E69" s="639">
        <v>44498.0</v>
      </c>
      <c r="F69" s="614" t="s">
        <v>1596</v>
      </c>
      <c r="G69" s="614" t="s">
        <v>1593</v>
      </c>
      <c r="H69" s="609" t="s">
        <v>1597</v>
      </c>
      <c r="I69" s="615"/>
    </row>
    <row r="70">
      <c r="A70" s="609" t="s">
        <v>101</v>
      </c>
      <c r="B70" s="609" t="s">
        <v>1383</v>
      </c>
      <c r="C70" s="638" t="s">
        <v>1598</v>
      </c>
      <c r="D70" s="638" t="s">
        <v>90</v>
      </c>
      <c r="E70" s="639">
        <v>44607.0</v>
      </c>
      <c r="F70" s="614" t="s">
        <v>1599</v>
      </c>
      <c r="G70" s="614" t="s">
        <v>1600</v>
      </c>
      <c r="H70" s="609" t="s">
        <v>1601</v>
      </c>
      <c r="I70" s="615"/>
    </row>
    <row r="71">
      <c r="A71" s="609" t="s">
        <v>101</v>
      </c>
      <c r="B71" s="609" t="s">
        <v>1383</v>
      </c>
      <c r="C71" s="638" t="s">
        <v>1603</v>
      </c>
      <c r="D71" s="638" t="s">
        <v>90</v>
      </c>
      <c r="E71" s="639">
        <v>44423.0</v>
      </c>
      <c r="F71" s="614" t="s">
        <v>1604</v>
      </c>
      <c r="G71" s="614" t="s">
        <v>1605</v>
      </c>
      <c r="H71" s="609" t="s">
        <v>1606</v>
      </c>
      <c r="I71" s="615"/>
    </row>
    <row r="72">
      <c r="A72" s="609" t="s">
        <v>101</v>
      </c>
      <c r="B72" s="609" t="s">
        <v>1383</v>
      </c>
      <c r="C72" s="638" t="s">
        <v>1607</v>
      </c>
      <c r="D72" s="638" t="s">
        <v>90</v>
      </c>
      <c r="E72" s="639">
        <v>45897.0</v>
      </c>
      <c r="F72" s="614" t="s">
        <v>1608</v>
      </c>
      <c r="G72" s="614" t="s">
        <v>1609</v>
      </c>
      <c r="H72" s="609" t="s">
        <v>1610</v>
      </c>
      <c r="I72" s="615"/>
    </row>
    <row r="73">
      <c r="A73" s="609" t="s">
        <v>101</v>
      </c>
      <c r="B73" s="609" t="s">
        <v>1383</v>
      </c>
      <c r="C73" s="638" t="s">
        <v>1611</v>
      </c>
      <c r="D73" s="638" t="s">
        <v>90</v>
      </c>
      <c r="E73" s="639">
        <v>45897.0</v>
      </c>
      <c r="F73" s="614" t="s">
        <v>1608</v>
      </c>
      <c r="G73" s="614" t="s">
        <v>1609</v>
      </c>
      <c r="H73" s="609" t="s">
        <v>1612</v>
      </c>
      <c r="I73" s="615"/>
    </row>
    <row r="74">
      <c r="A74" s="609" t="s">
        <v>101</v>
      </c>
      <c r="B74" s="609" t="s">
        <v>1383</v>
      </c>
      <c r="C74" s="638" t="s">
        <v>1613</v>
      </c>
      <c r="D74" s="638" t="s">
        <v>90</v>
      </c>
      <c r="E74" s="639">
        <v>44487.0</v>
      </c>
      <c r="F74" s="614" t="s">
        <v>1614</v>
      </c>
      <c r="G74" s="614" t="s">
        <v>1600</v>
      </c>
      <c r="H74" s="609" t="s">
        <v>1615</v>
      </c>
      <c r="I74" s="615"/>
    </row>
    <row r="75">
      <c r="A75" s="609" t="s">
        <v>101</v>
      </c>
      <c r="B75" s="609" t="s">
        <v>1383</v>
      </c>
      <c r="C75" s="638" t="s">
        <v>1616</v>
      </c>
      <c r="D75" s="638" t="s">
        <v>1617</v>
      </c>
      <c r="E75" s="640"/>
      <c r="F75" s="615"/>
      <c r="G75" s="614" t="s">
        <v>1618</v>
      </c>
      <c r="H75" s="609" t="s">
        <v>1619</v>
      </c>
      <c r="I75" s="614" t="s">
        <v>1620</v>
      </c>
    </row>
    <row r="76">
      <c r="A76" s="609" t="s">
        <v>101</v>
      </c>
      <c r="B76" s="609" t="s">
        <v>1383</v>
      </c>
      <c r="C76" s="638" t="s">
        <v>1587</v>
      </c>
      <c r="D76" s="638" t="s">
        <v>100</v>
      </c>
      <c r="E76" s="639">
        <v>44559.0</v>
      </c>
      <c r="F76" s="614" t="s">
        <v>1622</v>
      </c>
      <c r="G76" s="614" t="s">
        <v>1623</v>
      </c>
      <c r="H76" s="609" t="s">
        <v>1624</v>
      </c>
      <c r="I76" s="615"/>
    </row>
    <row r="77">
      <c r="A77" s="609" t="s">
        <v>101</v>
      </c>
      <c r="B77" s="609" t="s">
        <v>1383</v>
      </c>
      <c r="C77" s="638" t="s">
        <v>1591</v>
      </c>
      <c r="D77" s="638" t="s">
        <v>100</v>
      </c>
      <c r="E77" s="639">
        <v>45699.0</v>
      </c>
      <c r="F77" s="614" t="s">
        <v>1625</v>
      </c>
      <c r="G77" s="614" t="s">
        <v>1626</v>
      </c>
      <c r="H77" s="609" t="s">
        <v>1627</v>
      </c>
      <c r="I77" s="615"/>
    </row>
    <row r="78">
      <c r="A78" s="609" t="s">
        <v>101</v>
      </c>
      <c r="B78" s="609" t="s">
        <v>1383</v>
      </c>
      <c r="C78" s="638" t="s">
        <v>1595</v>
      </c>
      <c r="D78" s="638" t="s">
        <v>100</v>
      </c>
      <c r="E78" s="639">
        <v>44182.0</v>
      </c>
      <c r="F78" s="614" t="s">
        <v>1628</v>
      </c>
      <c r="G78" s="614" t="s">
        <v>1629</v>
      </c>
      <c r="H78" s="609" t="s">
        <v>1630</v>
      </c>
      <c r="I78" s="615"/>
    </row>
    <row r="79">
      <c r="A79" s="609" t="s">
        <v>101</v>
      </c>
      <c r="B79" s="609" t="s">
        <v>1383</v>
      </c>
      <c r="C79" s="638" t="s">
        <v>1598</v>
      </c>
      <c r="D79" s="638" t="s">
        <v>100</v>
      </c>
      <c r="E79" s="639">
        <v>44308.0</v>
      </c>
      <c r="F79" s="614" t="s">
        <v>1631</v>
      </c>
      <c r="G79" s="614" t="s">
        <v>1632</v>
      </c>
      <c r="H79" s="609" t="s">
        <v>1633</v>
      </c>
      <c r="I79" s="615"/>
    </row>
    <row r="80">
      <c r="A80" s="609" t="s">
        <v>101</v>
      </c>
      <c r="B80" s="609" t="s">
        <v>1383</v>
      </c>
      <c r="C80" s="638" t="s">
        <v>1603</v>
      </c>
      <c r="D80" s="638" t="s">
        <v>100</v>
      </c>
      <c r="E80" s="639">
        <v>44477.0</v>
      </c>
      <c r="F80" s="614" t="s">
        <v>1634</v>
      </c>
      <c r="G80" s="614" t="s">
        <v>1635</v>
      </c>
      <c r="H80" s="609" t="s">
        <v>1636</v>
      </c>
      <c r="I80" s="615"/>
    </row>
    <row r="81">
      <c r="A81" s="609" t="s">
        <v>101</v>
      </c>
      <c r="B81" s="609" t="s">
        <v>1383</v>
      </c>
      <c r="C81" s="638" t="s">
        <v>1607</v>
      </c>
      <c r="D81" s="638" t="s">
        <v>100</v>
      </c>
      <c r="E81" s="639">
        <v>44217.0</v>
      </c>
      <c r="F81" s="614" t="s">
        <v>1637</v>
      </c>
      <c r="G81" s="614" t="s">
        <v>1638</v>
      </c>
      <c r="H81" s="609" t="s">
        <v>1639</v>
      </c>
      <c r="I81" s="615"/>
    </row>
    <row r="82">
      <c r="A82" s="609" t="s">
        <v>101</v>
      </c>
      <c r="B82" s="609" t="s">
        <v>1383</v>
      </c>
      <c r="C82" s="638" t="s">
        <v>1587</v>
      </c>
      <c r="D82" s="638" t="s">
        <v>106</v>
      </c>
      <c r="E82" s="639">
        <v>44449.0</v>
      </c>
      <c r="F82" s="614" t="s">
        <v>1640</v>
      </c>
      <c r="G82" s="614" t="s">
        <v>1641</v>
      </c>
      <c r="H82" s="609" t="s">
        <v>1642</v>
      </c>
      <c r="I82" s="615"/>
    </row>
    <row r="83">
      <c r="A83" s="609" t="s">
        <v>101</v>
      </c>
      <c r="B83" s="609" t="s">
        <v>1383</v>
      </c>
      <c r="C83" s="638" t="s">
        <v>1643</v>
      </c>
      <c r="D83" s="638" t="s">
        <v>106</v>
      </c>
      <c r="E83" s="639">
        <v>44295.0</v>
      </c>
      <c r="F83" s="614" t="s">
        <v>1644</v>
      </c>
      <c r="G83" s="614" t="s">
        <v>1645</v>
      </c>
      <c r="H83" s="609" t="s">
        <v>1646</v>
      </c>
      <c r="I83" s="615"/>
    </row>
    <row r="84">
      <c r="A84" s="609" t="s">
        <v>101</v>
      </c>
      <c r="B84" s="609" t="s">
        <v>1383</v>
      </c>
      <c r="C84" s="638" t="s">
        <v>1647</v>
      </c>
      <c r="D84" s="638" t="s">
        <v>106</v>
      </c>
      <c r="E84" s="639">
        <v>45155.0</v>
      </c>
      <c r="F84" s="614" t="s">
        <v>1648</v>
      </c>
      <c r="G84" s="614" t="s">
        <v>1593</v>
      </c>
      <c r="H84" s="609" t="s">
        <v>1649</v>
      </c>
      <c r="I84" s="615"/>
    </row>
    <row r="85">
      <c r="A85" s="609" t="s">
        <v>101</v>
      </c>
      <c r="B85" s="609" t="s">
        <v>1383</v>
      </c>
      <c r="C85" s="638" t="s">
        <v>1650</v>
      </c>
      <c r="D85" s="638" t="s">
        <v>106</v>
      </c>
      <c r="E85" s="639">
        <v>44438.0</v>
      </c>
      <c r="F85" s="614" t="s">
        <v>1651</v>
      </c>
      <c r="G85" s="614" t="s">
        <v>1638</v>
      </c>
      <c r="H85" s="609" t="s">
        <v>1652</v>
      </c>
      <c r="I85" s="615"/>
    </row>
    <row r="86">
      <c r="A86" s="609" t="s">
        <v>101</v>
      </c>
      <c r="B86" s="609" t="s">
        <v>1383</v>
      </c>
      <c r="C86" s="638" t="s">
        <v>1552</v>
      </c>
      <c r="D86" s="638" t="s">
        <v>106</v>
      </c>
      <c r="E86" s="639">
        <v>45238.0</v>
      </c>
      <c r="F86" s="614" t="s">
        <v>1653</v>
      </c>
      <c r="G86" s="614" t="s">
        <v>1623</v>
      </c>
      <c r="H86" s="609" t="s">
        <v>1654</v>
      </c>
      <c r="I86" s="615"/>
    </row>
    <row r="87">
      <c r="A87" s="609" t="s">
        <v>101</v>
      </c>
      <c r="B87" s="609" t="s">
        <v>1383</v>
      </c>
      <c r="C87" s="638" t="s">
        <v>1655</v>
      </c>
      <c r="D87" s="638" t="s">
        <v>106</v>
      </c>
      <c r="E87" s="639">
        <v>44247.0</v>
      </c>
      <c r="F87" s="614" t="s">
        <v>1656</v>
      </c>
      <c r="G87" s="614" t="s">
        <v>1623</v>
      </c>
      <c r="H87" s="609" t="s">
        <v>1657</v>
      </c>
      <c r="I87" s="615"/>
    </row>
    <row r="88">
      <c r="A88" s="609" t="s">
        <v>101</v>
      </c>
      <c r="B88" s="609" t="s">
        <v>1383</v>
      </c>
      <c r="C88" s="638" t="s">
        <v>1658</v>
      </c>
      <c r="D88" s="638" t="s">
        <v>106</v>
      </c>
      <c r="E88" s="639">
        <v>45149.0</v>
      </c>
      <c r="F88" s="614" t="s">
        <v>1659</v>
      </c>
      <c r="G88" s="614" t="s">
        <v>1660</v>
      </c>
      <c r="H88" s="609" t="s">
        <v>1661</v>
      </c>
      <c r="I88" s="615"/>
    </row>
    <row r="89">
      <c r="A89" s="609" t="s">
        <v>101</v>
      </c>
      <c r="B89" s="609" t="s">
        <v>1383</v>
      </c>
      <c r="C89" s="638" t="s">
        <v>1587</v>
      </c>
      <c r="D89" s="638" t="s">
        <v>114</v>
      </c>
      <c r="E89" s="639">
        <v>44225.0</v>
      </c>
      <c r="F89" s="614" t="s">
        <v>1662</v>
      </c>
      <c r="G89" s="614" t="s">
        <v>1663</v>
      </c>
      <c r="H89" s="609" t="s">
        <v>1664</v>
      </c>
      <c r="I89" s="615"/>
    </row>
    <row r="90">
      <c r="A90" s="609" t="s">
        <v>101</v>
      </c>
      <c r="B90" s="609" t="s">
        <v>1383</v>
      </c>
      <c r="C90" s="638" t="s">
        <v>1591</v>
      </c>
      <c r="D90" s="638" t="s">
        <v>114</v>
      </c>
      <c r="E90" s="639">
        <v>44342.0</v>
      </c>
      <c r="F90" s="614" t="s">
        <v>1665</v>
      </c>
      <c r="G90" s="614" t="s">
        <v>1600</v>
      </c>
      <c r="H90" s="609" t="s">
        <v>1666</v>
      </c>
      <c r="I90" s="615"/>
    </row>
    <row r="91">
      <c r="A91" s="609" t="s">
        <v>101</v>
      </c>
      <c r="B91" s="609" t="s">
        <v>1383</v>
      </c>
      <c r="C91" s="638" t="s">
        <v>1643</v>
      </c>
      <c r="D91" s="638" t="s">
        <v>114</v>
      </c>
      <c r="E91" s="639">
        <v>44188.0</v>
      </c>
      <c r="F91" s="614" t="s">
        <v>1667</v>
      </c>
      <c r="G91" s="614" t="s">
        <v>1668</v>
      </c>
      <c r="H91" s="609" t="s">
        <v>1669</v>
      </c>
      <c r="I91" s="615"/>
    </row>
    <row r="92">
      <c r="A92" s="609" t="s">
        <v>101</v>
      </c>
      <c r="B92" s="609" t="s">
        <v>1383</v>
      </c>
      <c r="C92" s="638" t="s">
        <v>1598</v>
      </c>
      <c r="D92" s="638" t="s">
        <v>114</v>
      </c>
      <c r="E92" s="639">
        <v>44285.0</v>
      </c>
      <c r="F92" s="614" t="s">
        <v>1670</v>
      </c>
      <c r="G92" s="614" t="s">
        <v>1645</v>
      </c>
      <c r="H92" s="609" t="s">
        <v>1671</v>
      </c>
      <c r="I92" s="615"/>
    </row>
    <row r="93">
      <c r="A93" s="609" t="s">
        <v>101</v>
      </c>
      <c r="B93" s="609" t="s">
        <v>1383</v>
      </c>
      <c r="C93" s="638" t="s">
        <v>1650</v>
      </c>
      <c r="D93" s="638" t="s">
        <v>114</v>
      </c>
      <c r="E93" s="639">
        <v>44217.0</v>
      </c>
      <c r="F93" s="614" t="s">
        <v>1672</v>
      </c>
      <c r="G93" s="614" t="s">
        <v>1638</v>
      </c>
      <c r="H93" s="609" t="s">
        <v>1673</v>
      </c>
      <c r="I93" s="615"/>
    </row>
    <row r="94">
      <c r="A94" s="609" t="s">
        <v>101</v>
      </c>
      <c r="B94" s="609" t="s">
        <v>1383</v>
      </c>
      <c r="C94" s="638" t="s">
        <v>1607</v>
      </c>
      <c r="D94" s="638" t="s">
        <v>114</v>
      </c>
      <c r="E94" s="639">
        <v>44293.0</v>
      </c>
      <c r="F94" s="614" t="s">
        <v>1674</v>
      </c>
      <c r="G94" s="614" t="s">
        <v>1626</v>
      </c>
      <c r="H94" s="609" t="s">
        <v>1675</v>
      </c>
      <c r="I94" s="615"/>
    </row>
    <row r="95">
      <c r="A95" s="609" t="s">
        <v>101</v>
      </c>
      <c r="B95" s="609" t="s">
        <v>1383</v>
      </c>
      <c r="C95" s="638" t="s">
        <v>1655</v>
      </c>
      <c r="D95" s="638" t="s">
        <v>114</v>
      </c>
      <c r="E95" s="639">
        <v>44309.0</v>
      </c>
      <c r="F95" s="614" t="s">
        <v>1676</v>
      </c>
      <c r="G95" s="614" t="s">
        <v>1645</v>
      </c>
      <c r="H95" s="609" t="s">
        <v>1677</v>
      </c>
      <c r="I95" s="615"/>
    </row>
    <row r="96">
      <c r="A96" s="609" t="s">
        <v>101</v>
      </c>
      <c r="B96" s="609" t="s">
        <v>1383</v>
      </c>
      <c r="C96" s="638" t="s">
        <v>1587</v>
      </c>
      <c r="D96" s="638" t="s">
        <v>120</v>
      </c>
      <c r="E96" s="639">
        <v>45306.0</v>
      </c>
      <c r="F96" s="614" t="s">
        <v>1678</v>
      </c>
      <c r="G96" s="614" t="s">
        <v>1679</v>
      </c>
      <c r="H96" s="609" t="s">
        <v>1680</v>
      </c>
      <c r="I96" s="615"/>
    </row>
    <row r="97">
      <c r="A97" s="609" t="s">
        <v>101</v>
      </c>
      <c r="B97" s="609" t="s">
        <v>1383</v>
      </c>
      <c r="C97" s="638" t="s">
        <v>1647</v>
      </c>
      <c r="D97" s="638" t="s">
        <v>120</v>
      </c>
      <c r="E97" s="639">
        <v>44463.0</v>
      </c>
      <c r="F97" s="614" t="s">
        <v>1681</v>
      </c>
      <c r="G97" s="614" t="s">
        <v>1682</v>
      </c>
      <c r="H97" s="609" t="s">
        <v>1683</v>
      </c>
      <c r="I97" s="615"/>
    </row>
    <row r="98">
      <c r="A98" s="609" t="s">
        <v>1409</v>
      </c>
      <c r="B98" s="609" t="s">
        <v>1400</v>
      </c>
      <c r="C98" s="638" t="s">
        <v>100</v>
      </c>
      <c r="D98" s="638" t="s">
        <v>80</v>
      </c>
      <c r="E98" s="639">
        <v>45825.0</v>
      </c>
      <c r="F98" s="614" t="s">
        <v>1684</v>
      </c>
      <c r="G98" s="614" t="s">
        <v>1685</v>
      </c>
      <c r="H98" s="609" t="s">
        <v>1686</v>
      </c>
      <c r="I98" s="615"/>
    </row>
    <row r="99">
      <c r="A99" s="609" t="s">
        <v>1409</v>
      </c>
      <c r="B99" s="609" t="s">
        <v>1400</v>
      </c>
      <c r="C99" s="638" t="s">
        <v>120</v>
      </c>
      <c r="D99" s="638" t="s">
        <v>80</v>
      </c>
      <c r="E99" s="639">
        <v>45161.0</v>
      </c>
      <c r="F99" s="614" t="s">
        <v>1687</v>
      </c>
      <c r="G99" s="614" t="s">
        <v>1688</v>
      </c>
      <c r="H99" s="609" t="s">
        <v>1689</v>
      </c>
      <c r="I99" s="615"/>
    </row>
    <row r="100">
      <c r="A100" s="609" t="s">
        <v>1409</v>
      </c>
      <c r="B100" s="609" t="s">
        <v>1400</v>
      </c>
      <c r="C100" s="638" t="s">
        <v>80</v>
      </c>
      <c r="D100" s="638" t="s">
        <v>90</v>
      </c>
      <c r="E100" s="639">
        <v>45839.0</v>
      </c>
      <c r="F100" s="614" t="s">
        <v>1691</v>
      </c>
      <c r="G100" s="614" t="s">
        <v>1692</v>
      </c>
      <c r="H100" s="609" t="s">
        <v>1693</v>
      </c>
      <c r="I100" s="615"/>
    </row>
    <row r="101">
      <c r="A101" s="609" t="s">
        <v>1409</v>
      </c>
      <c r="B101" s="609" t="s">
        <v>1400</v>
      </c>
      <c r="C101" s="638" t="s">
        <v>80</v>
      </c>
      <c r="D101" s="638" t="s">
        <v>100</v>
      </c>
      <c r="E101" s="639">
        <v>44228.0</v>
      </c>
      <c r="F101" s="614" t="s">
        <v>1694</v>
      </c>
      <c r="G101" s="614" t="s">
        <v>1626</v>
      </c>
      <c r="H101" s="609" t="s">
        <v>1695</v>
      </c>
      <c r="I101" s="615"/>
    </row>
    <row r="102">
      <c r="A102" s="609" t="s">
        <v>1435</v>
      </c>
      <c r="B102" s="609" t="s">
        <v>1400</v>
      </c>
      <c r="C102" s="638" t="s">
        <v>181</v>
      </c>
      <c r="D102" s="638" t="s">
        <v>100</v>
      </c>
      <c r="E102" s="639">
        <v>43613.0</v>
      </c>
      <c r="F102" s="614" t="s">
        <v>1696</v>
      </c>
      <c r="G102" s="614" t="s">
        <v>1697</v>
      </c>
      <c r="H102" s="609" t="s">
        <v>1698</v>
      </c>
      <c r="I102" s="615"/>
    </row>
    <row r="103">
      <c r="A103" s="609" t="s">
        <v>1435</v>
      </c>
      <c r="B103" s="609" t="s">
        <v>1400</v>
      </c>
      <c r="C103" s="638" t="s">
        <v>80</v>
      </c>
      <c r="D103" s="638" t="s">
        <v>106</v>
      </c>
      <c r="E103" s="639">
        <v>44186.0</v>
      </c>
      <c r="F103" s="614" t="s">
        <v>1699</v>
      </c>
      <c r="G103" s="614" t="s">
        <v>1700</v>
      </c>
      <c r="H103" s="609" t="s">
        <v>1701</v>
      </c>
      <c r="I103" s="615"/>
    </row>
    <row r="104">
      <c r="A104" s="609" t="s">
        <v>1435</v>
      </c>
      <c r="B104" s="609" t="s">
        <v>1400</v>
      </c>
      <c r="C104" s="638" t="s">
        <v>90</v>
      </c>
      <c r="D104" s="638" t="s">
        <v>106</v>
      </c>
      <c r="E104" s="639">
        <v>44186.0</v>
      </c>
      <c r="F104" s="614" t="s">
        <v>1699</v>
      </c>
      <c r="G104" s="614" t="s">
        <v>1700</v>
      </c>
      <c r="H104" s="609" t="s">
        <v>1702</v>
      </c>
      <c r="I104" s="615"/>
    </row>
    <row r="105">
      <c r="A105" s="609" t="s">
        <v>1435</v>
      </c>
      <c r="B105" s="609" t="s">
        <v>1400</v>
      </c>
      <c r="C105" s="638" t="s">
        <v>114</v>
      </c>
      <c r="D105" s="638" t="s">
        <v>120</v>
      </c>
      <c r="E105" s="639">
        <v>42814.0</v>
      </c>
      <c r="F105" s="614" t="s">
        <v>1703</v>
      </c>
      <c r="G105" s="614" t="s">
        <v>1626</v>
      </c>
      <c r="H105" s="609" t="s">
        <v>1704</v>
      </c>
      <c r="I105" s="614" t="s">
        <v>1705</v>
      </c>
    </row>
    <row r="106">
      <c r="A106" s="609" t="s">
        <v>1451</v>
      </c>
      <c r="B106" s="609" t="s">
        <v>1400</v>
      </c>
      <c r="C106" s="638" t="s">
        <v>80</v>
      </c>
      <c r="D106" s="638" t="s">
        <v>90</v>
      </c>
      <c r="E106" s="639">
        <v>45190.0</v>
      </c>
      <c r="F106" s="614" t="s">
        <v>1706</v>
      </c>
      <c r="G106" s="614" t="s">
        <v>1626</v>
      </c>
      <c r="H106" s="609" t="s">
        <v>1707</v>
      </c>
      <c r="I106" s="615"/>
    </row>
    <row r="107">
      <c r="A107" s="609" t="s">
        <v>1451</v>
      </c>
      <c r="B107" s="609" t="s">
        <v>1400</v>
      </c>
      <c r="C107" s="638" t="s">
        <v>90</v>
      </c>
      <c r="D107" s="638" t="s">
        <v>90</v>
      </c>
      <c r="E107" s="639">
        <v>44664.0</v>
      </c>
      <c r="F107" s="614" t="s">
        <v>1706</v>
      </c>
      <c r="G107" s="614" t="s">
        <v>1626</v>
      </c>
      <c r="H107" s="609" t="s">
        <v>1709</v>
      </c>
      <c r="I107" s="615"/>
    </row>
    <row r="108">
      <c r="A108" s="609" t="s">
        <v>1451</v>
      </c>
      <c r="B108" s="609" t="s">
        <v>1400</v>
      </c>
      <c r="C108" s="638" t="s">
        <v>120</v>
      </c>
      <c r="D108" s="638" t="s">
        <v>143</v>
      </c>
      <c r="E108" s="639">
        <v>43889.0</v>
      </c>
      <c r="F108" s="614" t="s">
        <v>1710</v>
      </c>
      <c r="G108" s="614" t="s">
        <v>1711</v>
      </c>
      <c r="H108" s="609" t="s">
        <v>1712</v>
      </c>
      <c r="I108" s="615"/>
    </row>
    <row r="109">
      <c r="A109" s="609" t="s">
        <v>1451</v>
      </c>
      <c r="B109" s="609" t="s">
        <v>1400</v>
      </c>
      <c r="C109" s="638" t="s">
        <v>126</v>
      </c>
      <c r="D109" s="638" t="s">
        <v>143</v>
      </c>
      <c r="E109" s="639">
        <v>43889.0</v>
      </c>
      <c r="F109" s="614" t="s">
        <v>1710</v>
      </c>
      <c r="G109" s="614" t="s">
        <v>1711</v>
      </c>
      <c r="H109" s="609" t="s">
        <v>1713</v>
      </c>
      <c r="I109" s="615"/>
    </row>
    <row r="110">
      <c r="A110" s="609" t="s">
        <v>1451</v>
      </c>
      <c r="B110" s="609" t="s">
        <v>1400</v>
      </c>
      <c r="C110" s="638" t="s">
        <v>100</v>
      </c>
      <c r="D110" s="638" t="s">
        <v>160</v>
      </c>
      <c r="E110" s="639">
        <v>45061.0</v>
      </c>
      <c r="F110" s="614" t="s">
        <v>1714</v>
      </c>
      <c r="G110" s="614" t="s">
        <v>1715</v>
      </c>
      <c r="H110" s="609" t="s">
        <v>1716</v>
      </c>
      <c r="I110" s="615"/>
    </row>
    <row r="111">
      <c r="A111" s="609" t="s">
        <v>1451</v>
      </c>
      <c r="B111" s="609" t="s">
        <v>1400</v>
      </c>
      <c r="C111" s="638" t="s">
        <v>106</v>
      </c>
      <c r="D111" s="638" t="s">
        <v>168</v>
      </c>
      <c r="E111" s="639">
        <v>45054.0</v>
      </c>
      <c r="F111" s="614" t="s">
        <v>1718</v>
      </c>
      <c r="G111" s="614" t="s">
        <v>1711</v>
      </c>
      <c r="H111" s="609" t="s">
        <v>1719</v>
      </c>
      <c r="I111" s="615"/>
    </row>
    <row r="112">
      <c r="A112" s="609" t="s">
        <v>1451</v>
      </c>
      <c r="B112" s="609" t="s">
        <v>1400</v>
      </c>
      <c r="C112" s="638" t="s">
        <v>126</v>
      </c>
      <c r="D112" s="638" t="s">
        <v>168</v>
      </c>
      <c r="E112" s="639">
        <v>45707.0</v>
      </c>
      <c r="F112" s="614" t="s">
        <v>1720</v>
      </c>
      <c r="G112" s="614" t="s">
        <v>1721</v>
      </c>
      <c r="H112" s="609" t="s">
        <v>1722</v>
      </c>
      <c r="I112" s="615"/>
    </row>
    <row r="113">
      <c r="A113" s="609" t="s">
        <v>1451</v>
      </c>
      <c r="B113" s="609" t="s">
        <v>1400</v>
      </c>
      <c r="C113" s="638" t="s">
        <v>134</v>
      </c>
      <c r="D113" s="638" t="s">
        <v>168</v>
      </c>
      <c r="E113" s="639">
        <v>45910.0</v>
      </c>
      <c r="F113" s="614" t="s">
        <v>1723</v>
      </c>
      <c r="G113" s="614" t="s">
        <v>1724</v>
      </c>
      <c r="H113" s="609" t="s">
        <v>1725</v>
      </c>
      <c r="I113" s="615"/>
    </row>
    <row r="114">
      <c r="A114" s="609" t="s">
        <v>1451</v>
      </c>
      <c r="B114" s="609" t="s">
        <v>1400</v>
      </c>
      <c r="C114" s="638" t="s">
        <v>143</v>
      </c>
      <c r="D114" s="638" t="s">
        <v>168</v>
      </c>
      <c r="E114" s="639">
        <v>45910.0</v>
      </c>
      <c r="F114" s="614" t="s">
        <v>1723</v>
      </c>
      <c r="G114" s="614" t="s">
        <v>1724</v>
      </c>
      <c r="H114" s="609" t="s">
        <v>1726</v>
      </c>
      <c r="I114" s="615"/>
    </row>
    <row r="115">
      <c r="A115" s="609" t="s">
        <v>1451</v>
      </c>
      <c r="B115" s="609" t="s">
        <v>1400</v>
      </c>
      <c r="C115" s="638" t="s">
        <v>150</v>
      </c>
      <c r="D115" s="638" t="s">
        <v>168</v>
      </c>
      <c r="E115" s="639">
        <v>43789.0</v>
      </c>
      <c r="F115" s="614" t="s">
        <v>1727</v>
      </c>
      <c r="G115" s="614" t="s">
        <v>1626</v>
      </c>
      <c r="H115" s="609" t="s">
        <v>1728</v>
      </c>
      <c r="I115" s="615"/>
    </row>
    <row r="116">
      <c r="A116" s="609" t="s">
        <v>1457</v>
      </c>
      <c r="B116" s="609" t="s">
        <v>1400</v>
      </c>
      <c r="C116" s="638" t="s">
        <v>80</v>
      </c>
      <c r="D116" s="638" t="s">
        <v>80</v>
      </c>
      <c r="E116" s="639">
        <v>45597.0</v>
      </c>
      <c r="F116" s="614" t="s">
        <v>1730</v>
      </c>
      <c r="G116" s="614" t="s">
        <v>1692</v>
      </c>
      <c r="H116" s="609" t="s">
        <v>1731</v>
      </c>
      <c r="I116" s="615"/>
    </row>
    <row r="117">
      <c r="A117" s="609" t="s">
        <v>1457</v>
      </c>
      <c r="B117" s="609" t="s">
        <v>1400</v>
      </c>
      <c r="C117" s="638" t="s">
        <v>90</v>
      </c>
      <c r="D117" s="638" t="s">
        <v>80</v>
      </c>
      <c r="E117" s="639">
        <v>38860.0</v>
      </c>
      <c r="F117" s="614" t="s">
        <v>1732</v>
      </c>
      <c r="G117" s="614" t="s">
        <v>1626</v>
      </c>
      <c r="H117" s="609" t="s">
        <v>1733</v>
      </c>
      <c r="I117" s="614" t="s">
        <v>1705</v>
      </c>
    </row>
    <row r="118">
      <c r="A118" s="609" t="s">
        <v>1457</v>
      </c>
      <c r="B118" s="609" t="s">
        <v>1400</v>
      </c>
      <c r="C118" s="638" t="s">
        <v>134</v>
      </c>
      <c r="D118" s="638" t="s">
        <v>80</v>
      </c>
      <c r="E118" s="639">
        <v>45910.0</v>
      </c>
      <c r="F118" s="614" t="s">
        <v>1723</v>
      </c>
      <c r="G118" s="614" t="s">
        <v>1724</v>
      </c>
      <c r="H118" s="609" t="s">
        <v>1734</v>
      </c>
      <c r="I118" s="614" t="s">
        <v>1735</v>
      </c>
    </row>
    <row r="119">
      <c r="A119" s="609" t="s">
        <v>1457</v>
      </c>
      <c r="B119" s="609" t="s">
        <v>1400</v>
      </c>
      <c r="C119" s="638" t="s">
        <v>143</v>
      </c>
      <c r="D119" s="638" t="s">
        <v>80</v>
      </c>
      <c r="E119" s="639">
        <v>45572.0</v>
      </c>
      <c r="F119" s="614" t="s">
        <v>1736</v>
      </c>
      <c r="G119" s="614" t="s">
        <v>1737</v>
      </c>
      <c r="H119" s="609" t="s">
        <v>1738</v>
      </c>
      <c r="I119" s="615"/>
    </row>
    <row r="120">
      <c r="A120" s="609" t="s">
        <v>1457</v>
      </c>
      <c r="B120" s="609" t="s">
        <v>1400</v>
      </c>
      <c r="C120" s="638" t="s">
        <v>100</v>
      </c>
      <c r="D120" s="638" t="s">
        <v>90</v>
      </c>
      <c r="E120" s="639">
        <v>45475.0</v>
      </c>
      <c r="F120" s="614" t="s">
        <v>1739</v>
      </c>
      <c r="G120" s="614" t="s">
        <v>1740</v>
      </c>
      <c r="H120" s="609" t="s">
        <v>1741</v>
      </c>
      <c r="I120" s="615"/>
    </row>
    <row r="121">
      <c r="A121" s="609" t="s">
        <v>1457</v>
      </c>
      <c r="B121" s="609" t="s">
        <v>1400</v>
      </c>
      <c r="C121" s="638" t="s">
        <v>80</v>
      </c>
      <c r="D121" s="638" t="s">
        <v>100</v>
      </c>
      <c r="E121" s="639">
        <v>45278.0</v>
      </c>
      <c r="F121" s="614" t="s">
        <v>1742</v>
      </c>
      <c r="G121" s="614" t="s">
        <v>1626</v>
      </c>
      <c r="H121" s="609" t="s">
        <v>1743</v>
      </c>
      <c r="I121" s="615"/>
    </row>
    <row r="122">
      <c r="A122" s="609" t="s">
        <v>1457</v>
      </c>
      <c r="B122" s="609" t="s">
        <v>1400</v>
      </c>
      <c r="C122" s="638" t="s">
        <v>90</v>
      </c>
      <c r="D122" s="638" t="s">
        <v>100</v>
      </c>
      <c r="E122" s="639">
        <v>45278.0</v>
      </c>
      <c r="F122" s="614" t="s">
        <v>1742</v>
      </c>
      <c r="G122" s="614" t="s">
        <v>1626</v>
      </c>
      <c r="H122" s="609" t="s">
        <v>1744</v>
      </c>
      <c r="I122" s="615"/>
    </row>
    <row r="123">
      <c r="A123" s="609" t="s">
        <v>1457</v>
      </c>
      <c r="B123" s="609" t="s">
        <v>1400</v>
      </c>
      <c r="C123" s="638" t="s">
        <v>100</v>
      </c>
      <c r="D123" s="638" t="s">
        <v>100</v>
      </c>
      <c r="E123" s="639">
        <v>45483.0</v>
      </c>
      <c r="F123" s="614" t="s">
        <v>1746</v>
      </c>
      <c r="G123" s="614" t="s">
        <v>1697</v>
      </c>
      <c r="H123" s="609" t="s">
        <v>1747</v>
      </c>
      <c r="I123" s="615"/>
    </row>
    <row r="124">
      <c r="A124" s="609" t="s">
        <v>1457</v>
      </c>
      <c r="B124" s="609" t="s">
        <v>1400</v>
      </c>
      <c r="C124" s="638" t="s">
        <v>114</v>
      </c>
      <c r="D124" s="638" t="s">
        <v>100</v>
      </c>
      <c r="E124" s="639">
        <v>45839.0</v>
      </c>
      <c r="F124" s="614" t="s">
        <v>1691</v>
      </c>
      <c r="G124" s="614" t="s">
        <v>1692</v>
      </c>
      <c r="H124" s="609" t="s">
        <v>1748</v>
      </c>
      <c r="I124" s="615"/>
    </row>
    <row r="125">
      <c r="A125" s="609" t="s">
        <v>1457</v>
      </c>
      <c r="B125" s="609" t="s">
        <v>1400</v>
      </c>
      <c r="C125" s="638" t="s">
        <v>80</v>
      </c>
      <c r="D125" s="638" t="s">
        <v>106</v>
      </c>
      <c r="E125" s="639">
        <v>45195.0</v>
      </c>
      <c r="F125" s="614" t="s">
        <v>1749</v>
      </c>
      <c r="G125" s="614" t="s">
        <v>1697</v>
      </c>
      <c r="H125" s="609" t="s">
        <v>1750</v>
      </c>
      <c r="I125" s="615"/>
    </row>
    <row r="126">
      <c r="A126" s="609" t="s">
        <v>1457</v>
      </c>
      <c r="B126" s="609" t="s">
        <v>1400</v>
      </c>
      <c r="C126" s="638" t="s">
        <v>90</v>
      </c>
      <c r="D126" s="638" t="s">
        <v>106</v>
      </c>
      <c r="E126" s="639">
        <v>33744.0</v>
      </c>
      <c r="F126" s="614" t="s">
        <v>1749</v>
      </c>
      <c r="G126" s="614" t="s">
        <v>1626</v>
      </c>
      <c r="H126" s="609" t="s">
        <v>1751</v>
      </c>
      <c r="I126" s="614" t="s">
        <v>1705</v>
      </c>
    </row>
    <row r="127">
      <c r="A127" s="609" t="s">
        <v>1457</v>
      </c>
      <c r="B127" s="609" t="s">
        <v>1400</v>
      </c>
      <c r="C127" s="638" t="s">
        <v>106</v>
      </c>
      <c r="D127" s="638" t="s">
        <v>106</v>
      </c>
      <c r="E127" s="639">
        <v>45177.0</v>
      </c>
      <c r="F127" s="614" t="s">
        <v>1752</v>
      </c>
      <c r="G127" s="614" t="s">
        <v>1753</v>
      </c>
      <c r="H127" s="609" t="s">
        <v>1754</v>
      </c>
      <c r="I127" s="615"/>
    </row>
    <row r="128">
      <c r="A128" s="609" t="s">
        <v>1457</v>
      </c>
      <c r="B128" s="609" t="s">
        <v>1400</v>
      </c>
      <c r="C128" s="638" t="s">
        <v>90</v>
      </c>
      <c r="D128" s="638" t="s">
        <v>114</v>
      </c>
      <c r="E128" s="639">
        <v>45372.0</v>
      </c>
      <c r="F128" s="614" t="s">
        <v>1755</v>
      </c>
      <c r="G128" s="614" t="s">
        <v>1626</v>
      </c>
      <c r="H128" s="609" t="s">
        <v>1756</v>
      </c>
      <c r="I128" s="615"/>
    </row>
    <row r="129">
      <c r="A129" s="609" t="s">
        <v>1459</v>
      </c>
      <c r="B129" s="609" t="s">
        <v>1400</v>
      </c>
      <c r="C129" s="638" t="s">
        <v>175</v>
      </c>
      <c r="D129" s="638" t="s">
        <v>114</v>
      </c>
      <c r="E129" s="639">
        <v>45870.0</v>
      </c>
      <c r="F129" s="614" t="s">
        <v>1757</v>
      </c>
      <c r="G129" s="614" t="s">
        <v>1626</v>
      </c>
      <c r="H129" s="609" t="s">
        <v>1758</v>
      </c>
      <c r="I129" s="614" t="s">
        <v>1760</v>
      </c>
    </row>
    <row r="130">
      <c r="A130" s="609" t="s">
        <v>1459</v>
      </c>
      <c r="B130" s="609" t="s">
        <v>1400</v>
      </c>
      <c r="C130" s="638" t="s">
        <v>1761</v>
      </c>
      <c r="D130" s="638" t="s">
        <v>1762</v>
      </c>
      <c r="E130" s="640"/>
      <c r="F130" s="615"/>
      <c r="G130" s="614" t="s">
        <v>1763</v>
      </c>
      <c r="H130" s="609" t="s">
        <v>1764</v>
      </c>
      <c r="I130" s="614" t="s">
        <v>1620</v>
      </c>
    </row>
    <row r="131">
      <c r="A131" s="609" t="s">
        <v>1459</v>
      </c>
      <c r="B131" s="609" t="s">
        <v>1400</v>
      </c>
      <c r="C131" s="638" t="s">
        <v>160</v>
      </c>
      <c r="D131" s="638" t="s">
        <v>1765</v>
      </c>
      <c r="E131" s="640"/>
      <c r="F131" s="615"/>
      <c r="G131" s="614" t="s">
        <v>1763</v>
      </c>
      <c r="H131" s="609" t="s">
        <v>1766</v>
      </c>
      <c r="I131" s="614" t="s">
        <v>1620</v>
      </c>
    </row>
    <row r="132">
      <c r="A132" s="609" t="s">
        <v>1459</v>
      </c>
      <c r="B132" s="609" t="s">
        <v>1400</v>
      </c>
      <c r="C132" s="638" t="s">
        <v>175</v>
      </c>
      <c r="D132" s="638" t="s">
        <v>1765</v>
      </c>
      <c r="E132" s="640"/>
      <c r="F132" s="615"/>
      <c r="G132" s="614" t="s">
        <v>1763</v>
      </c>
      <c r="H132" s="609" t="s">
        <v>1767</v>
      </c>
      <c r="I132" s="614" t="s">
        <v>1620</v>
      </c>
    </row>
    <row r="133">
      <c r="A133" s="609" t="s">
        <v>1459</v>
      </c>
      <c r="B133" s="609" t="s">
        <v>1400</v>
      </c>
      <c r="C133" s="638" t="s">
        <v>106</v>
      </c>
      <c r="D133" s="638" t="s">
        <v>181</v>
      </c>
      <c r="E133" s="639">
        <v>39965.0</v>
      </c>
      <c r="F133" s="614" t="s">
        <v>1768</v>
      </c>
      <c r="G133" s="614" t="s">
        <v>1769</v>
      </c>
      <c r="H133" s="609" t="s">
        <v>1770</v>
      </c>
      <c r="I133" s="614" t="s">
        <v>1705</v>
      </c>
    </row>
    <row r="134">
      <c r="A134" s="609" t="s">
        <v>1459</v>
      </c>
      <c r="B134" s="609" t="s">
        <v>1400</v>
      </c>
      <c r="C134" s="638" t="s">
        <v>168</v>
      </c>
      <c r="D134" s="638" t="s">
        <v>181</v>
      </c>
      <c r="E134" s="639">
        <v>39010.0</v>
      </c>
      <c r="F134" s="614" t="s">
        <v>1772</v>
      </c>
      <c r="G134" s="614" t="s">
        <v>1769</v>
      </c>
      <c r="H134" s="609" t="s">
        <v>1773</v>
      </c>
      <c r="I134" s="614" t="s">
        <v>1705</v>
      </c>
    </row>
    <row r="135">
      <c r="A135" s="609" t="s">
        <v>1461</v>
      </c>
      <c r="B135" s="609" t="s">
        <v>1400</v>
      </c>
      <c r="C135" s="638" t="s">
        <v>100</v>
      </c>
      <c r="D135" s="638" t="s">
        <v>100</v>
      </c>
      <c r="E135" s="639">
        <v>45191.0</v>
      </c>
      <c r="F135" s="614" t="s">
        <v>1774</v>
      </c>
      <c r="G135" s="614" t="s">
        <v>1775</v>
      </c>
      <c r="H135" s="609" t="s">
        <v>1776</v>
      </c>
      <c r="I135" s="615"/>
    </row>
    <row r="136">
      <c r="A136" s="609" t="s">
        <v>1461</v>
      </c>
      <c r="B136" s="609" t="s">
        <v>1400</v>
      </c>
      <c r="C136" s="638" t="s">
        <v>106</v>
      </c>
      <c r="D136" s="638" t="s">
        <v>100</v>
      </c>
      <c r="E136" s="639">
        <v>41592.0</v>
      </c>
      <c r="F136" s="614" t="s">
        <v>1774</v>
      </c>
      <c r="G136" s="614" t="s">
        <v>1626</v>
      </c>
      <c r="H136" s="609" t="s">
        <v>1777</v>
      </c>
      <c r="I136" s="614" t="s">
        <v>1705</v>
      </c>
    </row>
    <row r="137">
      <c r="A137" s="609" t="s">
        <v>1461</v>
      </c>
      <c r="B137" s="609" t="s">
        <v>1400</v>
      </c>
      <c r="C137" s="638" t="s">
        <v>90</v>
      </c>
      <c r="D137" s="638" t="s">
        <v>114</v>
      </c>
      <c r="E137" s="639">
        <v>42166.0</v>
      </c>
      <c r="F137" s="614" t="s">
        <v>1778</v>
      </c>
      <c r="G137" s="614" t="s">
        <v>1779</v>
      </c>
      <c r="H137" s="609" t="s">
        <v>1780</v>
      </c>
      <c r="I137" s="614" t="s">
        <v>1705</v>
      </c>
    </row>
    <row r="138">
      <c r="A138" s="609" t="s">
        <v>1461</v>
      </c>
      <c r="B138" s="609" t="s">
        <v>1400</v>
      </c>
      <c r="C138" s="638" t="s">
        <v>120</v>
      </c>
      <c r="D138" s="638" t="s">
        <v>114</v>
      </c>
      <c r="E138" s="639">
        <v>41467.0</v>
      </c>
      <c r="F138" s="614" t="s">
        <v>1778</v>
      </c>
      <c r="G138" s="614" t="s">
        <v>1782</v>
      </c>
      <c r="H138" s="609" t="s">
        <v>1783</v>
      </c>
      <c r="I138" s="614" t="s">
        <v>1705</v>
      </c>
    </row>
    <row r="139">
      <c r="A139" s="609" t="s">
        <v>1461</v>
      </c>
      <c r="B139" s="609" t="s">
        <v>1400</v>
      </c>
      <c r="C139" s="638" t="s">
        <v>126</v>
      </c>
      <c r="D139" s="638" t="s">
        <v>114</v>
      </c>
      <c r="E139" s="639">
        <v>42017.0</v>
      </c>
      <c r="F139" s="614" t="s">
        <v>1778</v>
      </c>
      <c r="G139" s="614" t="s">
        <v>1626</v>
      </c>
      <c r="H139" s="609" t="s">
        <v>1784</v>
      </c>
      <c r="I139" s="614" t="s">
        <v>1705</v>
      </c>
    </row>
    <row r="140">
      <c r="A140" s="609" t="s">
        <v>1461</v>
      </c>
      <c r="B140" s="609" t="s">
        <v>1400</v>
      </c>
      <c r="C140" s="638" t="s">
        <v>80</v>
      </c>
      <c r="D140" s="638" t="s">
        <v>126</v>
      </c>
      <c r="E140" s="639">
        <v>45113.0</v>
      </c>
      <c r="F140" s="614" t="s">
        <v>1785</v>
      </c>
      <c r="G140" s="614" t="s">
        <v>1786</v>
      </c>
      <c r="H140" s="609" t="s">
        <v>1787</v>
      </c>
      <c r="I140" s="615"/>
    </row>
    <row r="141">
      <c r="A141" s="609" t="s">
        <v>1461</v>
      </c>
      <c r="B141" s="609" t="s">
        <v>1400</v>
      </c>
      <c r="C141" s="638" t="s">
        <v>90</v>
      </c>
      <c r="D141" s="638" t="s">
        <v>126</v>
      </c>
      <c r="E141" s="639">
        <v>45113.0</v>
      </c>
      <c r="F141" s="614" t="s">
        <v>1785</v>
      </c>
      <c r="G141" s="614" t="s">
        <v>1786</v>
      </c>
      <c r="H141" s="609" t="s">
        <v>1788</v>
      </c>
      <c r="I141" s="615"/>
    </row>
    <row r="142">
      <c r="A142" s="609" t="s">
        <v>1461</v>
      </c>
      <c r="B142" s="609" t="s">
        <v>1400</v>
      </c>
      <c r="C142" s="638" t="s">
        <v>106</v>
      </c>
      <c r="D142" s="638" t="s">
        <v>126</v>
      </c>
      <c r="E142" s="639">
        <v>43864.0</v>
      </c>
      <c r="F142" s="614" t="s">
        <v>1789</v>
      </c>
      <c r="G142" s="614" t="s">
        <v>1790</v>
      </c>
      <c r="H142" s="609" t="s">
        <v>1791</v>
      </c>
      <c r="I142" s="615"/>
    </row>
    <row r="143">
      <c r="A143" s="609" t="s">
        <v>1461</v>
      </c>
      <c r="B143" s="609" t="s">
        <v>1400</v>
      </c>
      <c r="C143" s="638" t="s">
        <v>80</v>
      </c>
      <c r="D143" s="638" t="s">
        <v>155</v>
      </c>
      <c r="E143" s="639">
        <v>44557.0</v>
      </c>
      <c r="F143" s="614" t="s">
        <v>1792</v>
      </c>
      <c r="G143" s="614" t="s">
        <v>1793</v>
      </c>
      <c r="H143" s="609" t="s">
        <v>1794</v>
      </c>
      <c r="I143" s="615"/>
    </row>
    <row r="144">
      <c r="A144" s="609" t="s">
        <v>1466</v>
      </c>
      <c r="B144" s="609" t="s">
        <v>1464</v>
      </c>
      <c r="C144" s="638" t="s">
        <v>1795</v>
      </c>
      <c r="D144" s="638" t="s">
        <v>120</v>
      </c>
      <c r="E144" s="639">
        <v>45146.0</v>
      </c>
      <c r="F144" s="614" t="s">
        <v>1796</v>
      </c>
      <c r="G144" s="614" t="s">
        <v>1797</v>
      </c>
      <c r="H144" s="609" t="s">
        <v>1798</v>
      </c>
      <c r="I144" s="615"/>
    </row>
    <row r="145">
      <c r="A145" s="609" t="s">
        <v>1466</v>
      </c>
      <c r="B145" s="609" t="s">
        <v>1464</v>
      </c>
      <c r="C145" s="638" t="s">
        <v>1799</v>
      </c>
      <c r="D145" s="638" t="s">
        <v>120</v>
      </c>
      <c r="E145" s="639">
        <v>44624.0</v>
      </c>
      <c r="F145" s="614" t="s">
        <v>1796</v>
      </c>
      <c r="G145" s="614" t="s">
        <v>1626</v>
      </c>
      <c r="H145" s="609" t="s">
        <v>1801</v>
      </c>
      <c r="I145" s="615"/>
    </row>
    <row r="146">
      <c r="A146" s="609" t="s">
        <v>1466</v>
      </c>
      <c r="B146" s="609" t="s">
        <v>1464</v>
      </c>
      <c r="C146" s="638" t="s">
        <v>1802</v>
      </c>
      <c r="D146" s="638" t="s">
        <v>120</v>
      </c>
      <c r="E146" s="639">
        <v>44659.0</v>
      </c>
      <c r="F146" s="614" t="s">
        <v>1803</v>
      </c>
      <c r="G146" s="614" t="s">
        <v>1626</v>
      </c>
      <c r="H146" s="609" t="s">
        <v>1804</v>
      </c>
      <c r="I146" s="615"/>
    </row>
    <row r="147">
      <c r="A147" s="609" t="s">
        <v>1466</v>
      </c>
      <c r="B147" s="609" t="s">
        <v>1464</v>
      </c>
      <c r="C147" s="638" t="s">
        <v>1805</v>
      </c>
      <c r="D147" s="638" t="s">
        <v>120</v>
      </c>
      <c r="E147" s="639">
        <v>45838.0</v>
      </c>
      <c r="F147" s="614" t="s">
        <v>1796</v>
      </c>
      <c r="G147" s="614" t="s">
        <v>1806</v>
      </c>
      <c r="H147" s="609" t="s">
        <v>1807</v>
      </c>
      <c r="I147" s="615"/>
    </row>
    <row r="148">
      <c r="A148" s="609" t="s">
        <v>1466</v>
      </c>
      <c r="B148" s="609" t="s">
        <v>1464</v>
      </c>
      <c r="C148" s="638" t="s">
        <v>1808</v>
      </c>
      <c r="D148" s="638" t="s">
        <v>120</v>
      </c>
      <c r="E148" s="639">
        <v>44553.0</v>
      </c>
      <c r="F148" s="614" t="s">
        <v>1809</v>
      </c>
      <c r="G148" s="614" t="s">
        <v>1626</v>
      </c>
      <c r="H148" s="609" t="s">
        <v>1810</v>
      </c>
      <c r="I148" s="615"/>
    </row>
    <row r="149">
      <c r="A149" s="609" t="s">
        <v>1466</v>
      </c>
      <c r="B149" s="609" t="s">
        <v>1464</v>
      </c>
      <c r="C149" s="638" t="s">
        <v>1811</v>
      </c>
      <c r="D149" s="638" t="s">
        <v>120</v>
      </c>
      <c r="E149" s="639">
        <v>44553.0</v>
      </c>
      <c r="F149" s="614" t="s">
        <v>1809</v>
      </c>
      <c r="G149" s="614" t="s">
        <v>1626</v>
      </c>
      <c r="H149" s="609" t="s">
        <v>1812</v>
      </c>
      <c r="I149" s="615"/>
    </row>
    <row r="150">
      <c r="A150" s="609" t="s">
        <v>1466</v>
      </c>
      <c r="B150" s="609" t="s">
        <v>1464</v>
      </c>
      <c r="C150" s="638" t="s">
        <v>1813</v>
      </c>
      <c r="D150" s="638" t="s">
        <v>120</v>
      </c>
      <c r="E150" s="639">
        <v>45792.0</v>
      </c>
      <c r="F150" s="614" t="s">
        <v>1814</v>
      </c>
      <c r="G150" s="614" t="s">
        <v>1790</v>
      </c>
      <c r="H150" s="609" t="s">
        <v>1815</v>
      </c>
      <c r="I150" s="615"/>
    </row>
    <row r="151">
      <c r="A151" s="609" t="s">
        <v>1466</v>
      </c>
      <c r="B151" s="609" t="s">
        <v>1464</v>
      </c>
      <c r="C151" s="638" t="s">
        <v>1816</v>
      </c>
      <c r="D151" s="638" t="s">
        <v>1817</v>
      </c>
      <c r="E151" s="639">
        <v>45593.0</v>
      </c>
      <c r="F151" s="614" t="s">
        <v>1814</v>
      </c>
      <c r="G151" s="614" t="s">
        <v>1626</v>
      </c>
      <c r="H151" s="609" t="s">
        <v>1818</v>
      </c>
      <c r="I151" s="615"/>
    </row>
    <row r="152">
      <c r="A152" s="609" t="s">
        <v>1466</v>
      </c>
      <c r="B152" s="609" t="s">
        <v>1464</v>
      </c>
      <c r="C152" s="638" t="s">
        <v>1819</v>
      </c>
      <c r="D152" s="638" t="s">
        <v>1817</v>
      </c>
      <c r="E152" s="639">
        <v>45716.0</v>
      </c>
      <c r="F152" s="614" t="s">
        <v>1814</v>
      </c>
      <c r="G152" s="614" t="s">
        <v>1626</v>
      </c>
      <c r="H152" s="609" t="s">
        <v>1820</v>
      </c>
      <c r="I152" s="615"/>
    </row>
    <row r="153">
      <c r="A153" s="609" t="s">
        <v>1466</v>
      </c>
      <c r="B153" s="609" t="s">
        <v>1464</v>
      </c>
      <c r="C153" s="638" t="s">
        <v>1821</v>
      </c>
      <c r="D153" s="638" t="s">
        <v>1822</v>
      </c>
      <c r="E153" s="639">
        <v>44929.0</v>
      </c>
      <c r="F153" s="614" t="s">
        <v>1823</v>
      </c>
      <c r="G153" s="614" t="s">
        <v>1711</v>
      </c>
      <c r="H153" s="609" t="s">
        <v>1824</v>
      </c>
      <c r="I153" s="615"/>
    </row>
    <row r="154">
      <c r="A154" s="609" t="s">
        <v>1466</v>
      </c>
      <c r="B154" s="609" t="s">
        <v>1464</v>
      </c>
      <c r="C154" s="638" t="s">
        <v>1825</v>
      </c>
      <c r="D154" s="638" t="s">
        <v>1822</v>
      </c>
      <c r="E154" s="639">
        <v>44929.0</v>
      </c>
      <c r="F154" s="614" t="s">
        <v>1823</v>
      </c>
      <c r="G154" s="614" t="s">
        <v>1711</v>
      </c>
      <c r="H154" s="609" t="s">
        <v>1826</v>
      </c>
      <c r="I154" s="615"/>
    </row>
    <row r="155">
      <c r="A155" s="609" t="s">
        <v>1466</v>
      </c>
      <c r="B155" s="609" t="s">
        <v>1464</v>
      </c>
      <c r="C155" s="638" t="s">
        <v>1827</v>
      </c>
      <c r="D155" s="638" t="s">
        <v>1822</v>
      </c>
      <c r="E155" s="639">
        <v>44929.0</v>
      </c>
      <c r="F155" s="614" t="s">
        <v>1823</v>
      </c>
      <c r="G155" s="614" t="s">
        <v>1711</v>
      </c>
      <c r="H155" s="609" t="s">
        <v>1828</v>
      </c>
      <c r="I155" s="615"/>
    </row>
    <row r="156">
      <c r="A156" s="609" t="s">
        <v>1469</v>
      </c>
      <c r="B156" s="609" t="s">
        <v>1365</v>
      </c>
      <c r="C156" s="638" t="s">
        <v>106</v>
      </c>
      <c r="D156" s="638" t="s">
        <v>1546</v>
      </c>
      <c r="E156" s="639">
        <v>43747.0</v>
      </c>
      <c r="F156" s="614" t="s">
        <v>1829</v>
      </c>
      <c r="G156" s="614" t="s">
        <v>1830</v>
      </c>
      <c r="H156" s="609" t="s">
        <v>1831</v>
      </c>
      <c r="I156" s="615"/>
    </row>
    <row r="157">
      <c r="A157" s="609" t="s">
        <v>1469</v>
      </c>
      <c r="B157" s="609" t="s">
        <v>1365</v>
      </c>
      <c r="C157" s="638" t="s">
        <v>120</v>
      </c>
      <c r="D157" s="638" t="s">
        <v>1546</v>
      </c>
      <c r="E157" s="639">
        <v>45057.0</v>
      </c>
      <c r="F157" s="614" t="s">
        <v>1832</v>
      </c>
      <c r="G157" s="614" t="s">
        <v>1833</v>
      </c>
      <c r="H157" s="609" t="s">
        <v>1834</v>
      </c>
      <c r="I157" s="615"/>
    </row>
    <row r="158">
      <c r="A158" s="609" t="s">
        <v>1469</v>
      </c>
      <c r="B158" s="609" t="s">
        <v>1365</v>
      </c>
      <c r="C158" s="638" t="s">
        <v>126</v>
      </c>
      <c r="D158" s="638" t="s">
        <v>1546</v>
      </c>
      <c r="E158" s="639">
        <v>45505.0</v>
      </c>
      <c r="F158" s="614" t="s">
        <v>1829</v>
      </c>
      <c r="G158" s="614" t="s">
        <v>1835</v>
      </c>
      <c r="H158" s="609" t="s">
        <v>1836</v>
      </c>
      <c r="I158" s="615"/>
    </row>
    <row r="159">
      <c r="A159" s="609" t="s">
        <v>1469</v>
      </c>
      <c r="B159" s="609" t="s">
        <v>1365</v>
      </c>
      <c r="C159" s="638" t="s">
        <v>150</v>
      </c>
      <c r="D159" s="638" t="s">
        <v>1546</v>
      </c>
      <c r="E159" s="639">
        <v>43297.0</v>
      </c>
      <c r="F159" s="614" t="s">
        <v>1837</v>
      </c>
      <c r="G159" s="614" t="s">
        <v>1626</v>
      </c>
      <c r="H159" s="609" t="s">
        <v>1838</v>
      </c>
      <c r="I159" s="615"/>
    </row>
    <row r="160">
      <c r="A160" s="609" t="s">
        <v>1469</v>
      </c>
      <c r="B160" s="609" t="s">
        <v>1365</v>
      </c>
      <c r="C160" s="638" t="s">
        <v>114</v>
      </c>
      <c r="D160" s="638" t="s">
        <v>1558</v>
      </c>
      <c r="E160" s="639">
        <v>44410.0</v>
      </c>
      <c r="F160" s="614" t="s">
        <v>1840</v>
      </c>
      <c r="G160" s="614" t="s">
        <v>1782</v>
      </c>
      <c r="H160" s="609" t="s">
        <v>1841</v>
      </c>
      <c r="I160" s="615"/>
    </row>
    <row r="161">
      <c r="A161" s="609" t="s">
        <v>1469</v>
      </c>
      <c r="B161" s="609" t="s">
        <v>1365</v>
      </c>
      <c r="C161" s="638" t="s">
        <v>120</v>
      </c>
      <c r="D161" s="638" t="s">
        <v>1558</v>
      </c>
      <c r="E161" s="639">
        <v>45125.0</v>
      </c>
      <c r="F161" s="614" t="s">
        <v>1842</v>
      </c>
      <c r="G161" s="614" t="s">
        <v>1623</v>
      </c>
      <c r="H161" s="609" t="s">
        <v>1843</v>
      </c>
      <c r="I161" s="615"/>
    </row>
    <row r="162">
      <c r="A162" s="609" t="s">
        <v>1469</v>
      </c>
      <c r="B162" s="609" t="s">
        <v>1365</v>
      </c>
      <c r="C162" s="638" t="s">
        <v>126</v>
      </c>
      <c r="D162" s="638" t="s">
        <v>1558</v>
      </c>
      <c r="E162" s="639">
        <v>43663.0</v>
      </c>
      <c r="F162" s="614" t="s">
        <v>1844</v>
      </c>
      <c r="G162" s="614" t="s">
        <v>1626</v>
      </c>
      <c r="H162" s="609" t="s">
        <v>1845</v>
      </c>
      <c r="I162" s="615"/>
    </row>
    <row r="163">
      <c r="A163" s="609" t="s">
        <v>1469</v>
      </c>
      <c r="B163" s="609" t="s">
        <v>1365</v>
      </c>
      <c r="C163" s="638" t="s">
        <v>160</v>
      </c>
      <c r="D163" s="638" t="s">
        <v>1580</v>
      </c>
      <c r="E163" s="639">
        <v>44739.0</v>
      </c>
      <c r="F163" s="614" t="s">
        <v>1829</v>
      </c>
      <c r="G163" s="614" t="s">
        <v>1846</v>
      </c>
      <c r="H163" s="609" t="s">
        <v>1847</v>
      </c>
      <c r="I163" s="615"/>
    </row>
    <row r="164">
      <c r="A164" s="609" t="s">
        <v>1469</v>
      </c>
      <c r="B164" s="609" t="s">
        <v>1365</v>
      </c>
      <c r="C164" s="638" t="s">
        <v>160</v>
      </c>
      <c r="D164" s="638" t="s">
        <v>1848</v>
      </c>
      <c r="E164" s="639">
        <v>43368.0</v>
      </c>
      <c r="F164" s="614" t="s">
        <v>1849</v>
      </c>
      <c r="G164" s="614" t="s">
        <v>1623</v>
      </c>
      <c r="H164" s="609" t="s">
        <v>1850</v>
      </c>
      <c r="I164" s="615"/>
    </row>
    <row r="165">
      <c r="A165" s="609" t="s">
        <v>1469</v>
      </c>
      <c r="B165" s="609" t="s">
        <v>1365</v>
      </c>
      <c r="C165" s="638" t="s">
        <v>204</v>
      </c>
      <c r="D165" s="638" t="s">
        <v>1848</v>
      </c>
      <c r="E165" s="639">
        <v>44739.0</v>
      </c>
      <c r="F165" s="614" t="s">
        <v>1829</v>
      </c>
      <c r="G165" s="614" t="s">
        <v>1846</v>
      </c>
      <c r="H165" s="609" t="s">
        <v>1851</v>
      </c>
      <c r="I165" s="615"/>
    </row>
    <row r="166">
      <c r="A166" s="609" t="s">
        <v>1469</v>
      </c>
      <c r="B166" s="609" t="s">
        <v>1365</v>
      </c>
      <c r="C166" s="638" t="s">
        <v>106</v>
      </c>
      <c r="D166" s="638" t="s">
        <v>1586</v>
      </c>
      <c r="E166" s="639">
        <v>43102.0</v>
      </c>
      <c r="F166" s="614" t="s">
        <v>1829</v>
      </c>
      <c r="G166" s="614" t="s">
        <v>1852</v>
      </c>
      <c r="H166" s="609" t="s">
        <v>1853</v>
      </c>
      <c r="I166" s="615"/>
    </row>
    <row r="167">
      <c r="A167" s="609" t="s">
        <v>1469</v>
      </c>
      <c r="B167" s="609" t="s">
        <v>1365</v>
      </c>
      <c r="C167" s="638" t="s">
        <v>114</v>
      </c>
      <c r="D167" s="638" t="s">
        <v>1586</v>
      </c>
      <c r="E167" s="639">
        <v>43102.0</v>
      </c>
      <c r="F167" s="614" t="s">
        <v>1829</v>
      </c>
      <c r="G167" s="614" t="s">
        <v>1854</v>
      </c>
      <c r="H167" s="609" t="s">
        <v>1855</v>
      </c>
      <c r="I167" s="615"/>
    </row>
    <row r="168">
      <c r="A168" s="609" t="s">
        <v>1469</v>
      </c>
      <c r="B168" s="609" t="s">
        <v>1365</v>
      </c>
      <c r="C168" s="638" t="s">
        <v>120</v>
      </c>
      <c r="D168" s="638" t="s">
        <v>1586</v>
      </c>
      <c r="E168" s="639">
        <v>43102.0</v>
      </c>
      <c r="F168" s="614" t="s">
        <v>1829</v>
      </c>
      <c r="G168" s="614" t="s">
        <v>1854</v>
      </c>
      <c r="H168" s="609" t="s">
        <v>1856</v>
      </c>
      <c r="I168" s="615"/>
    </row>
    <row r="169">
      <c r="A169" s="609" t="s">
        <v>1469</v>
      </c>
      <c r="B169" s="609" t="s">
        <v>1365</v>
      </c>
      <c r="C169" s="638" t="s">
        <v>126</v>
      </c>
      <c r="D169" s="638" t="s">
        <v>1857</v>
      </c>
      <c r="E169" s="639">
        <v>43102.0</v>
      </c>
      <c r="F169" s="614" t="s">
        <v>1829</v>
      </c>
      <c r="G169" s="614" t="s">
        <v>1854</v>
      </c>
      <c r="H169" s="609" t="s">
        <v>1858</v>
      </c>
      <c r="I169" s="615"/>
    </row>
    <row r="170">
      <c r="A170" s="609" t="s">
        <v>1470</v>
      </c>
      <c r="B170" s="609" t="s">
        <v>1365</v>
      </c>
      <c r="C170" s="638" t="s">
        <v>106</v>
      </c>
      <c r="D170" s="638" t="s">
        <v>90</v>
      </c>
      <c r="E170" s="639">
        <v>44356.0</v>
      </c>
      <c r="F170" s="614" t="s">
        <v>1859</v>
      </c>
      <c r="G170" s="614" t="s">
        <v>1626</v>
      </c>
      <c r="H170" s="609" t="s">
        <v>1860</v>
      </c>
      <c r="I170" s="615"/>
    </row>
    <row r="171">
      <c r="A171" s="609" t="s">
        <v>1470</v>
      </c>
      <c r="B171" s="609" t="s">
        <v>1365</v>
      </c>
      <c r="C171" s="638" t="s">
        <v>114</v>
      </c>
      <c r="D171" s="638" t="s">
        <v>90</v>
      </c>
      <c r="E171" s="639">
        <v>43090.0</v>
      </c>
      <c r="F171" s="614" t="s">
        <v>1861</v>
      </c>
      <c r="G171" s="614" t="s">
        <v>1862</v>
      </c>
      <c r="H171" s="609" t="s">
        <v>1863</v>
      </c>
      <c r="I171" s="614" t="s">
        <v>1705</v>
      </c>
    </row>
    <row r="172">
      <c r="A172" s="609" t="s">
        <v>1470</v>
      </c>
      <c r="B172" s="609" t="s">
        <v>1365</v>
      </c>
      <c r="C172" s="638" t="s">
        <v>134</v>
      </c>
      <c r="D172" s="638" t="s">
        <v>90</v>
      </c>
      <c r="E172" s="639">
        <v>45292.0</v>
      </c>
      <c r="F172" s="614" t="s">
        <v>1864</v>
      </c>
      <c r="G172" s="614" t="s">
        <v>1865</v>
      </c>
      <c r="H172" s="609" t="s">
        <v>1866</v>
      </c>
      <c r="I172" s="615"/>
    </row>
    <row r="173">
      <c r="A173" s="609" t="s">
        <v>1470</v>
      </c>
      <c r="B173" s="609" t="s">
        <v>1365</v>
      </c>
      <c r="C173" s="638" t="s">
        <v>106</v>
      </c>
      <c r="D173" s="638" t="s">
        <v>100</v>
      </c>
      <c r="E173" s="639">
        <v>42983.0</v>
      </c>
      <c r="F173" s="614" t="s">
        <v>1867</v>
      </c>
      <c r="G173" s="614" t="s">
        <v>1626</v>
      </c>
      <c r="H173" s="609" t="s">
        <v>1868</v>
      </c>
      <c r="I173" s="614" t="s">
        <v>1705</v>
      </c>
    </row>
    <row r="174">
      <c r="A174" s="609" t="s">
        <v>1470</v>
      </c>
      <c r="B174" s="609" t="s">
        <v>1365</v>
      </c>
      <c r="C174" s="638" t="s">
        <v>143</v>
      </c>
      <c r="D174" s="638" t="s">
        <v>100</v>
      </c>
      <c r="E174" s="639">
        <v>42857.0</v>
      </c>
      <c r="F174" s="614" t="s">
        <v>1869</v>
      </c>
      <c r="G174" s="614" t="s">
        <v>1626</v>
      </c>
      <c r="H174" s="609" t="s">
        <v>1870</v>
      </c>
      <c r="I174" s="614" t="s">
        <v>1705</v>
      </c>
    </row>
    <row r="175">
      <c r="A175" s="609" t="s">
        <v>1470</v>
      </c>
      <c r="B175" s="609" t="s">
        <v>1365</v>
      </c>
      <c r="C175" s="638" t="s">
        <v>150</v>
      </c>
      <c r="D175" s="638" t="s">
        <v>100</v>
      </c>
      <c r="E175" s="639">
        <v>42857.0</v>
      </c>
      <c r="F175" s="614" t="s">
        <v>1869</v>
      </c>
      <c r="G175" s="614" t="s">
        <v>1626</v>
      </c>
      <c r="H175" s="609" t="s">
        <v>1871</v>
      </c>
      <c r="I175" s="614" t="s">
        <v>1705</v>
      </c>
    </row>
    <row r="176">
      <c r="A176" s="609" t="s">
        <v>1470</v>
      </c>
      <c r="B176" s="609" t="s">
        <v>1365</v>
      </c>
      <c r="C176" s="638" t="s">
        <v>164</v>
      </c>
      <c r="D176" s="638" t="s">
        <v>100</v>
      </c>
      <c r="E176" s="639">
        <v>44541.0</v>
      </c>
      <c r="F176" s="614" t="s">
        <v>1872</v>
      </c>
      <c r="G176" s="614" t="s">
        <v>1626</v>
      </c>
      <c r="H176" s="609" t="s">
        <v>1873</v>
      </c>
      <c r="I176" s="615"/>
    </row>
    <row r="177">
      <c r="A177" s="609" t="s">
        <v>1470</v>
      </c>
      <c r="B177" s="609" t="s">
        <v>1365</v>
      </c>
      <c r="C177" s="638" t="s">
        <v>168</v>
      </c>
      <c r="D177" s="638" t="s">
        <v>100</v>
      </c>
      <c r="E177" s="639">
        <v>44541.0</v>
      </c>
      <c r="F177" s="614" t="s">
        <v>1872</v>
      </c>
      <c r="G177" s="614" t="s">
        <v>1626</v>
      </c>
      <c r="H177" s="609" t="s">
        <v>1874</v>
      </c>
      <c r="I177" s="615"/>
    </row>
    <row r="178">
      <c r="A178" s="609" t="s">
        <v>1470</v>
      </c>
      <c r="B178" s="609" t="s">
        <v>1365</v>
      </c>
      <c r="C178" s="638" t="s">
        <v>100</v>
      </c>
      <c r="D178" s="638" t="s">
        <v>106</v>
      </c>
      <c r="E178" s="639">
        <v>42867.0</v>
      </c>
      <c r="F178" s="614" t="s">
        <v>1875</v>
      </c>
      <c r="G178" s="614" t="s">
        <v>1626</v>
      </c>
      <c r="H178" s="609" t="s">
        <v>1876</v>
      </c>
      <c r="I178" s="614" t="s">
        <v>1705</v>
      </c>
    </row>
    <row r="179">
      <c r="A179" s="609" t="s">
        <v>1470</v>
      </c>
      <c r="B179" s="609" t="s">
        <v>1365</v>
      </c>
      <c r="C179" s="638" t="s">
        <v>126</v>
      </c>
      <c r="D179" s="638" t="s">
        <v>106</v>
      </c>
      <c r="E179" s="639">
        <v>43438.0</v>
      </c>
      <c r="F179" s="614" t="s">
        <v>1877</v>
      </c>
      <c r="G179" s="614" t="s">
        <v>1626</v>
      </c>
      <c r="H179" s="609" t="s">
        <v>1878</v>
      </c>
      <c r="I179" s="615"/>
    </row>
    <row r="180">
      <c r="A180" s="609" t="s">
        <v>1470</v>
      </c>
      <c r="B180" s="609" t="s">
        <v>1365</v>
      </c>
      <c r="C180" s="638" t="s">
        <v>134</v>
      </c>
      <c r="D180" s="638" t="s">
        <v>106</v>
      </c>
      <c r="E180" s="639">
        <v>43438.0</v>
      </c>
      <c r="F180" s="614" t="s">
        <v>1877</v>
      </c>
      <c r="G180" s="614" t="s">
        <v>1626</v>
      </c>
      <c r="H180" s="609" t="s">
        <v>1879</v>
      </c>
      <c r="I180" s="615"/>
    </row>
    <row r="181">
      <c r="A181" s="609" t="s">
        <v>1470</v>
      </c>
      <c r="B181" s="609" t="s">
        <v>1365</v>
      </c>
      <c r="C181" s="638" t="s">
        <v>100</v>
      </c>
      <c r="D181" s="638" t="s">
        <v>114</v>
      </c>
      <c r="E181" s="639">
        <v>45800.0</v>
      </c>
      <c r="F181" s="614" t="s">
        <v>1880</v>
      </c>
      <c r="G181" s="614" t="s">
        <v>1881</v>
      </c>
      <c r="H181" s="609" t="s">
        <v>1882</v>
      </c>
      <c r="I181" s="615"/>
    </row>
    <row r="182">
      <c r="A182" s="609" t="s">
        <v>1470</v>
      </c>
      <c r="B182" s="609" t="s">
        <v>1365</v>
      </c>
      <c r="C182" s="638" t="s">
        <v>134</v>
      </c>
      <c r="D182" s="638" t="s">
        <v>114</v>
      </c>
      <c r="E182" s="639">
        <v>45800.0</v>
      </c>
      <c r="F182" s="614" t="s">
        <v>1880</v>
      </c>
      <c r="G182" s="614" t="s">
        <v>1881</v>
      </c>
      <c r="H182" s="609" t="s">
        <v>1883</v>
      </c>
      <c r="I182" s="615"/>
    </row>
    <row r="183">
      <c r="A183" s="609" t="s">
        <v>1470</v>
      </c>
      <c r="B183" s="609" t="s">
        <v>1365</v>
      </c>
      <c r="C183" s="638" t="s">
        <v>143</v>
      </c>
      <c r="D183" s="638" t="s">
        <v>114</v>
      </c>
      <c r="E183" s="639">
        <v>44725.0</v>
      </c>
      <c r="F183" s="614" t="s">
        <v>1884</v>
      </c>
      <c r="G183" s="614" t="s">
        <v>1885</v>
      </c>
      <c r="H183" s="609" t="s">
        <v>1886</v>
      </c>
      <c r="I183" s="615"/>
    </row>
    <row r="184">
      <c r="A184" s="609" t="s">
        <v>1470</v>
      </c>
      <c r="B184" s="609" t="s">
        <v>1365</v>
      </c>
      <c r="C184" s="638" t="s">
        <v>150</v>
      </c>
      <c r="D184" s="638" t="s">
        <v>114</v>
      </c>
      <c r="E184" s="639">
        <v>44725.0</v>
      </c>
      <c r="F184" s="614" t="s">
        <v>1884</v>
      </c>
      <c r="G184" s="614" t="s">
        <v>1885</v>
      </c>
      <c r="H184" s="609" t="s">
        <v>1887</v>
      </c>
      <c r="I184" s="615"/>
    </row>
    <row r="185">
      <c r="A185" s="609" t="s">
        <v>1470</v>
      </c>
      <c r="B185" s="609" t="s">
        <v>1365</v>
      </c>
      <c r="C185" s="638" t="s">
        <v>155</v>
      </c>
      <c r="D185" s="638" t="s">
        <v>114</v>
      </c>
      <c r="E185" s="639">
        <v>44725.0</v>
      </c>
      <c r="F185" s="614" t="s">
        <v>1884</v>
      </c>
      <c r="G185" s="614" t="s">
        <v>1885</v>
      </c>
      <c r="H185" s="609" t="s">
        <v>1888</v>
      </c>
      <c r="I185" s="615"/>
    </row>
    <row r="186">
      <c r="A186" s="609" t="s">
        <v>1474</v>
      </c>
      <c r="B186" s="609" t="s">
        <v>1475</v>
      </c>
      <c r="C186" s="638" t="s">
        <v>114</v>
      </c>
      <c r="D186" s="638" t="s">
        <v>90</v>
      </c>
      <c r="E186" s="639">
        <v>41844.0</v>
      </c>
      <c r="F186" s="614" t="s">
        <v>1889</v>
      </c>
      <c r="G186" s="614" t="s">
        <v>1890</v>
      </c>
      <c r="H186" s="609" t="s">
        <v>1891</v>
      </c>
      <c r="I186" s="614" t="s">
        <v>1705</v>
      </c>
    </row>
    <row r="187">
      <c r="A187" s="609" t="s">
        <v>1474</v>
      </c>
      <c r="B187" s="609" t="s">
        <v>1475</v>
      </c>
      <c r="C187" s="638" t="s">
        <v>120</v>
      </c>
      <c r="D187" s="638" t="s">
        <v>90</v>
      </c>
      <c r="E187" s="639">
        <v>42745.0</v>
      </c>
      <c r="F187" s="614" t="s">
        <v>1889</v>
      </c>
      <c r="G187" s="614" t="s">
        <v>1890</v>
      </c>
      <c r="H187" s="609" t="s">
        <v>1892</v>
      </c>
      <c r="I187" s="614" t="s">
        <v>1705</v>
      </c>
    </row>
    <row r="188">
      <c r="A188" s="609" t="s">
        <v>1477</v>
      </c>
      <c r="B188" s="609" t="s">
        <v>1478</v>
      </c>
      <c r="C188" s="638" t="s">
        <v>143</v>
      </c>
      <c r="D188" s="638" t="s">
        <v>100</v>
      </c>
      <c r="E188" s="639">
        <v>43354.0</v>
      </c>
      <c r="F188" s="614" t="s">
        <v>1893</v>
      </c>
      <c r="G188" s="614" t="s">
        <v>1782</v>
      </c>
      <c r="H188" s="609" t="s">
        <v>1894</v>
      </c>
      <c r="I188" s="615"/>
    </row>
    <row r="189">
      <c r="A189" s="609" t="s">
        <v>1477</v>
      </c>
      <c r="B189" s="609" t="s">
        <v>1478</v>
      </c>
      <c r="C189" s="638" t="s">
        <v>120</v>
      </c>
      <c r="D189" s="638" t="s">
        <v>106</v>
      </c>
      <c r="E189" s="639">
        <v>43965.0</v>
      </c>
      <c r="F189" s="614" t="s">
        <v>1895</v>
      </c>
      <c r="G189" s="614" t="s">
        <v>1626</v>
      </c>
      <c r="H189" s="609" t="s">
        <v>1896</v>
      </c>
      <c r="I189" s="615"/>
    </row>
    <row r="190">
      <c r="A190" s="609" t="s">
        <v>1477</v>
      </c>
      <c r="B190" s="609" t="s">
        <v>1478</v>
      </c>
      <c r="C190" s="638" t="s">
        <v>134</v>
      </c>
      <c r="D190" s="638" t="s">
        <v>106</v>
      </c>
      <c r="E190" s="639">
        <v>44188.0</v>
      </c>
      <c r="F190" s="614" t="s">
        <v>1897</v>
      </c>
      <c r="G190" s="614" t="s">
        <v>1626</v>
      </c>
      <c r="H190" s="609" t="s">
        <v>1898</v>
      </c>
      <c r="I190" s="615"/>
    </row>
    <row r="191">
      <c r="A191" s="609" t="s">
        <v>1477</v>
      </c>
      <c r="B191" s="609" t="s">
        <v>1478</v>
      </c>
      <c r="C191" s="638" t="s">
        <v>155</v>
      </c>
      <c r="D191" s="638" t="s">
        <v>106</v>
      </c>
      <c r="E191" s="639">
        <v>44222.0</v>
      </c>
      <c r="F191" s="614" t="s">
        <v>1899</v>
      </c>
      <c r="G191" s="614" t="s">
        <v>1626</v>
      </c>
      <c r="H191" s="609" t="s">
        <v>1900</v>
      </c>
      <c r="I191" s="615"/>
    </row>
    <row r="192">
      <c r="A192" s="609" t="s">
        <v>1477</v>
      </c>
      <c r="B192" s="609" t="s">
        <v>1478</v>
      </c>
      <c r="C192" s="638" t="s">
        <v>160</v>
      </c>
      <c r="D192" s="638" t="s">
        <v>106</v>
      </c>
      <c r="E192" s="639">
        <v>44207.0</v>
      </c>
      <c r="F192" s="614" t="s">
        <v>1901</v>
      </c>
      <c r="G192" s="614" t="s">
        <v>1626</v>
      </c>
      <c r="H192" s="609" t="s">
        <v>1902</v>
      </c>
      <c r="I192" s="615"/>
    </row>
    <row r="193">
      <c r="A193" s="609" t="s">
        <v>1477</v>
      </c>
      <c r="B193" s="609" t="s">
        <v>1478</v>
      </c>
      <c r="C193" s="638" t="s">
        <v>80</v>
      </c>
      <c r="D193" s="638" t="s">
        <v>114</v>
      </c>
      <c r="E193" s="639">
        <v>43668.0</v>
      </c>
      <c r="F193" s="614" t="s">
        <v>1903</v>
      </c>
      <c r="G193" s="614" t="s">
        <v>1626</v>
      </c>
      <c r="H193" s="609" t="s">
        <v>1904</v>
      </c>
      <c r="I193" s="615"/>
    </row>
    <row r="194">
      <c r="A194" s="609" t="s">
        <v>1477</v>
      </c>
      <c r="B194" s="609" t="s">
        <v>1478</v>
      </c>
      <c r="C194" s="638" t="s">
        <v>90</v>
      </c>
      <c r="D194" s="638" t="s">
        <v>114</v>
      </c>
      <c r="E194" s="639">
        <v>44546.0</v>
      </c>
      <c r="F194" s="614" t="s">
        <v>1905</v>
      </c>
      <c r="G194" s="614" t="s">
        <v>1626</v>
      </c>
      <c r="H194" s="609" t="s">
        <v>1906</v>
      </c>
      <c r="I194" s="615"/>
    </row>
    <row r="195">
      <c r="A195" s="609" t="s">
        <v>1477</v>
      </c>
      <c r="B195" s="609" t="s">
        <v>1478</v>
      </c>
      <c r="C195" s="638" t="s">
        <v>114</v>
      </c>
      <c r="D195" s="638" t="s">
        <v>114</v>
      </c>
      <c r="E195" s="639">
        <v>43579.0</v>
      </c>
      <c r="F195" s="614" t="s">
        <v>1907</v>
      </c>
      <c r="G195" s="614" t="s">
        <v>1908</v>
      </c>
      <c r="H195" s="609" t="s">
        <v>1909</v>
      </c>
      <c r="I195" s="615"/>
    </row>
    <row r="196">
      <c r="A196" s="609" t="s">
        <v>1477</v>
      </c>
      <c r="B196" s="609" t="s">
        <v>1478</v>
      </c>
      <c r="C196" s="638" t="s">
        <v>120</v>
      </c>
      <c r="D196" s="638" t="s">
        <v>114</v>
      </c>
      <c r="E196" s="639">
        <v>43434.0</v>
      </c>
      <c r="F196" s="614" t="s">
        <v>1910</v>
      </c>
      <c r="G196" s="614" t="s">
        <v>1623</v>
      </c>
      <c r="H196" s="609" t="s">
        <v>1911</v>
      </c>
      <c r="I196" s="615"/>
    </row>
    <row r="197">
      <c r="A197" s="609" t="s">
        <v>1477</v>
      </c>
      <c r="B197" s="609" t="s">
        <v>1478</v>
      </c>
      <c r="C197" s="638" t="s">
        <v>143</v>
      </c>
      <c r="D197" s="638" t="s">
        <v>114</v>
      </c>
      <c r="E197" s="639">
        <v>43174.0</v>
      </c>
      <c r="F197" s="614" t="s">
        <v>1912</v>
      </c>
      <c r="G197" s="614" t="s">
        <v>1626</v>
      </c>
      <c r="H197" s="609" t="s">
        <v>1913</v>
      </c>
      <c r="I197" s="615"/>
    </row>
    <row r="198">
      <c r="A198" s="609" t="s">
        <v>1477</v>
      </c>
      <c r="B198" s="609" t="s">
        <v>1478</v>
      </c>
      <c r="C198" s="638" t="s">
        <v>155</v>
      </c>
      <c r="D198" s="638" t="s">
        <v>114</v>
      </c>
      <c r="E198" s="639">
        <v>43430.0</v>
      </c>
      <c r="F198" s="614" t="s">
        <v>1914</v>
      </c>
      <c r="G198" s="614" t="s">
        <v>1626</v>
      </c>
      <c r="H198" s="609" t="s">
        <v>1915</v>
      </c>
      <c r="I198" s="615"/>
    </row>
    <row r="199">
      <c r="A199" s="609" t="s">
        <v>1477</v>
      </c>
      <c r="B199" s="609" t="s">
        <v>1478</v>
      </c>
      <c r="C199" s="638" t="s">
        <v>168</v>
      </c>
      <c r="D199" s="638" t="s">
        <v>114</v>
      </c>
      <c r="E199" s="639">
        <v>45897.0</v>
      </c>
      <c r="F199" s="614" t="s">
        <v>1916</v>
      </c>
      <c r="G199" s="614" t="s">
        <v>1917</v>
      </c>
      <c r="H199" s="609" t="s">
        <v>1918</v>
      </c>
      <c r="I199" s="614" t="s">
        <v>1919</v>
      </c>
    </row>
    <row r="200">
      <c r="A200" s="609" t="s">
        <v>1477</v>
      </c>
      <c r="B200" s="609" t="s">
        <v>1478</v>
      </c>
      <c r="C200" s="638" t="s">
        <v>175</v>
      </c>
      <c r="D200" s="638" t="s">
        <v>114</v>
      </c>
      <c r="E200" s="639">
        <v>43637.0</v>
      </c>
      <c r="F200" s="614" t="s">
        <v>1920</v>
      </c>
      <c r="G200" s="614" t="s">
        <v>1711</v>
      </c>
      <c r="H200" s="609" t="s">
        <v>1921</v>
      </c>
      <c r="I200" s="615"/>
    </row>
    <row r="201">
      <c r="A201" s="609" t="s">
        <v>1477</v>
      </c>
      <c r="B201" s="609" t="s">
        <v>1478</v>
      </c>
      <c r="C201" s="638" t="s">
        <v>90</v>
      </c>
      <c r="D201" s="638" t="s">
        <v>120</v>
      </c>
      <c r="E201" s="639">
        <v>44482.0</v>
      </c>
      <c r="F201" s="614" t="s">
        <v>1922</v>
      </c>
      <c r="G201" s="614" t="s">
        <v>1626</v>
      </c>
      <c r="H201" s="609" t="s">
        <v>1923</v>
      </c>
      <c r="I201" s="615"/>
    </row>
    <row r="202">
      <c r="A202" s="609" t="s">
        <v>1477</v>
      </c>
      <c r="B202" s="609" t="s">
        <v>1478</v>
      </c>
      <c r="C202" s="638" t="s">
        <v>100</v>
      </c>
      <c r="D202" s="638" t="s">
        <v>120</v>
      </c>
      <c r="E202" s="639">
        <v>43843.0</v>
      </c>
      <c r="F202" s="614" t="s">
        <v>1924</v>
      </c>
      <c r="G202" s="614" t="s">
        <v>1626</v>
      </c>
      <c r="H202" s="609" t="s">
        <v>1925</v>
      </c>
      <c r="I202" s="615"/>
    </row>
    <row r="203">
      <c r="A203" s="609" t="s">
        <v>1477</v>
      </c>
      <c r="B203" s="609" t="s">
        <v>1478</v>
      </c>
      <c r="C203" s="638" t="s">
        <v>120</v>
      </c>
      <c r="D203" s="638" t="s">
        <v>120</v>
      </c>
      <c r="E203" s="639">
        <v>43644.0</v>
      </c>
      <c r="F203" s="614" t="s">
        <v>1926</v>
      </c>
      <c r="G203" s="614" t="s">
        <v>1626</v>
      </c>
      <c r="H203" s="609" t="s">
        <v>1927</v>
      </c>
      <c r="I203" s="615"/>
    </row>
    <row r="204">
      <c r="A204" s="609" t="s">
        <v>1477</v>
      </c>
      <c r="B204" s="609" t="s">
        <v>1478</v>
      </c>
      <c r="C204" s="638" t="s">
        <v>126</v>
      </c>
      <c r="D204" s="638" t="s">
        <v>120</v>
      </c>
      <c r="E204" s="639">
        <v>43845.0</v>
      </c>
      <c r="F204" s="614" t="s">
        <v>1928</v>
      </c>
      <c r="G204" s="614" t="s">
        <v>1626</v>
      </c>
      <c r="H204" s="609" t="s">
        <v>1929</v>
      </c>
      <c r="I204" s="615"/>
    </row>
    <row r="205">
      <c r="A205" s="609" t="s">
        <v>1477</v>
      </c>
      <c r="B205" s="609" t="s">
        <v>1478</v>
      </c>
      <c r="C205" s="638" t="s">
        <v>134</v>
      </c>
      <c r="D205" s="638" t="s">
        <v>120</v>
      </c>
      <c r="E205" s="639">
        <v>43202.0</v>
      </c>
      <c r="F205" s="614" t="s">
        <v>1930</v>
      </c>
      <c r="G205" s="614" t="s">
        <v>1626</v>
      </c>
      <c r="H205" s="609" t="s">
        <v>1931</v>
      </c>
      <c r="I205" s="615"/>
    </row>
    <row r="206">
      <c r="A206" s="609" t="s">
        <v>1477</v>
      </c>
      <c r="B206" s="609" t="s">
        <v>1478</v>
      </c>
      <c r="C206" s="638" t="s">
        <v>143</v>
      </c>
      <c r="D206" s="638" t="s">
        <v>120</v>
      </c>
      <c r="E206" s="639">
        <v>43396.0</v>
      </c>
      <c r="F206" s="614" t="s">
        <v>1932</v>
      </c>
      <c r="G206" s="614" t="s">
        <v>1626</v>
      </c>
      <c r="H206" s="609" t="s">
        <v>1933</v>
      </c>
      <c r="I206" s="615"/>
    </row>
    <row r="207">
      <c r="A207" s="609" t="s">
        <v>1477</v>
      </c>
      <c r="B207" s="609" t="s">
        <v>1478</v>
      </c>
      <c r="C207" s="638" t="s">
        <v>168</v>
      </c>
      <c r="D207" s="638" t="s">
        <v>120</v>
      </c>
      <c r="E207" s="639">
        <v>43501.0</v>
      </c>
      <c r="F207" s="614" t="s">
        <v>1934</v>
      </c>
      <c r="G207" s="614" t="s">
        <v>1935</v>
      </c>
      <c r="H207" s="609" t="s">
        <v>1936</v>
      </c>
      <c r="I207" s="615"/>
    </row>
    <row r="208">
      <c r="A208" s="609" t="s">
        <v>1477</v>
      </c>
      <c r="B208" s="609" t="s">
        <v>1478</v>
      </c>
      <c r="C208" s="638" t="s">
        <v>175</v>
      </c>
      <c r="D208" s="638" t="s">
        <v>120</v>
      </c>
      <c r="E208" s="639">
        <v>43501.0</v>
      </c>
      <c r="F208" s="614" t="s">
        <v>1934</v>
      </c>
      <c r="G208" s="614" t="s">
        <v>1935</v>
      </c>
      <c r="H208" s="609" t="s">
        <v>1937</v>
      </c>
      <c r="I208" s="615"/>
    </row>
    <row r="209">
      <c r="A209" s="609" t="s">
        <v>1477</v>
      </c>
      <c r="B209" s="609" t="s">
        <v>1478</v>
      </c>
      <c r="C209" s="638" t="s">
        <v>191</v>
      </c>
      <c r="D209" s="638" t="s">
        <v>120</v>
      </c>
      <c r="E209" s="639">
        <v>44020.0</v>
      </c>
      <c r="F209" s="614" t="s">
        <v>1938</v>
      </c>
      <c r="G209" s="614" t="s">
        <v>1790</v>
      </c>
      <c r="H209" s="609" t="s">
        <v>1939</v>
      </c>
      <c r="I209" s="615"/>
    </row>
    <row r="210">
      <c r="A210" s="609" t="s">
        <v>1477</v>
      </c>
      <c r="B210" s="609" t="s">
        <v>1478</v>
      </c>
      <c r="C210" s="638" t="s">
        <v>208</v>
      </c>
      <c r="D210" s="638" t="s">
        <v>120</v>
      </c>
      <c r="E210" s="639">
        <v>44185.0</v>
      </c>
      <c r="F210" s="614" t="s">
        <v>1940</v>
      </c>
      <c r="G210" s="614" t="s">
        <v>1711</v>
      </c>
      <c r="H210" s="609" t="s">
        <v>1941</v>
      </c>
      <c r="I210" s="615"/>
    </row>
    <row r="211">
      <c r="A211" s="609" t="s">
        <v>1477</v>
      </c>
      <c r="B211" s="609" t="s">
        <v>1478</v>
      </c>
      <c r="C211" s="638" t="s">
        <v>213</v>
      </c>
      <c r="D211" s="638" t="s">
        <v>120</v>
      </c>
      <c r="E211" s="639">
        <v>44186.0</v>
      </c>
      <c r="F211" s="614" t="s">
        <v>1699</v>
      </c>
      <c r="G211" s="614" t="s">
        <v>1700</v>
      </c>
      <c r="H211" s="609" t="s">
        <v>1942</v>
      </c>
      <c r="I211" s="615"/>
    </row>
    <row r="212">
      <c r="A212" s="609" t="s">
        <v>1477</v>
      </c>
      <c r="B212" s="609" t="s">
        <v>1478</v>
      </c>
      <c r="C212" s="638" t="s">
        <v>218</v>
      </c>
      <c r="D212" s="638" t="s">
        <v>120</v>
      </c>
      <c r="E212" s="639">
        <v>44186.0</v>
      </c>
      <c r="F212" s="614" t="s">
        <v>1699</v>
      </c>
      <c r="G212" s="614" t="s">
        <v>1700</v>
      </c>
      <c r="H212" s="609" t="s">
        <v>1943</v>
      </c>
      <c r="I212" s="615"/>
    </row>
    <row r="213">
      <c r="A213" s="609" t="s">
        <v>1477</v>
      </c>
      <c r="B213" s="609" t="s">
        <v>1478</v>
      </c>
      <c r="C213" s="638" t="s">
        <v>222</v>
      </c>
      <c r="D213" s="638" t="s">
        <v>120</v>
      </c>
      <c r="E213" s="639">
        <v>43678.0</v>
      </c>
      <c r="F213" s="614" t="s">
        <v>1944</v>
      </c>
      <c r="G213" s="614" t="s">
        <v>1945</v>
      </c>
      <c r="H213" s="609" t="s">
        <v>1946</v>
      </c>
      <c r="I213" s="615"/>
    </row>
    <row r="214">
      <c r="A214" s="609" t="s">
        <v>1477</v>
      </c>
      <c r="B214" s="609" t="s">
        <v>1478</v>
      </c>
      <c r="C214" s="638" t="s">
        <v>80</v>
      </c>
      <c r="D214" s="638" t="s">
        <v>126</v>
      </c>
      <c r="E214" s="639">
        <v>45182.0</v>
      </c>
      <c r="F214" s="614" t="s">
        <v>1947</v>
      </c>
      <c r="G214" s="614" t="s">
        <v>1626</v>
      </c>
      <c r="H214" s="609" t="s">
        <v>1948</v>
      </c>
      <c r="I214" s="615"/>
    </row>
    <row r="215">
      <c r="A215" s="609" t="s">
        <v>1477</v>
      </c>
      <c r="B215" s="609" t="s">
        <v>1478</v>
      </c>
      <c r="C215" s="638" t="s">
        <v>100</v>
      </c>
      <c r="D215" s="638" t="s">
        <v>126</v>
      </c>
      <c r="E215" s="639">
        <v>43707.0</v>
      </c>
      <c r="F215" s="614" t="s">
        <v>1949</v>
      </c>
      <c r="G215" s="614" t="s">
        <v>1626</v>
      </c>
      <c r="H215" s="609" t="s">
        <v>1950</v>
      </c>
      <c r="I215" s="615"/>
    </row>
    <row r="216">
      <c r="A216" s="609" t="s">
        <v>1477</v>
      </c>
      <c r="B216" s="609" t="s">
        <v>1478</v>
      </c>
      <c r="C216" s="638" t="s">
        <v>106</v>
      </c>
      <c r="D216" s="638" t="s">
        <v>126</v>
      </c>
      <c r="E216" s="639">
        <v>43707.0</v>
      </c>
      <c r="F216" s="614" t="s">
        <v>1949</v>
      </c>
      <c r="G216" s="614" t="s">
        <v>1951</v>
      </c>
      <c r="H216" s="609" t="s">
        <v>1952</v>
      </c>
      <c r="I216" s="615"/>
    </row>
    <row r="217">
      <c r="A217" s="609" t="s">
        <v>1477</v>
      </c>
      <c r="B217" s="609" t="s">
        <v>1478</v>
      </c>
      <c r="C217" s="638" t="s">
        <v>90</v>
      </c>
      <c r="D217" s="638" t="s">
        <v>134</v>
      </c>
      <c r="E217" s="639">
        <v>43066.0</v>
      </c>
      <c r="F217" s="614" t="s">
        <v>1953</v>
      </c>
      <c r="G217" s="614" t="s">
        <v>1954</v>
      </c>
      <c r="H217" s="609" t="s">
        <v>1955</v>
      </c>
      <c r="I217" s="614" t="s">
        <v>1956</v>
      </c>
    </row>
    <row r="218">
      <c r="A218" s="609" t="s">
        <v>1477</v>
      </c>
      <c r="B218" s="609" t="s">
        <v>1478</v>
      </c>
      <c r="C218" s="638" t="s">
        <v>100</v>
      </c>
      <c r="D218" s="638" t="s">
        <v>134</v>
      </c>
      <c r="E218" s="639">
        <v>43066.0</v>
      </c>
      <c r="F218" s="614" t="s">
        <v>1953</v>
      </c>
      <c r="G218" s="614" t="s">
        <v>1954</v>
      </c>
      <c r="H218" s="609" t="s">
        <v>1955</v>
      </c>
      <c r="I218" s="614" t="s">
        <v>1956</v>
      </c>
    </row>
    <row r="219">
      <c r="A219" s="609" t="s">
        <v>1477</v>
      </c>
      <c r="B219" s="609" t="s">
        <v>1478</v>
      </c>
      <c r="C219" s="638" t="s">
        <v>100</v>
      </c>
      <c r="D219" s="638" t="s">
        <v>143</v>
      </c>
      <c r="E219" s="639">
        <v>44642.0</v>
      </c>
      <c r="F219" s="614" t="s">
        <v>1957</v>
      </c>
      <c r="G219" s="614" t="s">
        <v>1626</v>
      </c>
      <c r="H219" s="609" t="s">
        <v>1958</v>
      </c>
      <c r="I219" s="615"/>
    </row>
    <row r="220">
      <c r="A220" s="609" t="s">
        <v>1477</v>
      </c>
      <c r="B220" s="609" t="s">
        <v>1478</v>
      </c>
      <c r="C220" s="638" t="s">
        <v>106</v>
      </c>
      <c r="D220" s="638" t="s">
        <v>143</v>
      </c>
      <c r="E220" s="639">
        <v>44642.0</v>
      </c>
      <c r="F220" s="614" t="s">
        <v>1957</v>
      </c>
      <c r="G220" s="614" t="s">
        <v>1626</v>
      </c>
      <c r="H220" s="609" t="s">
        <v>1959</v>
      </c>
      <c r="I220" s="615"/>
    </row>
    <row r="221">
      <c r="A221" s="609" t="s">
        <v>1477</v>
      </c>
      <c r="B221" s="609" t="s">
        <v>1478</v>
      </c>
      <c r="C221" s="638" t="s">
        <v>134</v>
      </c>
      <c r="D221" s="638" t="s">
        <v>143</v>
      </c>
      <c r="E221" s="639">
        <v>44616.0</v>
      </c>
      <c r="F221" s="614" t="s">
        <v>1960</v>
      </c>
      <c r="G221" s="614" t="s">
        <v>1626</v>
      </c>
      <c r="H221" s="609" t="s">
        <v>1961</v>
      </c>
      <c r="I221" s="615"/>
    </row>
    <row r="222">
      <c r="A222" s="609" t="s">
        <v>1477</v>
      </c>
      <c r="B222" s="609" t="s">
        <v>1478</v>
      </c>
      <c r="C222" s="638" t="s">
        <v>143</v>
      </c>
      <c r="D222" s="638" t="s">
        <v>143</v>
      </c>
      <c r="E222" s="639">
        <v>44616.0</v>
      </c>
      <c r="F222" s="614" t="s">
        <v>1960</v>
      </c>
      <c r="G222" s="614" t="s">
        <v>1626</v>
      </c>
      <c r="H222" s="609" t="s">
        <v>1962</v>
      </c>
      <c r="I222" s="615"/>
    </row>
    <row r="223">
      <c r="A223" s="609" t="s">
        <v>1477</v>
      </c>
      <c r="B223" s="609" t="s">
        <v>1478</v>
      </c>
      <c r="C223" s="638" t="s">
        <v>150</v>
      </c>
      <c r="D223" s="638" t="s">
        <v>143</v>
      </c>
      <c r="E223" s="639">
        <v>43697.0</v>
      </c>
      <c r="F223" s="614" t="s">
        <v>1963</v>
      </c>
      <c r="G223" s="614" t="s">
        <v>1964</v>
      </c>
      <c r="H223" s="609" t="s">
        <v>1965</v>
      </c>
      <c r="I223" s="615"/>
    </row>
    <row r="224">
      <c r="A224" s="609" t="s">
        <v>1477</v>
      </c>
      <c r="B224" s="609" t="s">
        <v>1478</v>
      </c>
      <c r="C224" s="638" t="s">
        <v>80</v>
      </c>
      <c r="D224" s="638" t="s">
        <v>150</v>
      </c>
      <c r="E224" s="639">
        <v>43315.0</v>
      </c>
      <c r="F224" s="614" t="s">
        <v>1966</v>
      </c>
      <c r="G224" s="614" t="s">
        <v>1626</v>
      </c>
      <c r="H224" s="609" t="s">
        <v>1967</v>
      </c>
      <c r="I224" s="615"/>
    </row>
    <row r="225">
      <c r="A225" s="609" t="s">
        <v>1477</v>
      </c>
      <c r="B225" s="609" t="s">
        <v>1478</v>
      </c>
      <c r="C225" s="638" t="s">
        <v>90</v>
      </c>
      <c r="D225" s="638" t="s">
        <v>150</v>
      </c>
      <c r="E225" s="639">
        <v>43315.0</v>
      </c>
      <c r="F225" s="614" t="s">
        <v>1966</v>
      </c>
      <c r="G225" s="614" t="s">
        <v>1782</v>
      </c>
      <c r="H225" s="609" t="s">
        <v>1968</v>
      </c>
      <c r="I225" s="615"/>
    </row>
    <row r="226">
      <c r="A226" s="609" t="s">
        <v>1477</v>
      </c>
      <c r="B226" s="609" t="s">
        <v>1478</v>
      </c>
      <c r="C226" s="638" t="s">
        <v>106</v>
      </c>
      <c r="D226" s="638" t="s">
        <v>150</v>
      </c>
      <c r="E226" s="639">
        <v>43368.0</v>
      </c>
      <c r="F226" s="614" t="s">
        <v>1969</v>
      </c>
      <c r="G226" s="614" t="s">
        <v>1626</v>
      </c>
      <c r="H226" s="609" t="s">
        <v>1970</v>
      </c>
      <c r="I226" s="615"/>
    </row>
    <row r="227">
      <c r="A227" s="609" t="s">
        <v>1477</v>
      </c>
      <c r="B227" s="609" t="s">
        <v>1478</v>
      </c>
      <c r="C227" s="638" t="s">
        <v>114</v>
      </c>
      <c r="D227" s="638" t="s">
        <v>150</v>
      </c>
      <c r="E227" s="639">
        <v>43361.0</v>
      </c>
      <c r="F227" s="614" t="s">
        <v>1971</v>
      </c>
      <c r="G227" s="614" t="s">
        <v>1626</v>
      </c>
      <c r="H227" s="609" t="s">
        <v>1972</v>
      </c>
      <c r="I227" s="615"/>
    </row>
    <row r="228">
      <c r="A228" s="609" t="s">
        <v>1477</v>
      </c>
      <c r="B228" s="609" t="s">
        <v>1478</v>
      </c>
      <c r="C228" s="638" t="s">
        <v>120</v>
      </c>
      <c r="D228" s="638" t="s">
        <v>150</v>
      </c>
      <c r="E228" s="639">
        <v>43416.0</v>
      </c>
      <c r="F228" s="614" t="s">
        <v>1973</v>
      </c>
      <c r="G228" s="614" t="s">
        <v>1626</v>
      </c>
      <c r="H228" s="609" t="s">
        <v>1974</v>
      </c>
      <c r="I228" s="615"/>
    </row>
    <row r="229">
      <c r="A229" s="609" t="s">
        <v>1477</v>
      </c>
      <c r="B229" s="609" t="s">
        <v>1478</v>
      </c>
      <c r="C229" s="638" t="s">
        <v>126</v>
      </c>
      <c r="D229" s="638" t="s">
        <v>150</v>
      </c>
      <c r="E229" s="639">
        <v>43416.0</v>
      </c>
      <c r="F229" s="614" t="s">
        <v>1973</v>
      </c>
      <c r="G229" s="614" t="s">
        <v>1626</v>
      </c>
      <c r="H229" s="609" t="s">
        <v>1975</v>
      </c>
      <c r="I229" s="615"/>
    </row>
    <row r="230">
      <c r="A230" s="609" t="s">
        <v>1477</v>
      </c>
      <c r="B230" s="609" t="s">
        <v>1478</v>
      </c>
      <c r="C230" s="638" t="s">
        <v>134</v>
      </c>
      <c r="D230" s="638" t="s">
        <v>150</v>
      </c>
      <c r="E230" s="639">
        <v>44859.0</v>
      </c>
      <c r="F230" s="614" t="s">
        <v>1976</v>
      </c>
      <c r="G230" s="614" t="s">
        <v>1605</v>
      </c>
      <c r="H230" s="609" t="s">
        <v>1977</v>
      </c>
      <c r="I230" s="615"/>
    </row>
    <row r="231">
      <c r="A231" s="609" t="s">
        <v>1477</v>
      </c>
      <c r="B231" s="609" t="s">
        <v>1478</v>
      </c>
      <c r="C231" s="638" t="s">
        <v>143</v>
      </c>
      <c r="D231" s="638" t="s">
        <v>150</v>
      </c>
      <c r="E231" s="639">
        <v>44859.0</v>
      </c>
      <c r="F231" s="614" t="s">
        <v>1976</v>
      </c>
      <c r="G231" s="614" t="s">
        <v>1605</v>
      </c>
      <c r="H231" s="609" t="s">
        <v>1978</v>
      </c>
      <c r="I231" s="615"/>
    </row>
    <row r="232">
      <c r="A232" s="609" t="s">
        <v>1477</v>
      </c>
      <c r="B232" s="609" t="s">
        <v>1478</v>
      </c>
      <c r="C232" s="638" t="s">
        <v>155</v>
      </c>
      <c r="D232" s="638" t="s">
        <v>1979</v>
      </c>
      <c r="E232" s="639">
        <v>44145.0</v>
      </c>
      <c r="F232" s="614" t="s">
        <v>1980</v>
      </c>
      <c r="G232" s="614" t="s">
        <v>1626</v>
      </c>
      <c r="H232" s="609" t="s">
        <v>1981</v>
      </c>
      <c r="I232" s="615"/>
    </row>
    <row r="233">
      <c r="A233" s="609" t="s">
        <v>1477</v>
      </c>
      <c r="B233" s="609" t="s">
        <v>1478</v>
      </c>
      <c r="C233" s="638" t="s">
        <v>160</v>
      </c>
      <c r="D233" s="638" t="s">
        <v>1979</v>
      </c>
      <c r="E233" s="639">
        <v>44148.0</v>
      </c>
      <c r="F233" s="614" t="s">
        <v>1982</v>
      </c>
      <c r="G233" s="614" t="s">
        <v>1983</v>
      </c>
      <c r="H233" s="609" t="s">
        <v>1984</v>
      </c>
      <c r="I233" s="615"/>
    </row>
    <row r="234">
      <c r="A234" s="609" t="s">
        <v>1477</v>
      </c>
      <c r="B234" s="609" t="s">
        <v>1478</v>
      </c>
      <c r="C234" s="638" t="s">
        <v>222</v>
      </c>
      <c r="D234" s="638" t="s">
        <v>1985</v>
      </c>
      <c r="E234" s="639">
        <v>43481.0</v>
      </c>
      <c r="F234" s="614" t="s">
        <v>1986</v>
      </c>
      <c r="G234" s="614" t="s">
        <v>1623</v>
      </c>
      <c r="H234" s="609" t="s">
        <v>1987</v>
      </c>
      <c r="I234" s="615"/>
    </row>
    <row r="235">
      <c r="A235" s="609" t="s">
        <v>1477</v>
      </c>
      <c r="B235" s="609" t="s">
        <v>1478</v>
      </c>
      <c r="C235" s="638" t="s">
        <v>226</v>
      </c>
      <c r="D235" s="638" t="s">
        <v>1985</v>
      </c>
      <c r="E235" s="639">
        <v>43481.0</v>
      </c>
      <c r="F235" s="614" t="s">
        <v>1986</v>
      </c>
      <c r="G235" s="614" t="s">
        <v>1623</v>
      </c>
      <c r="H235" s="609" t="s">
        <v>1988</v>
      </c>
      <c r="I235" s="615"/>
    </row>
    <row r="236">
      <c r="A236" s="609" t="s">
        <v>1480</v>
      </c>
      <c r="B236" s="609" t="s">
        <v>1481</v>
      </c>
      <c r="C236" s="638" t="s">
        <v>134</v>
      </c>
      <c r="D236" s="638" t="s">
        <v>1989</v>
      </c>
      <c r="E236" s="639">
        <v>43438.0</v>
      </c>
      <c r="F236" s="614" t="s">
        <v>1990</v>
      </c>
      <c r="G236" s="614" t="s">
        <v>1626</v>
      </c>
      <c r="H236" s="609" t="s">
        <v>1991</v>
      </c>
      <c r="I236" s="615"/>
    </row>
    <row r="237">
      <c r="A237" s="609" t="s">
        <v>1480</v>
      </c>
      <c r="B237" s="609" t="s">
        <v>1481</v>
      </c>
      <c r="C237" s="638" t="s">
        <v>143</v>
      </c>
      <c r="D237" s="638" t="s">
        <v>1989</v>
      </c>
      <c r="E237" s="639">
        <v>43560.0</v>
      </c>
      <c r="F237" s="614" t="s">
        <v>1992</v>
      </c>
      <c r="G237" s="614" t="s">
        <v>1626</v>
      </c>
      <c r="H237" s="609" t="s">
        <v>1993</v>
      </c>
      <c r="I237" s="615"/>
    </row>
    <row r="238">
      <c r="A238" s="609" t="s">
        <v>1480</v>
      </c>
      <c r="B238" s="609" t="s">
        <v>1481</v>
      </c>
      <c r="C238" s="638" t="s">
        <v>150</v>
      </c>
      <c r="D238" s="638" t="s">
        <v>1989</v>
      </c>
      <c r="E238" s="639">
        <v>43691.0</v>
      </c>
      <c r="F238" s="614" t="s">
        <v>1994</v>
      </c>
      <c r="G238" s="614" t="s">
        <v>1995</v>
      </c>
      <c r="H238" s="609" t="s">
        <v>1996</v>
      </c>
      <c r="I238" s="615"/>
    </row>
    <row r="239">
      <c r="A239" s="609" t="s">
        <v>1480</v>
      </c>
      <c r="B239" s="609" t="s">
        <v>1481</v>
      </c>
      <c r="C239" s="638" t="s">
        <v>155</v>
      </c>
      <c r="D239" s="638" t="s">
        <v>1997</v>
      </c>
      <c r="E239" s="639">
        <v>43691.0</v>
      </c>
      <c r="F239" s="614" t="s">
        <v>1994</v>
      </c>
      <c r="G239" s="614" t="s">
        <v>1995</v>
      </c>
      <c r="H239" s="609" t="s">
        <v>1998</v>
      </c>
      <c r="I239" s="615"/>
    </row>
    <row r="240">
      <c r="A240" s="609" t="s">
        <v>1480</v>
      </c>
      <c r="B240" s="609" t="s">
        <v>1481</v>
      </c>
      <c r="C240" s="638" t="s">
        <v>168</v>
      </c>
      <c r="D240" s="638" t="s">
        <v>1997</v>
      </c>
      <c r="E240" s="639">
        <v>43563.0</v>
      </c>
      <c r="F240" s="614" t="s">
        <v>1999</v>
      </c>
      <c r="G240" s="614" t="s">
        <v>1626</v>
      </c>
      <c r="H240" s="609" t="s">
        <v>2000</v>
      </c>
      <c r="I240" s="615"/>
    </row>
    <row r="241">
      <c r="A241" s="609" t="s">
        <v>1480</v>
      </c>
      <c r="B241" s="609" t="s">
        <v>1481</v>
      </c>
      <c r="C241" s="638" t="s">
        <v>191</v>
      </c>
      <c r="D241" s="638" t="s">
        <v>1997</v>
      </c>
      <c r="E241" s="639">
        <v>45575.0</v>
      </c>
      <c r="F241" s="614" t="s">
        <v>2001</v>
      </c>
      <c r="G241" s="614" t="s">
        <v>1697</v>
      </c>
      <c r="H241" s="609" t="s">
        <v>2002</v>
      </c>
      <c r="I241" s="615"/>
    </row>
    <row r="242">
      <c r="A242" s="609" t="s">
        <v>1480</v>
      </c>
      <c r="B242" s="609" t="s">
        <v>1481</v>
      </c>
      <c r="C242" s="638" t="s">
        <v>196</v>
      </c>
      <c r="D242" s="638" t="s">
        <v>1997</v>
      </c>
      <c r="E242" s="639">
        <v>45575.0</v>
      </c>
      <c r="F242" s="614" t="s">
        <v>2001</v>
      </c>
      <c r="G242" s="614" t="s">
        <v>2003</v>
      </c>
      <c r="H242" s="609" t="s">
        <v>2004</v>
      </c>
      <c r="I242" s="615"/>
    </row>
    <row r="243">
      <c r="A243" s="609" t="s">
        <v>1482</v>
      </c>
      <c r="B243" s="609" t="s">
        <v>1481</v>
      </c>
      <c r="C243" s="638" t="s">
        <v>143</v>
      </c>
      <c r="D243" s="638" t="s">
        <v>2005</v>
      </c>
      <c r="E243" s="639">
        <v>44525.0</v>
      </c>
      <c r="F243" s="614" t="s">
        <v>2006</v>
      </c>
      <c r="G243" s="614" t="s">
        <v>1626</v>
      </c>
      <c r="H243" s="609" t="s">
        <v>2007</v>
      </c>
      <c r="I243" s="615"/>
    </row>
    <row r="244">
      <c r="A244" s="609" t="s">
        <v>1482</v>
      </c>
      <c r="B244" s="609" t="s">
        <v>1481</v>
      </c>
      <c r="C244" s="638" t="s">
        <v>150</v>
      </c>
      <c r="D244" s="638" t="s">
        <v>2005</v>
      </c>
      <c r="E244" s="639">
        <v>44525.0</v>
      </c>
      <c r="F244" s="614" t="s">
        <v>2006</v>
      </c>
      <c r="G244" s="614" t="s">
        <v>1626</v>
      </c>
      <c r="H244" s="609" t="s">
        <v>2008</v>
      </c>
      <c r="I244" s="615"/>
    </row>
    <row r="245">
      <c r="A245" s="609" t="s">
        <v>1482</v>
      </c>
      <c r="B245" s="609" t="s">
        <v>1481</v>
      </c>
      <c r="C245" s="638" t="s">
        <v>155</v>
      </c>
      <c r="D245" s="638" t="s">
        <v>2005</v>
      </c>
      <c r="E245" s="639">
        <v>44525.0</v>
      </c>
      <c r="F245" s="614" t="s">
        <v>2006</v>
      </c>
      <c r="G245" s="614" t="s">
        <v>1626</v>
      </c>
      <c r="H245" s="609" t="s">
        <v>2009</v>
      </c>
      <c r="I245" s="615"/>
    </row>
    <row r="246">
      <c r="A246" s="609" t="s">
        <v>1482</v>
      </c>
      <c r="B246" s="609" t="s">
        <v>1481</v>
      </c>
      <c r="C246" s="638" t="s">
        <v>90</v>
      </c>
      <c r="D246" s="638" t="s">
        <v>2010</v>
      </c>
      <c r="E246" s="639">
        <v>45467.0</v>
      </c>
      <c r="F246" s="614" t="s">
        <v>2011</v>
      </c>
      <c r="G246" s="614" t="s">
        <v>1626</v>
      </c>
      <c r="H246" s="609" t="s">
        <v>2012</v>
      </c>
      <c r="I246" s="615"/>
    </row>
    <row r="247">
      <c r="A247" s="609" t="s">
        <v>1482</v>
      </c>
      <c r="B247" s="609" t="s">
        <v>1481</v>
      </c>
      <c r="C247" s="638" t="s">
        <v>100</v>
      </c>
      <c r="D247" s="638" t="s">
        <v>2010</v>
      </c>
      <c r="E247" s="639">
        <v>45418.0</v>
      </c>
      <c r="F247" s="614" t="s">
        <v>2013</v>
      </c>
      <c r="G247" s="614" t="s">
        <v>2014</v>
      </c>
      <c r="H247" s="609" t="s">
        <v>2015</v>
      </c>
      <c r="I247" s="615"/>
    </row>
    <row r="248">
      <c r="A248" s="609" t="s">
        <v>1482</v>
      </c>
      <c r="B248" s="609" t="s">
        <v>1481</v>
      </c>
      <c r="C248" s="638" t="s">
        <v>114</v>
      </c>
      <c r="D248" s="638" t="s">
        <v>2010</v>
      </c>
      <c r="E248" s="639">
        <v>44299.0</v>
      </c>
      <c r="F248" s="614" t="s">
        <v>2016</v>
      </c>
      <c r="G248" s="614" t="s">
        <v>1626</v>
      </c>
      <c r="H248" s="609" t="s">
        <v>2017</v>
      </c>
      <c r="I248" s="615"/>
    </row>
    <row r="249">
      <c r="A249" s="609" t="s">
        <v>1482</v>
      </c>
      <c r="B249" s="609" t="s">
        <v>1481</v>
      </c>
      <c r="C249" s="638" t="s">
        <v>120</v>
      </c>
      <c r="D249" s="638" t="s">
        <v>2010</v>
      </c>
      <c r="E249" s="639">
        <v>45098.0</v>
      </c>
      <c r="F249" s="614" t="s">
        <v>2018</v>
      </c>
      <c r="G249" s="614" t="s">
        <v>1626</v>
      </c>
      <c r="H249" s="609" t="s">
        <v>2019</v>
      </c>
      <c r="I249" s="615"/>
    </row>
    <row r="250">
      <c r="A250" s="609" t="s">
        <v>1482</v>
      </c>
      <c r="B250" s="609" t="s">
        <v>1481</v>
      </c>
      <c r="C250" s="638" t="s">
        <v>134</v>
      </c>
      <c r="D250" s="638" t="s">
        <v>2010</v>
      </c>
      <c r="E250" s="639">
        <v>45478.0</v>
      </c>
      <c r="F250" s="614" t="s">
        <v>2020</v>
      </c>
      <c r="G250" s="614" t="s">
        <v>1711</v>
      </c>
      <c r="H250" s="609" t="s">
        <v>2021</v>
      </c>
      <c r="I250" s="615"/>
    </row>
    <row r="251">
      <c r="A251" s="609" t="s">
        <v>1482</v>
      </c>
      <c r="B251" s="609" t="s">
        <v>1481</v>
      </c>
      <c r="C251" s="638" t="s">
        <v>90</v>
      </c>
      <c r="D251" s="638" t="s">
        <v>2022</v>
      </c>
      <c r="E251" s="639">
        <v>44697.0</v>
      </c>
      <c r="F251" s="614" t="s">
        <v>2023</v>
      </c>
      <c r="G251" s="614" t="s">
        <v>2024</v>
      </c>
      <c r="H251" s="609" t="s">
        <v>2025</v>
      </c>
      <c r="I251" s="615"/>
    </row>
    <row r="252">
      <c r="A252" s="609" t="s">
        <v>1482</v>
      </c>
      <c r="B252" s="609" t="s">
        <v>1481</v>
      </c>
      <c r="C252" s="638" t="s">
        <v>100</v>
      </c>
      <c r="D252" s="638" t="s">
        <v>2022</v>
      </c>
      <c r="E252" s="639">
        <v>44697.0</v>
      </c>
      <c r="F252" s="614" t="s">
        <v>2023</v>
      </c>
      <c r="G252" s="614" t="s">
        <v>2024</v>
      </c>
      <c r="H252" s="609" t="s">
        <v>2026</v>
      </c>
      <c r="I252" s="615"/>
    </row>
    <row r="253">
      <c r="A253" s="609" t="s">
        <v>1482</v>
      </c>
      <c r="B253" s="609" t="s">
        <v>1481</v>
      </c>
      <c r="C253" s="638" t="s">
        <v>134</v>
      </c>
      <c r="D253" s="638" t="s">
        <v>2022</v>
      </c>
      <c r="E253" s="639">
        <v>44732.0</v>
      </c>
      <c r="F253" s="614" t="s">
        <v>2027</v>
      </c>
      <c r="G253" s="614" t="s">
        <v>1626</v>
      </c>
      <c r="H253" s="609" t="s">
        <v>2028</v>
      </c>
      <c r="I253" s="615"/>
    </row>
    <row r="254">
      <c r="A254" s="609" t="s">
        <v>1482</v>
      </c>
      <c r="B254" s="609" t="s">
        <v>1481</v>
      </c>
      <c r="C254" s="638" t="s">
        <v>155</v>
      </c>
      <c r="D254" s="638" t="s">
        <v>2022</v>
      </c>
      <c r="E254" s="639">
        <v>45071.0</v>
      </c>
      <c r="F254" s="614" t="s">
        <v>2029</v>
      </c>
      <c r="G254" s="614" t="s">
        <v>2030</v>
      </c>
      <c r="H254" s="609" t="s">
        <v>2031</v>
      </c>
      <c r="I254" s="615"/>
    </row>
    <row r="255">
      <c r="A255" s="609" t="s">
        <v>1482</v>
      </c>
      <c r="B255" s="609" t="s">
        <v>1481</v>
      </c>
      <c r="C255" s="638" t="s">
        <v>106</v>
      </c>
      <c r="D255" s="638" t="s">
        <v>2032</v>
      </c>
      <c r="E255" s="639">
        <v>44132.0</v>
      </c>
      <c r="F255" s="614" t="s">
        <v>2033</v>
      </c>
      <c r="G255" s="614" t="s">
        <v>1626</v>
      </c>
      <c r="H255" s="609" t="s">
        <v>2034</v>
      </c>
      <c r="I255" s="615"/>
    </row>
    <row r="256">
      <c r="A256" s="609" t="s">
        <v>1482</v>
      </c>
      <c r="B256" s="609" t="s">
        <v>1481</v>
      </c>
      <c r="C256" s="638" t="s">
        <v>100</v>
      </c>
      <c r="D256" s="638" t="s">
        <v>2035</v>
      </c>
      <c r="E256" s="639">
        <v>45601.0</v>
      </c>
      <c r="F256" s="614" t="s">
        <v>2036</v>
      </c>
      <c r="G256" s="614" t="s">
        <v>1626</v>
      </c>
      <c r="H256" s="609" t="s">
        <v>2037</v>
      </c>
      <c r="I256" s="615"/>
    </row>
    <row r="257">
      <c r="A257" s="609" t="s">
        <v>1482</v>
      </c>
      <c r="B257" s="609" t="s">
        <v>1481</v>
      </c>
      <c r="C257" s="638" t="s">
        <v>106</v>
      </c>
      <c r="D257" s="638" t="s">
        <v>2035</v>
      </c>
      <c r="E257" s="639">
        <v>45601.0</v>
      </c>
      <c r="F257" s="614" t="s">
        <v>2038</v>
      </c>
      <c r="G257" s="614" t="s">
        <v>1626</v>
      </c>
      <c r="H257" s="609" t="s">
        <v>2039</v>
      </c>
      <c r="I257" s="615"/>
    </row>
    <row r="258">
      <c r="A258" s="609" t="s">
        <v>1482</v>
      </c>
      <c r="B258" s="609" t="s">
        <v>1481</v>
      </c>
      <c r="C258" s="638" t="s">
        <v>114</v>
      </c>
      <c r="D258" s="638" t="s">
        <v>2035</v>
      </c>
      <c r="E258" s="639">
        <v>45631.0</v>
      </c>
      <c r="F258" s="614" t="s">
        <v>2038</v>
      </c>
      <c r="G258" s="614" t="s">
        <v>1626</v>
      </c>
      <c r="H258" s="609" t="s">
        <v>2040</v>
      </c>
      <c r="I258" s="615"/>
    </row>
    <row r="259">
      <c r="A259" s="609" t="s">
        <v>1482</v>
      </c>
      <c r="B259" s="609" t="s">
        <v>1481</v>
      </c>
      <c r="C259" s="638" t="s">
        <v>120</v>
      </c>
      <c r="D259" s="638" t="s">
        <v>2035</v>
      </c>
      <c r="E259" s="639">
        <v>45662.0</v>
      </c>
      <c r="F259" s="614" t="s">
        <v>2038</v>
      </c>
      <c r="G259" s="614" t="s">
        <v>2041</v>
      </c>
      <c r="H259" s="609" t="s">
        <v>2042</v>
      </c>
      <c r="I259" s="615"/>
    </row>
    <row r="260">
      <c r="A260" s="609" t="s">
        <v>1482</v>
      </c>
      <c r="B260" s="609" t="s">
        <v>1481</v>
      </c>
      <c r="C260" s="638" t="s">
        <v>126</v>
      </c>
      <c r="D260" s="638" t="s">
        <v>2035</v>
      </c>
      <c r="E260" s="639">
        <v>44048.0</v>
      </c>
      <c r="F260" s="614" t="s">
        <v>2043</v>
      </c>
      <c r="G260" s="614" t="s">
        <v>1626</v>
      </c>
      <c r="H260" s="609" t="s">
        <v>2044</v>
      </c>
      <c r="I260" s="615"/>
    </row>
    <row r="261">
      <c r="A261" s="609" t="s">
        <v>1482</v>
      </c>
      <c r="B261" s="609" t="s">
        <v>1481</v>
      </c>
      <c r="C261" s="638" t="s">
        <v>114</v>
      </c>
      <c r="D261" s="638" t="s">
        <v>2045</v>
      </c>
      <c r="E261" s="639">
        <v>43970.0</v>
      </c>
      <c r="F261" s="614" t="s">
        <v>2046</v>
      </c>
      <c r="G261" s="614" t="s">
        <v>1626</v>
      </c>
      <c r="H261" s="609" t="s">
        <v>2047</v>
      </c>
      <c r="I261" s="615"/>
    </row>
    <row r="262">
      <c r="A262" s="609" t="s">
        <v>1484</v>
      </c>
      <c r="B262" s="609" t="s">
        <v>1481</v>
      </c>
      <c r="C262" s="638" t="s">
        <v>155</v>
      </c>
      <c r="D262" s="638" t="s">
        <v>2048</v>
      </c>
      <c r="E262" s="639">
        <v>44697.0</v>
      </c>
      <c r="F262" s="614" t="s">
        <v>2023</v>
      </c>
      <c r="G262" s="614" t="s">
        <v>2049</v>
      </c>
      <c r="H262" s="609" t="s">
        <v>2050</v>
      </c>
      <c r="I262" s="615"/>
    </row>
    <row r="263">
      <c r="A263" s="609" t="s">
        <v>1484</v>
      </c>
      <c r="B263" s="609" t="s">
        <v>1481</v>
      </c>
      <c r="C263" s="638" t="s">
        <v>181</v>
      </c>
      <c r="D263" s="638" t="s">
        <v>2048</v>
      </c>
      <c r="E263" s="639">
        <v>43770.0</v>
      </c>
      <c r="F263" s="614" t="s">
        <v>2051</v>
      </c>
      <c r="G263" s="614" t="s">
        <v>1782</v>
      </c>
      <c r="H263" s="609" t="s">
        <v>2052</v>
      </c>
      <c r="I263" s="615"/>
    </row>
    <row r="264">
      <c r="A264" s="609" t="s">
        <v>1484</v>
      </c>
      <c r="B264" s="609" t="s">
        <v>1481</v>
      </c>
      <c r="C264" s="638" t="s">
        <v>160</v>
      </c>
      <c r="D264" s="638" t="s">
        <v>2053</v>
      </c>
      <c r="E264" s="639">
        <v>43691.0</v>
      </c>
      <c r="F264" s="614" t="s">
        <v>1994</v>
      </c>
      <c r="G264" s="614" t="s">
        <v>2054</v>
      </c>
      <c r="H264" s="609" t="s">
        <v>2055</v>
      </c>
      <c r="I264" s="615"/>
    </row>
    <row r="265">
      <c r="A265" s="609" t="s">
        <v>1484</v>
      </c>
      <c r="B265" s="609" t="s">
        <v>1481</v>
      </c>
      <c r="C265" s="638" t="s">
        <v>164</v>
      </c>
      <c r="D265" s="638" t="s">
        <v>2053</v>
      </c>
      <c r="E265" s="639">
        <v>43691.0</v>
      </c>
      <c r="F265" s="614" t="s">
        <v>1994</v>
      </c>
      <c r="G265" s="614" t="s">
        <v>2054</v>
      </c>
      <c r="H265" s="609" t="s">
        <v>2056</v>
      </c>
      <c r="I265" s="615"/>
    </row>
    <row r="266">
      <c r="A266" s="609" t="s">
        <v>1484</v>
      </c>
      <c r="B266" s="609" t="s">
        <v>1481</v>
      </c>
      <c r="C266" s="638" t="s">
        <v>168</v>
      </c>
      <c r="D266" s="638" t="s">
        <v>2053</v>
      </c>
      <c r="E266" s="639">
        <v>43691.0</v>
      </c>
      <c r="F266" s="614" t="s">
        <v>1994</v>
      </c>
      <c r="G266" s="614" t="s">
        <v>2054</v>
      </c>
      <c r="H266" s="609" t="s">
        <v>2057</v>
      </c>
      <c r="I266" s="615"/>
    </row>
    <row r="267">
      <c r="A267" s="609" t="s">
        <v>1484</v>
      </c>
      <c r="B267" s="609" t="s">
        <v>1481</v>
      </c>
      <c r="C267" s="638" t="s">
        <v>175</v>
      </c>
      <c r="D267" s="638" t="s">
        <v>2053</v>
      </c>
      <c r="E267" s="639">
        <v>43691.0</v>
      </c>
      <c r="F267" s="614" t="s">
        <v>1994</v>
      </c>
      <c r="G267" s="614" t="s">
        <v>2054</v>
      </c>
      <c r="H267" s="609" t="s">
        <v>2058</v>
      </c>
      <c r="I267" s="615"/>
    </row>
    <row r="268">
      <c r="A268" s="609" t="s">
        <v>1484</v>
      </c>
      <c r="B268" s="609" t="s">
        <v>1481</v>
      </c>
      <c r="C268" s="638" t="s">
        <v>100</v>
      </c>
      <c r="D268" s="638" t="s">
        <v>2059</v>
      </c>
      <c r="E268" s="639">
        <v>45748.0</v>
      </c>
      <c r="F268" s="614" t="s">
        <v>2060</v>
      </c>
      <c r="G268" s="614" t="s">
        <v>2061</v>
      </c>
      <c r="H268" s="609" t="s">
        <v>2062</v>
      </c>
      <c r="I268" s="615"/>
    </row>
    <row r="269">
      <c r="A269" s="609" t="s">
        <v>1485</v>
      </c>
      <c r="B269" s="609" t="s">
        <v>1481</v>
      </c>
      <c r="C269" s="638" t="s">
        <v>155</v>
      </c>
      <c r="D269" s="638" t="s">
        <v>2063</v>
      </c>
      <c r="E269" s="639">
        <v>45743.0</v>
      </c>
      <c r="F269" s="614" t="s">
        <v>2064</v>
      </c>
      <c r="G269" s="614" t="s">
        <v>2065</v>
      </c>
      <c r="H269" s="609" t="s">
        <v>2066</v>
      </c>
      <c r="I269" s="615"/>
    </row>
    <row r="270">
      <c r="A270" s="609" t="s">
        <v>1487</v>
      </c>
      <c r="B270" s="609" t="s">
        <v>1481</v>
      </c>
      <c r="C270" s="638" t="s">
        <v>120</v>
      </c>
      <c r="D270" s="638" t="s">
        <v>2059</v>
      </c>
      <c r="E270" s="639">
        <v>45859.0</v>
      </c>
      <c r="F270" s="614" t="s">
        <v>2067</v>
      </c>
      <c r="G270" s="614" t="s">
        <v>2068</v>
      </c>
      <c r="H270" s="609" t="s">
        <v>2069</v>
      </c>
      <c r="I270" s="615"/>
    </row>
    <row r="271">
      <c r="A271" s="609" t="s">
        <v>1489</v>
      </c>
      <c r="B271" s="609" t="s">
        <v>1481</v>
      </c>
      <c r="C271" s="638" t="s">
        <v>80</v>
      </c>
      <c r="D271" s="638" t="s">
        <v>2070</v>
      </c>
      <c r="E271" s="639">
        <v>44155.0</v>
      </c>
      <c r="F271" s="614" t="s">
        <v>2071</v>
      </c>
      <c r="G271" s="614" t="s">
        <v>1697</v>
      </c>
      <c r="H271" s="609" t="s">
        <v>2072</v>
      </c>
      <c r="I271" s="615"/>
    </row>
    <row r="272">
      <c r="A272" s="609" t="s">
        <v>1489</v>
      </c>
      <c r="B272" s="609" t="s">
        <v>1481</v>
      </c>
      <c r="C272" s="638" t="s">
        <v>90</v>
      </c>
      <c r="D272" s="638" t="s">
        <v>2070</v>
      </c>
      <c r="E272" s="639">
        <v>43535.0</v>
      </c>
      <c r="F272" s="614" t="s">
        <v>2071</v>
      </c>
      <c r="G272" s="614" t="s">
        <v>1697</v>
      </c>
      <c r="H272" s="609" t="s">
        <v>2073</v>
      </c>
      <c r="I272" s="615"/>
    </row>
    <row r="273">
      <c r="A273" s="609" t="s">
        <v>1489</v>
      </c>
      <c r="B273" s="609" t="s">
        <v>1481</v>
      </c>
      <c r="C273" s="638" t="s">
        <v>100</v>
      </c>
      <c r="D273" s="638" t="s">
        <v>2070</v>
      </c>
      <c r="E273" s="639">
        <v>45919.0</v>
      </c>
      <c r="F273" s="614" t="s">
        <v>2074</v>
      </c>
      <c r="G273" s="614" t="s">
        <v>2075</v>
      </c>
      <c r="H273" s="609" t="s">
        <v>2076</v>
      </c>
      <c r="I273" s="615"/>
    </row>
    <row r="274">
      <c r="A274" s="609" t="s">
        <v>1489</v>
      </c>
      <c r="B274" s="609" t="s">
        <v>1481</v>
      </c>
      <c r="C274" s="638" t="s">
        <v>100</v>
      </c>
      <c r="D274" s="638" t="s">
        <v>2077</v>
      </c>
      <c r="E274" s="639">
        <v>44862.0</v>
      </c>
      <c r="F274" s="614" t="s">
        <v>2078</v>
      </c>
      <c r="G274" s="614" t="s">
        <v>2079</v>
      </c>
      <c r="H274" s="609" t="s">
        <v>2080</v>
      </c>
      <c r="I274" s="615"/>
    </row>
    <row r="275">
      <c r="A275" s="609" t="s">
        <v>1489</v>
      </c>
      <c r="B275" s="609" t="s">
        <v>1481</v>
      </c>
      <c r="C275" s="638" t="s">
        <v>106</v>
      </c>
      <c r="D275" s="638" t="s">
        <v>2077</v>
      </c>
      <c r="E275" s="639">
        <v>41696.0</v>
      </c>
      <c r="F275" s="614" t="s">
        <v>2081</v>
      </c>
      <c r="G275" s="614" t="s">
        <v>2082</v>
      </c>
      <c r="H275" s="609" t="s">
        <v>2083</v>
      </c>
      <c r="I275" s="614" t="s">
        <v>1705</v>
      </c>
    </row>
    <row r="276">
      <c r="A276" s="609" t="s">
        <v>1489</v>
      </c>
      <c r="B276" s="609" t="s">
        <v>1481</v>
      </c>
      <c r="C276" s="638" t="s">
        <v>106</v>
      </c>
      <c r="D276" s="638" t="s">
        <v>2084</v>
      </c>
      <c r="E276" s="639">
        <v>41729.0</v>
      </c>
      <c r="F276" s="614" t="s">
        <v>2085</v>
      </c>
      <c r="G276" s="614" t="s">
        <v>2086</v>
      </c>
      <c r="H276" s="609" t="s">
        <v>2087</v>
      </c>
      <c r="I276" s="614" t="s">
        <v>1705</v>
      </c>
    </row>
    <row r="277">
      <c r="A277" s="609" t="s">
        <v>1489</v>
      </c>
      <c r="B277" s="609" t="s">
        <v>1481</v>
      </c>
      <c r="C277" s="638" t="s">
        <v>175</v>
      </c>
      <c r="D277" s="638" t="s">
        <v>2084</v>
      </c>
      <c r="E277" s="639">
        <v>44777.0</v>
      </c>
      <c r="F277" s="614" t="s">
        <v>2088</v>
      </c>
      <c r="G277" s="614" t="s">
        <v>1626</v>
      </c>
      <c r="H277" s="609" t="s">
        <v>2089</v>
      </c>
      <c r="I277" s="615"/>
    </row>
    <row r="278">
      <c r="A278" s="609" t="s">
        <v>1491</v>
      </c>
      <c r="B278" s="609" t="s">
        <v>1481</v>
      </c>
      <c r="C278" s="638" t="s">
        <v>106</v>
      </c>
      <c r="D278" s="638" t="s">
        <v>2090</v>
      </c>
      <c r="E278" s="639">
        <v>44186.0</v>
      </c>
      <c r="F278" s="614" t="s">
        <v>1699</v>
      </c>
      <c r="G278" s="614" t="s">
        <v>1700</v>
      </c>
      <c r="H278" s="609" t="s">
        <v>2091</v>
      </c>
      <c r="I278" s="615"/>
    </row>
    <row r="279">
      <c r="A279" s="609" t="s">
        <v>1491</v>
      </c>
      <c r="B279" s="609" t="s">
        <v>1481</v>
      </c>
      <c r="C279" s="638" t="s">
        <v>150</v>
      </c>
      <c r="D279" s="638" t="s">
        <v>2090</v>
      </c>
      <c r="E279" s="639">
        <v>43585.0</v>
      </c>
      <c r="F279" s="614" t="s">
        <v>2092</v>
      </c>
      <c r="G279" s="614" t="s">
        <v>1626</v>
      </c>
      <c r="H279" s="609" t="s">
        <v>2093</v>
      </c>
      <c r="I279" s="615"/>
    </row>
    <row r="280">
      <c r="A280" s="609" t="s">
        <v>1491</v>
      </c>
      <c r="B280" s="609" t="s">
        <v>1481</v>
      </c>
      <c r="C280" s="638" t="s">
        <v>164</v>
      </c>
      <c r="D280" s="638" t="s">
        <v>2094</v>
      </c>
      <c r="E280" s="639">
        <v>43340.0</v>
      </c>
      <c r="F280" s="614" t="s">
        <v>2095</v>
      </c>
      <c r="G280" s="614" t="s">
        <v>2096</v>
      </c>
      <c r="H280" s="609" t="s">
        <v>2097</v>
      </c>
      <c r="I280" s="615"/>
    </row>
    <row r="281">
      <c r="A281" s="609" t="s">
        <v>1491</v>
      </c>
      <c r="B281" s="609" t="s">
        <v>1481</v>
      </c>
      <c r="C281" s="638" t="s">
        <v>168</v>
      </c>
      <c r="D281" s="638" t="s">
        <v>2094</v>
      </c>
      <c r="E281" s="639">
        <v>43340.0</v>
      </c>
      <c r="F281" s="614" t="s">
        <v>2095</v>
      </c>
      <c r="G281" s="614" t="s">
        <v>2096</v>
      </c>
      <c r="H281" s="609" t="s">
        <v>2098</v>
      </c>
      <c r="I281" s="615"/>
    </row>
    <row r="282">
      <c r="A282" s="609" t="s">
        <v>1491</v>
      </c>
      <c r="B282" s="609" t="s">
        <v>1481</v>
      </c>
      <c r="C282" s="638" t="s">
        <v>80</v>
      </c>
      <c r="D282" s="638" t="s">
        <v>2099</v>
      </c>
      <c r="E282" s="639">
        <v>45726.0</v>
      </c>
      <c r="F282" s="614" t="s">
        <v>2100</v>
      </c>
      <c r="G282" s="614" t="s">
        <v>2101</v>
      </c>
      <c r="H282" s="609" t="s">
        <v>2102</v>
      </c>
      <c r="I282" s="615"/>
    </row>
    <row r="283">
      <c r="A283" s="609" t="s">
        <v>1491</v>
      </c>
      <c r="B283" s="609" t="s">
        <v>1481</v>
      </c>
      <c r="C283" s="638" t="s">
        <v>90</v>
      </c>
      <c r="D283" s="638" t="s">
        <v>2099</v>
      </c>
      <c r="E283" s="639">
        <v>44391.0</v>
      </c>
      <c r="F283" s="614" t="s">
        <v>2103</v>
      </c>
      <c r="G283" s="614" t="s">
        <v>2104</v>
      </c>
      <c r="H283" s="609" t="s">
        <v>2105</v>
      </c>
      <c r="I283" s="615"/>
    </row>
    <row r="284">
      <c r="A284" s="609" t="s">
        <v>1491</v>
      </c>
      <c r="B284" s="609" t="s">
        <v>1481</v>
      </c>
      <c r="C284" s="638" t="s">
        <v>100</v>
      </c>
      <c r="D284" s="638" t="s">
        <v>2099</v>
      </c>
      <c r="E284" s="639">
        <v>43403.0</v>
      </c>
      <c r="F284" s="614" t="s">
        <v>2106</v>
      </c>
      <c r="G284" s="614" t="s">
        <v>2107</v>
      </c>
      <c r="H284" s="609" t="s">
        <v>2108</v>
      </c>
      <c r="I284" s="615"/>
    </row>
    <row r="285">
      <c r="A285" s="609" t="s">
        <v>1491</v>
      </c>
      <c r="B285" s="609" t="s">
        <v>1481</v>
      </c>
      <c r="C285" s="638" t="s">
        <v>106</v>
      </c>
      <c r="D285" s="638" t="s">
        <v>2099</v>
      </c>
      <c r="E285" s="639">
        <v>44341.0</v>
      </c>
      <c r="F285" s="614" t="s">
        <v>2109</v>
      </c>
      <c r="G285" s="614" t="s">
        <v>2110</v>
      </c>
      <c r="H285" s="609" t="s">
        <v>2111</v>
      </c>
      <c r="I285" s="615"/>
    </row>
    <row r="286">
      <c r="A286" s="609" t="s">
        <v>1491</v>
      </c>
      <c r="B286" s="609" t="s">
        <v>1481</v>
      </c>
      <c r="C286" s="638" t="s">
        <v>134</v>
      </c>
      <c r="D286" s="638" t="s">
        <v>2099</v>
      </c>
      <c r="E286" s="639">
        <v>44586.0</v>
      </c>
      <c r="F286" s="614" t="s">
        <v>2112</v>
      </c>
      <c r="G286" s="614" t="s">
        <v>1782</v>
      </c>
      <c r="H286" s="609" t="s">
        <v>2113</v>
      </c>
      <c r="I286" s="615"/>
    </row>
    <row r="287">
      <c r="A287" s="609" t="s">
        <v>1491</v>
      </c>
      <c r="B287" s="609" t="s">
        <v>1481</v>
      </c>
      <c r="C287" s="638" t="s">
        <v>155</v>
      </c>
      <c r="D287" s="638" t="s">
        <v>2099</v>
      </c>
      <c r="E287" s="639">
        <v>43403.0</v>
      </c>
      <c r="F287" s="614" t="s">
        <v>2106</v>
      </c>
      <c r="G287" s="614" t="s">
        <v>2107</v>
      </c>
      <c r="H287" s="609" t="s">
        <v>2114</v>
      </c>
      <c r="I287" s="615"/>
    </row>
    <row r="288">
      <c r="A288" s="609" t="s">
        <v>1491</v>
      </c>
      <c r="B288" s="609" t="s">
        <v>1481</v>
      </c>
      <c r="C288" s="638" t="s">
        <v>160</v>
      </c>
      <c r="D288" s="638" t="s">
        <v>2099</v>
      </c>
      <c r="E288" s="639">
        <v>43403.0</v>
      </c>
      <c r="F288" s="614" t="s">
        <v>2106</v>
      </c>
      <c r="G288" s="614" t="s">
        <v>2107</v>
      </c>
      <c r="H288" s="609" t="s">
        <v>2115</v>
      </c>
      <c r="I288" s="615"/>
    </row>
    <row r="289">
      <c r="A289" s="609" t="s">
        <v>1491</v>
      </c>
      <c r="B289" s="609" t="s">
        <v>1481</v>
      </c>
      <c r="C289" s="638" t="s">
        <v>80</v>
      </c>
      <c r="D289" s="638" t="s">
        <v>2116</v>
      </c>
      <c r="E289" s="639">
        <v>44830.0</v>
      </c>
      <c r="F289" s="614" t="s">
        <v>2117</v>
      </c>
      <c r="G289" s="614" t="s">
        <v>1668</v>
      </c>
      <c r="H289" s="609" t="s">
        <v>2118</v>
      </c>
      <c r="I289" s="615"/>
    </row>
    <row r="290">
      <c r="A290" s="609" t="s">
        <v>1491</v>
      </c>
      <c r="B290" s="609" t="s">
        <v>1481</v>
      </c>
      <c r="C290" s="638" t="s">
        <v>100</v>
      </c>
      <c r="D290" s="638" t="s">
        <v>2119</v>
      </c>
      <c r="E290" s="639">
        <v>44391.0</v>
      </c>
      <c r="F290" s="614" t="s">
        <v>2103</v>
      </c>
      <c r="G290" s="614" t="s">
        <v>2104</v>
      </c>
      <c r="H290" s="609" t="s">
        <v>2120</v>
      </c>
      <c r="I290" s="615"/>
    </row>
    <row r="291">
      <c r="A291" s="609" t="s">
        <v>1494</v>
      </c>
      <c r="B291" s="609" t="s">
        <v>1481</v>
      </c>
      <c r="C291" s="638" t="s">
        <v>106</v>
      </c>
      <c r="D291" s="638" t="s">
        <v>2121</v>
      </c>
      <c r="E291" s="639">
        <v>44025.0</v>
      </c>
      <c r="F291" s="614" t="s">
        <v>2122</v>
      </c>
      <c r="G291" s="614" t="s">
        <v>2123</v>
      </c>
      <c r="H291" s="609" t="s">
        <v>2124</v>
      </c>
      <c r="I291" s="615"/>
    </row>
    <row r="292">
      <c r="A292" s="609" t="s">
        <v>1494</v>
      </c>
      <c r="B292" s="609" t="s">
        <v>1481</v>
      </c>
      <c r="C292" s="638" t="s">
        <v>114</v>
      </c>
      <c r="D292" s="638" t="s">
        <v>2121</v>
      </c>
      <c r="E292" s="639">
        <v>44391.0</v>
      </c>
      <c r="F292" s="614" t="s">
        <v>2103</v>
      </c>
      <c r="G292" s="614" t="s">
        <v>2104</v>
      </c>
      <c r="H292" s="609" t="s">
        <v>2125</v>
      </c>
      <c r="I292" s="615"/>
    </row>
    <row r="293">
      <c r="A293" s="609" t="s">
        <v>1494</v>
      </c>
      <c r="B293" s="609" t="s">
        <v>1481</v>
      </c>
      <c r="C293" s="638" t="s">
        <v>80</v>
      </c>
      <c r="D293" s="638" t="s">
        <v>2126</v>
      </c>
      <c r="E293" s="639">
        <v>44614.0</v>
      </c>
      <c r="F293" s="614" t="s">
        <v>2127</v>
      </c>
      <c r="G293" s="614" t="s">
        <v>2128</v>
      </c>
      <c r="H293" s="609" t="s">
        <v>2129</v>
      </c>
      <c r="I293" s="615"/>
    </row>
    <row r="294">
      <c r="A294" s="609" t="s">
        <v>1494</v>
      </c>
      <c r="B294" s="609" t="s">
        <v>1481</v>
      </c>
      <c r="C294" s="638" t="s">
        <v>90</v>
      </c>
      <c r="D294" s="638" t="s">
        <v>2126</v>
      </c>
      <c r="E294" s="639">
        <v>44025.0</v>
      </c>
      <c r="F294" s="614" t="s">
        <v>2122</v>
      </c>
      <c r="G294" s="614" t="s">
        <v>2123</v>
      </c>
      <c r="H294" s="609" t="s">
        <v>2130</v>
      </c>
      <c r="I294" s="615"/>
    </row>
    <row r="295">
      <c r="A295" s="609" t="s">
        <v>1494</v>
      </c>
      <c r="B295" s="609" t="s">
        <v>1481</v>
      </c>
      <c r="C295" s="638" t="s">
        <v>80</v>
      </c>
      <c r="D295" s="638" t="s">
        <v>2131</v>
      </c>
      <c r="E295" s="639">
        <v>44614.0</v>
      </c>
      <c r="F295" s="614" t="s">
        <v>2127</v>
      </c>
      <c r="G295" s="614" t="s">
        <v>2128</v>
      </c>
      <c r="H295" s="609" t="s">
        <v>2132</v>
      </c>
      <c r="I295" s="615"/>
    </row>
    <row r="296">
      <c r="A296" s="609" t="s">
        <v>1494</v>
      </c>
      <c r="B296" s="609" t="s">
        <v>1481</v>
      </c>
      <c r="C296" s="638" t="s">
        <v>120</v>
      </c>
      <c r="D296" s="638" t="s">
        <v>2131</v>
      </c>
      <c r="E296" s="639">
        <v>44019.0</v>
      </c>
      <c r="F296" s="614" t="s">
        <v>2133</v>
      </c>
      <c r="G296" s="614" t="s">
        <v>2134</v>
      </c>
      <c r="H296" s="609" t="s">
        <v>2135</v>
      </c>
      <c r="I296" s="615"/>
    </row>
    <row r="297">
      <c r="A297" s="609" t="s">
        <v>1494</v>
      </c>
      <c r="B297" s="609" t="s">
        <v>1481</v>
      </c>
      <c r="C297" s="638" t="s">
        <v>126</v>
      </c>
      <c r="D297" s="638" t="s">
        <v>2131</v>
      </c>
      <c r="E297" s="639">
        <v>43136.0</v>
      </c>
      <c r="F297" s="614" t="s">
        <v>2136</v>
      </c>
      <c r="G297" s="614" t="s">
        <v>2137</v>
      </c>
      <c r="H297" s="609" t="s">
        <v>2138</v>
      </c>
      <c r="I297" s="615"/>
    </row>
    <row r="298">
      <c r="A298" s="609" t="s">
        <v>1494</v>
      </c>
      <c r="B298" s="609" t="s">
        <v>1481</v>
      </c>
      <c r="C298" s="638" t="s">
        <v>80</v>
      </c>
      <c r="D298" s="638" t="s">
        <v>2139</v>
      </c>
      <c r="E298" s="639">
        <v>44019.0</v>
      </c>
      <c r="F298" s="614" t="s">
        <v>2133</v>
      </c>
      <c r="G298" s="614" t="s">
        <v>2134</v>
      </c>
      <c r="H298" s="609" t="s">
        <v>2140</v>
      </c>
      <c r="I298" s="615"/>
    </row>
    <row r="299">
      <c r="A299" s="609" t="s">
        <v>1494</v>
      </c>
      <c r="B299" s="609" t="s">
        <v>1481</v>
      </c>
      <c r="C299" s="638" t="s">
        <v>90</v>
      </c>
      <c r="D299" s="638" t="s">
        <v>2141</v>
      </c>
      <c r="E299" s="639">
        <v>44391.0</v>
      </c>
      <c r="F299" s="614" t="s">
        <v>2103</v>
      </c>
      <c r="G299" s="614" t="s">
        <v>2104</v>
      </c>
      <c r="H299" s="609" t="s">
        <v>2142</v>
      </c>
      <c r="I299" s="615"/>
    </row>
    <row r="300">
      <c r="A300" s="609" t="s">
        <v>1494</v>
      </c>
      <c r="B300" s="609" t="s">
        <v>1481</v>
      </c>
      <c r="C300" s="638" t="s">
        <v>100</v>
      </c>
      <c r="D300" s="638" t="s">
        <v>2141</v>
      </c>
      <c r="E300" s="639">
        <v>44025.0</v>
      </c>
      <c r="F300" s="614" t="s">
        <v>2122</v>
      </c>
      <c r="G300" s="614" t="s">
        <v>2123</v>
      </c>
      <c r="H300" s="609" t="s">
        <v>2143</v>
      </c>
      <c r="I300" s="615"/>
    </row>
    <row r="301">
      <c r="A301" s="609" t="s">
        <v>1494</v>
      </c>
      <c r="B301" s="609" t="s">
        <v>1481</v>
      </c>
      <c r="C301" s="638" t="s">
        <v>106</v>
      </c>
      <c r="D301" s="638" t="s">
        <v>2141</v>
      </c>
      <c r="E301" s="639">
        <v>44025.0</v>
      </c>
      <c r="F301" s="614" t="s">
        <v>2122</v>
      </c>
      <c r="G301" s="614" t="s">
        <v>2123</v>
      </c>
      <c r="H301" s="609" t="s">
        <v>2144</v>
      </c>
      <c r="I301" s="615"/>
    </row>
    <row r="302">
      <c r="A302" s="609" t="s">
        <v>1494</v>
      </c>
      <c r="B302" s="609" t="s">
        <v>1481</v>
      </c>
      <c r="C302" s="638" t="s">
        <v>90</v>
      </c>
      <c r="D302" s="638" t="s">
        <v>2145</v>
      </c>
      <c r="E302" s="639">
        <v>44019.0</v>
      </c>
      <c r="F302" s="614" t="s">
        <v>2133</v>
      </c>
      <c r="G302" s="614" t="s">
        <v>2134</v>
      </c>
      <c r="H302" s="609" t="s">
        <v>2146</v>
      </c>
      <c r="I302" s="615"/>
    </row>
    <row r="303">
      <c r="A303" s="609" t="s">
        <v>1494</v>
      </c>
      <c r="B303" s="609" t="s">
        <v>1481</v>
      </c>
      <c r="C303" s="638" t="s">
        <v>100</v>
      </c>
      <c r="D303" s="638" t="s">
        <v>2145</v>
      </c>
      <c r="E303" s="639">
        <v>44018.0</v>
      </c>
      <c r="F303" s="614" t="s">
        <v>2029</v>
      </c>
      <c r="G303" s="614" t="s">
        <v>2147</v>
      </c>
      <c r="H303" s="609" t="s">
        <v>2148</v>
      </c>
      <c r="I303" s="615"/>
    </row>
    <row r="304">
      <c r="A304" s="609" t="s">
        <v>1494</v>
      </c>
      <c r="B304" s="609" t="s">
        <v>1481</v>
      </c>
      <c r="C304" s="638" t="s">
        <v>106</v>
      </c>
      <c r="D304" s="638" t="s">
        <v>2145</v>
      </c>
      <c r="E304" s="639">
        <v>44025.0</v>
      </c>
      <c r="F304" s="614" t="s">
        <v>2122</v>
      </c>
      <c r="G304" s="614" t="s">
        <v>2123</v>
      </c>
      <c r="H304" s="609" t="s">
        <v>2149</v>
      </c>
      <c r="I304" s="615"/>
    </row>
    <row r="305">
      <c r="A305" s="609" t="s">
        <v>1494</v>
      </c>
      <c r="B305" s="609" t="s">
        <v>1481</v>
      </c>
      <c r="C305" s="638" t="s">
        <v>100</v>
      </c>
      <c r="D305" s="638" t="s">
        <v>2150</v>
      </c>
      <c r="E305" s="639">
        <v>44435.0</v>
      </c>
      <c r="F305" s="614" t="s">
        <v>2151</v>
      </c>
      <c r="G305" s="614" t="s">
        <v>1626</v>
      </c>
      <c r="H305" s="609" t="s">
        <v>2152</v>
      </c>
      <c r="I305" s="615"/>
    </row>
    <row r="306">
      <c r="A306" s="609" t="s">
        <v>1494</v>
      </c>
      <c r="B306" s="609" t="s">
        <v>1481</v>
      </c>
      <c r="C306" s="638" t="s">
        <v>106</v>
      </c>
      <c r="D306" s="638" t="s">
        <v>2150</v>
      </c>
      <c r="E306" s="639">
        <v>44435.0</v>
      </c>
      <c r="F306" s="614" t="s">
        <v>2151</v>
      </c>
      <c r="G306" s="614" t="s">
        <v>1626</v>
      </c>
      <c r="H306" s="609" t="s">
        <v>2153</v>
      </c>
      <c r="I306" s="615"/>
    </row>
    <row r="307">
      <c r="A307" s="609" t="s">
        <v>1494</v>
      </c>
      <c r="B307" s="609" t="s">
        <v>1481</v>
      </c>
      <c r="C307" s="638" t="s">
        <v>114</v>
      </c>
      <c r="D307" s="638" t="s">
        <v>2150</v>
      </c>
      <c r="E307" s="639">
        <v>43663.0</v>
      </c>
      <c r="F307" s="614" t="s">
        <v>2154</v>
      </c>
      <c r="G307" s="614" t="s">
        <v>2155</v>
      </c>
      <c r="H307" s="609" t="s">
        <v>2156</v>
      </c>
      <c r="I307" s="615"/>
    </row>
    <row r="308">
      <c r="A308" s="609" t="s">
        <v>1494</v>
      </c>
      <c r="B308" s="609" t="s">
        <v>1481</v>
      </c>
      <c r="C308" s="638" t="s">
        <v>134</v>
      </c>
      <c r="D308" s="638" t="s">
        <v>2150</v>
      </c>
      <c r="E308" s="639">
        <v>43663.0</v>
      </c>
      <c r="F308" s="614" t="s">
        <v>2154</v>
      </c>
      <c r="G308" s="614" t="s">
        <v>2155</v>
      </c>
      <c r="H308" s="609" t="s">
        <v>2157</v>
      </c>
      <c r="I308" s="615"/>
    </row>
    <row r="309">
      <c r="A309" s="609" t="s">
        <v>1494</v>
      </c>
      <c r="B309" s="609" t="s">
        <v>1481</v>
      </c>
      <c r="C309" s="638" t="s">
        <v>143</v>
      </c>
      <c r="D309" s="638" t="s">
        <v>2150</v>
      </c>
      <c r="E309" s="639">
        <v>43454.0</v>
      </c>
      <c r="F309" s="614" t="s">
        <v>2158</v>
      </c>
      <c r="G309" s="614" t="s">
        <v>2159</v>
      </c>
      <c r="H309" s="609" t="s">
        <v>2160</v>
      </c>
      <c r="I309" s="615"/>
    </row>
    <row r="310">
      <c r="A310" s="609" t="s">
        <v>1494</v>
      </c>
      <c r="B310" s="609" t="s">
        <v>1481</v>
      </c>
      <c r="C310" s="638" t="s">
        <v>160</v>
      </c>
      <c r="D310" s="638" t="s">
        <v>2150</v>
      </c>
      <c r="E310" s="639">
        <v>43951.0</v>
      </c>
      <c r="F310" s="614" t="s">
        <v>2122</v>
      </c>
      <c r="G310" s="614" t="s">
        <v>2123</v>
      </c>
      <c r="H310" s="609" t="s">
        <v>2161</v>
      </c>
      <c r="I310" s="615"/>
    </row>
    <row r="311">
      <c r="A311" s="609" t="s">
        <v>1494</v>
      </c>
      <c r="B311" s="609" t="s">
        <v>1481</v>
      </c>
      <c r="C311" s="638" t="s">
        <v>164</v>
      </c>
      <c r="D311" s="638" t="s">
        <v>2150</v>
      </c>
      <c r="E311" s="639">
        <v>43435.0</v>
      </c>
      <c r="F311" s="614" t="s">
        <v>2162</v>
      </c>
      <c r="G311" s="614" t="s">
        <v>2163</v>
      </c>
      <c r="H311" s="609" t="s">
        <v>2164</v>
      </c>
      <c r="I311" s="615"/>
    </row>
    <row r="312">
      <c r="A312" s="609" t="s">
        <v>1494</v>
      </c>
      <c r="B312" s="609" t="s">
        <v>1481</v>
      </c>
      <c r="C312" s="638" t="s">
        <v>168</v>
      </c>
      <c r="D312" s="638" t="s">
        <v>2150</v>
      </c>
      <c r="E312" s="639">
        <v>43435.0</v>
      </c>
      <c r="F312" s="614" t="s">
        <v>2162</v>
      </c>
      <c r="G312" s="614" t="s">
        <v>2165</v>
      </c>
      <c r="H312" s="609" t="s">
        <v>2166</v>
      </c>
      <c r="I312" s="615"/>
    </row>
    <row r="313">
      <c r="A313" s="609" t="s">
        <v>1494</v>
      </c>
      <c r="B313" s="609" t="s">
        <v>1481</v>
      </c>
      <c r="C313" s="638" t="s">
        <v>100</v>
      </c>
      <c r="D313" s="638" t="s">
        <v>2167</v>
      </c>
      <c r="E313" s="639">
        <v>45615.0</v>
      </c>
      <c r="F313" s="614" t="s">
        <v>2168</v>
      </c>
      <c r="G313" s="614" t="s">
        <v>2169</v>
      </c>
      <c r="H313" s="609" t="s">
        <v>2170</v>
      </c>
      <c r="I313" s="615"/>
    </row>
    <row r="314">
      <c r="A314" s="609" t="s">
        <v>1494</v>
      </c>
      <c r="B314" s="609" t="s">
        <v>1481</v>
      </c>
      <c r="C314" s="638" t="s">
        <v>106</v>
      </c>
      <c r="D314" s="638" t="s">
        <v>2167</v>
      </c>
      <c r="E314" s="639">
        <v>44019.0</v>
      </c>
      <c r="F314" s="614" t="s">
        <v>2133</v>
      </c>
      <c r="G314" s="614" t="s">
        <v>2134</v>
      </c>
      <c r="H314" s="609" t="s">
        <v>2171</v>
      </c>
      <c r="I314" s="615"/>
    </row>
    <row r="315">
      <c r="A315" s="609" t="s">
        <v>1494</v>
      </c>
      <c r="B315" s="609" t="s">
        <v>1481</v>
      </c>
      <c r="C315" s="638" t="s">
        <v>114</v>
      </c>
      <c r="D315" s="638" t="s">
        <v>2167</v>
      </c>
      <c r="E315" s="639">
        <v>44554.0</v>
      </c>
      <c r="F315" s="614" t="s">
        <v>2172</v>
      </c>
      <c r="G315" s="614" t="s">
        <v>2173</v>
      </c>
      <c r="H315" s="609" t="s">
        <v>2174</v>
      </c>
      <c r="I315" s="615"/>
    </row>
    <row r="316">
      <c r="A316" s="609" t="s">
        <v>1494</v>
      </c>
      <c r="B316" s="609" t="s">
        <v>1481</v>
      </c>
      <c r="C316" s="638" t="s">
        <v>134</v>
      </c>
      <c r="D316" s="638" t="s">
        <v>2167</v>
      </c>
      <c r="E316" s="639">
        <v>43691.0</v>
      </c>
      <c r="F316" s="614" t="s">
        <v>1994</v>
      </c>
      <c r="G316" s="614" t="s">
        <v>2054</v>
      </c>
      <c r="H316" s="609" t="s">
        <v>2175</v>
      </c>
      <c r="I316" s="615"/>
    </row>
    <row r="317">
      <c r="A317" s="609" t="s">
        <v>1494</v>
      </c>
      <c r="B317" s="609" t="s">
        <v>1481</v>
      </c>
      <c r="C317" s="638" t="s">
        <v>143</v>
      </c>
      <c r="D317" s="638" t="s">
        <v>2167</v>
      </c>
      <c r="E317" s="639">
        <v>43691.0</v>
      </c>
      <c r="F317" s="614" t="s">
        <v>1994</v>
      </c>
      <c r="G317" s="614" t="s">
        <v>2054</v>
      </c>
      <c r="H317" s="609" t="s">
        <v>2176</v>
      </c>
      <c r="I317" s="615"/>
    </row>
    <row r="318">
      <c r="A318" s="609" t="s">
        <v>1494</v>
      </c>
      <c r="B318" s="609" t="s">
        <v>1481</v>
      </c>
      <c r="C318" s="638" t="s">
        <v>80</v>
      </c>
      <c r="D318" s="638" t="s">
        <v>2177</v>
      </c>
      <c r="E318" s="639">
        <v>43691.0</v>
      </c>
      <c r="F318" s="614" t="s">
        <v>1994</v>
      </c>
      <c r="G318" s="614" t="s">
        <v>2054</v>
      </c>
      <c r="H318" s="609" t="s">
        <v>2178</v>
      </c>
      <c r="I318" s="615"/>
    </row>
    <row r="319">
      <c r="A319" s="609" t="s">
        <v>1494</v>
      </c>
      <c r="B319" s="609" t="s">
        <v>1481</v>
      </c>
      <c r="C319" s="638" t="s">
        <v>90</v>
      </c>
      <c r="D319" s="638" t="s">
        <v>2177</v>
      </c>
      <c r="E319" s="639">
        <v>43691.0</v>
      </c>
      <c r="F319" s="614" t="s">
        <v>1994</v>
      </c>
      <c r="G319" s="614" t="s">
        <v>2054</v>
      </c>
      <c r="H319" s="609" t="s">
        <v>2179</v>
      </c>
      <c r="I319" s="615"/>
    </row>
    <row r="320">
      <c r="A320" s="609" t="s">
        <v>1494</v>
      </c>
      <c r="B320" s="609" t="s">
        <v>1481</v>
      </c>
      <c r="C320" s="638" t="s">
        <v>126</v>
      </c>
      <c r="D320" s="638" t="s">
        <v>2177</v>
      </c>
      <c r="E320" s="639">
        <v>43136.0</v>
      </c>
      <c r="F320" s="614" t="s">
        <v>2136</v>
      </c>
      <c r="G320" s="614" t="s">
        <v>2137</v>
      </c>
      <c r="H320" s="609" t="s">
        <v>2180</v>
      </c>
      <c r="I320" s="615"/>
    </row>
    <row r="321">
      <c r="A321" s="609" t="s">
        <v>1494</v>
      </c>
      <c r="B321" s="609" t="s">
        <v>1481</v>
      </c>
      <c r="C321" s="638" t="s">
        <v>80</v>
      </c>
      <c r="D321" s="638" t="s">
        <v>2181</v>
      </c>
      <c r="E321" s="639">
        <v>44018.0</v>
      </c>
      <c r="F321" s="614" t="s">
        <v>2182</v>
      </c>
      <c r="G321" s="614" t="s">
        <v>2183</v>
      </c>
      <c r="H321" s="609" t="s">
        <v>2184</v>
      </c>
      <c r="I321" s="615"/>
    </row>
    <row r="322">
      <c r="A322" s="609" t="s">
        <v>1494</v>
      </c>
      <c r="B322" s="609" t="s">
        <v>1481</v>
      </c>
      <c r="C322" s="638" t="s">
        <v>114</v>
      </c>
      <c r="D322" s="638" t="s">
        <v>2181</v>
      </c>
      <c r="E322" s="639">
        <v>43691.0</v>
      </c>
      <c r="F322" s="614" t="s">
        <v>1994</v>
      </c>
      <c r="G322" s="614" t="s">
        <v>2054</v>
      </c>
      <c r="H322" s="609" t="s">
        <v>2185</v>
      </c>
      <c r="I322" s="615"/>
    </row>
    <row r="323">
      <c r="A323" s="609" t="s">
        <v>1494</v>
      </c>
      <c r="B323" s="609" t="s">
        <v>1481</v>
      </c>
      <c r="C323" s="638" t="s">
        <v>120</v>
      </c>
      <c r="D323" s="638" t="s">
        <v>2181</v>
      </c>
      <c r="E323" s="639">
        <v>43691.0</v>
      </c>
      <c r="F323" s="614" t="s">
        <v>1994</v>
      </c>
      <c r="G323" s="614" t="s">
        <v>2054</v>
      </c>
      <c r="H323" s="609" t="s">
        <v>2186</v>
      </c>
      <c r="I323" s="615"/>
    </row>
    <row r="324">
      <c r="A324" s="609" t="s">
        <v>1494</v>
      </c>
      <c r="B324" s="609" t="s">
        <v>1481</v>
      </c>
      <c r="C324" s="638" t="s">
        <v>90</v>
      </c>
      <c r="D324" s="638" t="s">
        <v>2187</v>
      </c>
      <c r="E324" s="639">
        <v>44019.0</v>
      </c>
      <c r="F324" s="614" t="s">
        <v>2133</v>
      </c>
      <c r="G324" s="614" t="s">
        <v>2134</v>
      </c>
      <c r="H324" s="609" t="s">
        <v>2188</v>
      </c>
      <c r="I324" s="615"/>
    </row>
    <row r="325">
      <c r="A325" s="609" t="s">
        <v>1494</v>
      </c>
      <c r="B325" s="609" t="s">
        <v>1481</v>
      </c>
      <c r="C325" s="638" t="s">
        <v>100</v>
      </c>
      <c r="D325" s="638" t="s">
        <v>2187</v>
      </c>
      <c r="E325" s="639">
        <v>45505.0</v>
      </c>
      <c r="F325" s="614" t="s">
        <v>2189</v>
      </c>
      <c r="G325" s="614" t="s">
        <v>2190</v>
      </c>
      <c r="H325" s="609" t="s">
        <v>2191</v>
      </c>
      <c r="I325" s="615"/>
    </row>
    <row r="326">
      <c r="A326" s="609" t="s">
        <v>1494</v>
      </c>
      <c r="B326" s="609" t="s">
        <v>1481</v>
      </c>
      <c r="C326" s="638" t="s">
        <v>106</v>
      </c>
      <c r="D326" s="638" t="s">
        <v>2187</v>
      </c>
      <c r="E326" s="639">
        <v>45505.0</v>
      </c>
      <c r="F326" s="614" t="s">
        <v>2189</v>
      </c>
      <c r="G326" s="614" t="s">
        <v>1626</v>
      </c>
      <c r="H326" s="609" t="s">
        <v>2192</v>
      </c>
      <c r="I326" s="615"/>
    </row>
    <row r="327">
      <c r="A327" s="609" t="s">
        <v>1494</v>
      </c>
      <c r="B327" s="609" t="s">
        <v>1481</v>
      </c>
      <c r="C327" s="638" t="s">
        <v>114</v>
      </c>
      <c r="D327" s="638" t="s">
        <v>2187</v>
      </c>
      <c r="E327" s="639">
        <v>44697.0</v>
      </c>
      <c r="F327" s="614" t="s">
        <v>2023</v>
      </c>
      <c r="G327" s="614" t="s">
        <v>2024</v>
      </c>
      <c r="H327" s="609" t="s">
        <v>2193</v>
      </c>
      <c r="I327" s="615"/>
    </row>
    <row r="328">
      <c r="A328" s="609" t="s">
        <v>1494</v>
      </c>
      <c r="B328" s="609" t="s">
        <v>1481</v>
      </c>
      <c r="C328" s="638" t="s">
        <v>80</v>
      </c>
      <c r="D328" s="638" t="s">
        <v>2195</v>
      </c>
      <c r="E328" s="639">
        <v>45168.0</v>
      </c>
      <c r="F328" s="614" t="s">
        <v>2196</v>
      </c>
      <c r="G328" s="614" t="s">
        <v>1626</v>
      </c>
      <c r="H328" s="609" t="s">
        <v>2197</v>
      </c>
      <c r="I328" s="615"/>
    </row>
    <row r="329">
      <c r="A329" s="609" t="s">
        <v>1494</v>
      </c>
      <c r="B329" s="609" t="s">
        <v>1481</v>
      </c>
      <c r="C329" s="638" t="s">
        <v>90</v>
      </c>
      <c r="D329" s="638" t="s">
        <v>2195</v>
      </c>
      <c r="E329" s="639">
        <v>44019.0</v>
      </c>
      <c r="F329" s="614" t="s">
        <v>2133</v>
      </c>
      <c r="G329" s="614" t="s">
        <v>2134</v>
      </c>
      <c r="H329" s="609" t="s">
        <v>2198</v>
      </c>
      <c r="I329" s="615"/>
    </row>
    <row r="330">
      <c r="A330" s="609" t="s">
        <v>1494</v>
      </c>
      <c r="B330" s="609" t="s">
        <v>1481</v>
      </c>
      <c r="C330" s="638" t="s">
        <v>100</v>
      </c>
      <c r="D330" s="638" t="s">
        <v>2195</v>
      </c>
      <c r="E330" s="639">
        <v>44579.0</v>
      </c>
      <c r="F330" s="614" t="s">
        <v>2199</v>
      </c>
      <c r="G330" s="614" t="s">
        <v>1623</v>
      </c>
      <c r="H330" s="609" t="s">
        <v>2200</v>
      </c>
      <c r="I330" s="615"/>
    </row>
    <row r="331">
      <c r="A331" s="609" t="s">
        <v>1494</v>
      </c>
      <c r="B331" s="609" t="s">
        <v>1481</v>
      </c>
      <c r="C331" s="638" t="s">
        <v>80</v>
      </c>
      <c r="D331" s="638" t="s">
        <v>2201</v>
      </c>
      <c r="E331" s="639">
        <v>45398.0</v>
      </c>
      <c r="F331" s="614" t="s">
        <v>2202</v>
      </c>
      <c r="G331" s="614" t="s">
        <v>1626</v>
      </c>
      <c r="H331" s="609" t="s">
        <v>2203</v>
      </c>
      <c r="I331" s="615"/>
    </row>
    <row r="332">
      <c r="A332" s="609" t="s">
        <v>1497</v>
      </c>
      <c r="B332" s="609" t="s">
        <v>1498</v>
      </c>
      <c r="C332" s="638" t="s">
        <v>143</v>
      </c>
      <c r="D332" s="638" t="s">
        <v>80</v>
      </c>
      <c r="E332" s="639">
        <v>45349.0</v>
      </c>
      <c r="F332" s="614" t="s">
        <v>2204</v>
      </c>
      <c r="G332" s="614" t="s">
        <v>2205</v>
      </c>
      <c r="H332" s="609" t="s">
        <v>2206</v>
      </c>
      <c r="I332" s="615"/>
    </row>
    <row r="333">
      <c r="A333" s="609" t="s">
        <v>1497</v>
      </c>
      <c r="B333" s="609" t="s">
        <v>1498</v>
      </c>
      <c r="C333" s="638" t="s">
        <v>150</v>
      </c>
      <c r="D333" s="638" t="s">
        <v>80</v>
      </c>
      <c r="E333" s="639">
        <v>45349.0</v>
      </c>
      <c r="F333" s="614" t="s">
        <v>2204</v>
      </c>
      <c r="G333" s="614" t="s">
        <v>2205</v>
      </c>
      <c r="H333" s="609" t="s">
        <v>2207</v>
      </c>
      <c r="I333" s="615"/>
    </row>
    <row r="334">
      <c r="A334" s="609" t="s">
        <v>1497</v>
      </c>
      <c r="B334" s="609" t="s">
        <v>1498</v>
      </c>
      <c r="C334" s="638" t="s">
        <v>126</v>
      </c>
      <c r="D334" s="638" t="s">
        <v>90</v>
      </c>
      <c r="E334" s="639">
        <v>45439.0</v>
      </c>
      <c r="F334" s="614" t="s">
        <v>2208</v>
      </c>
      <c r="G334" s="614" t="s">
        <v>1626</v>
      </c>
      <c r="H334" s="609" t="s">
        <v>2209</v>
      </c>
      <c r="I334" s="615"/>
    </row>
    <row r="335">
      <c r="A335" s="609" t="s">
        <v>1497</v>
      </c>
      <c r="B335" s="609" t="s">
        <v>1498</v>
      </c>
      <c r="C335" s="638" t="s">
        <v>120</v>
      </c>
      <c r="D335" s="638" t="s">
        <v>100</v>
      </c>
      <c r="E335" s="639">
        <v>45643.0</v>
      </c>
      <c r="F335" s="614" t="s">
        <v>2210</v>
      </c>
      <c r="G335" s="614" t="s">
        <v>2211</v>
      </c>
      <c r="H335" s="609" t="s">
        <v>2212</v>
      </c>
      <c r="I335" s="615"/>
    </row>
    <row r="336">
      <c r="A336" s="609" t="s">
        <v>1497</v>
      </c>
      <c r="B336" s="609" t="s">
        <v>1498</v>
      </c>
      <c r="C336" s="638" t="s">
        <v>126</v>
      </c>
      <c r="D336" s="638" t="s">
        <v>100</v>
      </c>
      <c r="E336" s="639">
        <v>45643.0</v>
      </c>
      <c r="F336" s="614" t="s">
        <v>2213</v>
      </c>
      <c r="G336" s="614" t="s">
        <v>2211</v>
      </c>
      <c r="H336" s="609" t="s">
        <v>2214</v>
      </c>
      <c r="I336" s="615"/>
    </row>
    <row r="337">
      <c r="A337" s="609" t="s">
        <v>1497</v>
      </c>
      <c r="B337" s="609" t="s">
        <v>1498</v>
      </c>
      <c r="C337" s="638" t="s">
        <v>106</v>
      </c>
      <c r="D337" s="638" t="s">
        <v>106</v>
      </c>
      <c r="E337" s="639">
        <v>45230.0</v>
      </c>
      <c r="F337" s="614" t="s">
        <v>2215</v>
      </c>
      <c r="G337" s="614" t="s">
        <v>2216</v>
      </c>
      <c r="H337" s="609" t="s">
        <v>2217</v>
      </c>
      <c r="I337" s="615"/>
    </row>
    <row r="338">
      <c r="A338" s="609" t="s">
        <v>1497</v>
      </c>
      <c r="B338" s="609" t="s">
        <v>1498</v>
      </c>
      <c r="C338" s="638" t="s">
        <v>114</v>
      </c>
      <c r="D338" s="638" t="s">
        <v>106</v>
      </c>
      <c r="E338" s="639">
        <v>45230.0</v>
      </c>
      <c r="F338" s="614" t="s">
        <v>2215</v>
      </c>
      <c r="G338" s="614" t="s">
        <v>2216</v>
      </c>
      <c r="H338" s="609" t="s">
        <v>2218</v>
      </c>
      <c r="I338" s="615"/>
    </row>
    <row r="339">
      <c r="A339" s="609" t="s">
        <v>1497</v>
      </c>
      <c r="B339" s="609" t="s">
        <v>1498</v>
      </c>
      <c r="C339" s="638" t="s">
        <v>114</v>
      </c>
      <c r="D339" s="638" t="s">
        <v>114</v>
      </c>
      <c r="E339" s="639">
        <v>45575.0</v>
      </c>
      <c r="F339" s="614" t="s">
        <v>2219</v>
      </c>
      <c r="G339" s="614" t="s">
        <v>2220</v>
      </c>
      <c r="H339" s="609" t="s">
        <v>2221</v>
      </c>
      <c r="I339" s="615"/>
    </row>
    <row r="340">
      <c r="A340" s="609" t="s">
        <v>1497</v>
      </c>
      <c r="B340" s="609" t="s">
        <v>1498</v>
      </c>
      <c r="C340" s="638" t="s">
        <v>143</v>
      </c>
      <c r="D340" s="638" t="s">
        <v>120</v>
      </c>
      <c r="E340" s="639">
        <v>45575.0</v>
      </c>
      <c r="F340" s="614" t="s">
        <v>2219</v>
      </c>
      <c r="G340" s="614" t="s">
        <v>2220</v>
      </c>
      <c r="H340" s="609" t="s">
        <v>2222</v>
      </c>
      <c r="I340" s="615"/>
    </row>
    <row r="341">
      <c r="A341" s="609" t="s">
        <v>1497</v>
      </c>
      <c r="B341" s="609" t="s">
        <v>1498</v>
      </c>
      <c r="C341" s="638" t="s">
        <v>80</v>
      </c>
      <c r="D341" s="638" t="s">
        <v>143</v>
      </c>
      <c r="E341" s="639">
        <v>40592.0</v>
      </c>
      <c r="F341" s="614" t="s">
        <v>1699</v>
      </c>
      <c r="G341" s="614" t="s">
        <v>2223</v>
      </c>
      <c r="H341" s="609" t="s">
        <v>2224</v>
      </c>
      <c r="I341" s="614" t="s">
        <v>1705</v>
      </c>
    </row>
    <row r="342">
      <c r="A342" s="609" t="s">
        <v>1497</v>
      </c>
      <c r="B342" s="609" t="s">
        <v>1498</v>
      </c>
      <c r="C342" s="638" t="s">
        <v>90</v>
      </c>
      <c r="D342" s="638" t="s">
        <v>143</v>
      </c>
      <c r="E342" s="639">
        <v>40592.0</v>
      </c>
      <c r="F342" s="614" t="s">
        <v>1699</v>
      </c>
      <c r="G342" s="614" t="s">
        <v>2223</v>
      </c>
      <c r="H342" s="609" t="s">
        <v>2225</v>
      </c>
      <c r="I342" s="614" t="s">
        <v>1705</v>
      </c>
    </row>
    <row r="343">
      <c r="A343" s="609" t="s">
        <v>1497</v>
      </c>
      <c r="B343" s="609" t="s">
        <v>1498</v>
      </c>
      <c r="C343" s="638" t="s">
        <v>126</v>
      </c>
      <c r="D343" s="638" t="s">
        <v>143</v>
      </c>
      <c r="E343" s="639">
        <v>45643.0</v>
      </c>
      <c r="F343" s="614" t="s">
        <v>2226</v>
      </c>
      <c r="G343" s="614" t="s">
        <v>2211</v>
      </c>
      <c r="H343" s="609" t="s">
        <v>2227</v>
      </c>
      <c r="I343" s="615"/>
    </row>
    <row r="344">
      <c r="A344" s="609" t="s">
        <v>1497</v>
      </c>
      <c r="B344" s="609" t="s">
        <v>1498</v>
      </c>
      <c r="C344" s="638" t="s">
        <v>134</v>
      </c>
      <c r="D344" s="638" t="s">
        <v>143</v>
      </c>
      <c r="E344" s="639">
        <v>45643.0</v>
      </c>
      <c r="F344" s="614" t="s">
        <v>2228</v>
      </c>
      <c r="G344" s="614" t="s">
        <v>2211</v>
      </c>
      <c r="H344" s="609" t="s">
        <v>2229</v>
      </c>
      <c r="I344" s="615"/>
    </row>
    <row r="345">
      <c r="A345" s="609" t="s">
        <v>1497</v>
      </c>
      <c r="B345" s="609" t="s">
        <v>1498</v>
      </c>
      <c r="C345" s="638" t="s">
        <v>155</v>
      </c>
      <c r="D345" s="638" t="s">
        <v>143</v>
      </c>
      <c r="E345" s="639">
        <v>43966.0</v>
      </c>
      <c r="F345" s="614" t="s">
        <v>2230</v>
      </c>
      <c r="G345" s="614" t="s">
        <v>2231</v>
      </c>
      <c r="H345" s="609" t="s">
        <v>2232</v>
      </c>
      <c r="I345" s="615"/>
    </row>
    <row r="346">
      <c r="A346" s="609" t="s">
        <v>1497</v>
      </c>
      <c r="B346" s="609" t="s">
        <v>1498</v>
      </c>
      <c r="C346" s="638" t="s">
        <v>160</v>
      </c>
      <c r="D346" s="638" t="s">
        <v>143</v>
      </c>
      <c r="E346" s="639">
        <v>45512.0</v>
      </c>
      <c r="F346" s="614" t="s">
        <v>2233</v>
      </c>
      <c r="G346" s="614" t="s">
        <v>1806</v>
      </c>
      <c r="H346" s="609" t="s">
        <v>2234</v>
      </c>
      <c r="I346" s="615"/>
    </row>
    <row r="347">
      <c r="A347" s="609" t="s">
        <v>1497</v>
      </c>
      <c r="B347" s="609" t="s">
        <v>1498</v>
      </c>
      <c r="C347" s="638" t="s">
        <v>164</v>
      </c>
      <c r="D347" s="638" t="s">
        <v>143</v>
      </c>
      <c r="E347" s="639">
        <v>45511.0</v>
      </c>
      <c r="F347" s="614" t="s">
        <v>2235</v>
      </c>
      <c r="G347" s="614" t="s">
        <v>1626</v>
      </c>
      <c r="H347" s="609" t="s">
        <v>2236</v>
      </c>
      <c r="I347" s="615"/>
    </row>
    <row r="348">
      <c r="A348" s="609" t="s">
        <v>1497</v>
      </c>
      <c r="B348" s="609" t="s">
        <v>1498</v>
      </c>
      <c r="C348" s="638" t="s">
        <v>100</v>
      </c>
      <c r="D348" s="638" t="s">
        <v>155</v>
      </c>
      <c r="E348" s="639">
        <v>44375.0</v>
      </c>
      <c r="F348" s="614" t="s">
        <v>2103</v>
      </c>
      <c r="G348" s="614" t="s">
        <v>2104</v>
      </c>
      <c r="H348" s="609" t="s">
        <v>2237</v>
      </c>
      <c r="I348" s="615"/>
    </row>
    <row r="349">
      <c r="A349" s="609" t="s">
        <v>1497</v>
      </c>
      <c r="B349" s="609" t="s">
        <v>1498</v>
      </c>
      <c r="C349" s="638" t="s">
        <v>106</v>
      </c>
      <c r="D349" s="638" t="s">
        <v>155</v>
      </c>
      <c r="E349" s="639">
        <v>44375.0</v>
      </c>
      <c r="F349" s="614" t="s">
        <v>2103</v>
      </c>
      <c r="G349" s="614" t="s">
        <v>2104</v>
      </c>
      <c r="H349" s="609" t="s">
        <v>2238</v>
      </c>
      <c r="I349" s="615"/>
    </row>
    <row r="350">
      <c r="A350" s="609" t="s">
        <v>1497</v>
      </c>
      <c r="B350" s="609" t="s">
        <v>1498</v>
      </c>
      <c r="C350" s="638" t="s">
        <v>126</v>
      </c>
      <c r="D350" s="638" t="s">
        <v>160</v>
      </c>
      <c r="E350" s="639">
        <v>44018.0</v>
      </c>
      <c r="F350" s="614" t="s">
        <v>2182</v>
      </c>
      <c r="G350" s="614" t="s">
        <v>2183</v>
      </c>
      <c r="H350" s="609" t="s">
        <v>2239</v>
      </c>
      <c r="I350" s="615"/>
    </row>
    <row r="351">
      <c r="A351" s="609" t="s">
        <v>1497</v>
      </c>
      <c r="B351" s="609" t="s">
        <v>1498</v>
      </c>
      <c r="C351" s="638" t="s">
        <v>134</v>
      </c>
      <c r="D351" s="638" t="s">
        <v>160</v>
      </c>
      <c r="E351" s="639">
        <v>44018.0</v>
      </c>
      <c r="F351" s="614" t="s">
        <v>2182</v>
      </c>
      <c r="G351" s="614" t="s">
        <v>2183</v>
      </c>
      <c r="H351" s="609" t="s">
        <v>2240</v>
      </c>
      <c r="I351" s="615"/>
    </row>
    <row r="352">
      <c r="A352" s="609" t="s">
        <v>1497</v>
      </c>
      <c r="B352" s="609" t="s">
        <v>1498</v>
      </c>
      <c r="C352" s="638" t="s">
        <v>120</v>
      </c>
      <c r="D352" s="638" t="s">
        <v>168</v>
      </c>
      <c r="E352" s="639">
        <v>44579.0</v>
      </c>
      <c r="F352" s="614" t="s">
        <v>2241</v>
      </c>
      <c r="G352" s="614" t="s">
        <v>2242</v>
      </c>
      <c r="H352" s="609" t="s">
        <v>2243</v>
      </c>
      <c r="I352" s="615"/>
    </row>
    <row r="353">
      <c r="A353" s="609" t="s">
        <v>1504</v>
      </c>
      <c r="B353" s="609" t="s">
        <v>1505</v>
      </c>
      <c r="C353" s="638" t="s">
        <v>114</v>
      </c>
      <c r="D353" s="638" t="s">
        <v>2244</v>
      </c>
      <c r="E353" s="639">
        <v>44025.0</v>
      </c>
      <c r="F353" s="614" t="s">
        <v>2245</v>
      </c>
      <c r="G353" s="614" t="s">
        <v>2246</v>
      </c>
      <c r="H353" s="609" t="s">
        <v>2247</v>
      </c>
      <c r="I353" s="615"/>
    </row>
    <row r="354">
      <c r="A354" s="609" t="s">
        <v>1504</v>
      </c>
      <c r="B354" s="609" t="s">
        <v>1505</v>
      </c>
      <c r="C354" s="638" t="s">
        <v>120</v>
      </c>
      <c r="D354" s="638" t="s">
        <v>2244</v>
      </c>
      <c r="E354" s="639">
        <v>44025.0</v>
      </c>
      <c r="F354" s="614" t="s">
        <v>2245</v>
      </c>
      <c r="G354" s="614" t="s">
        <v>2246</v>
      </c>
      <c r="H354" s="609" t="s">
        <v>2248</v>
      </c>
      <c r="I354" s="615"/>
    </row>
    <row r="355">
      <c r="A355" s="609" t="s">
        <v>1504</v>
      </c>
      <c r="B355" s="609" t="s">
        <v>1505</v>
      </c>
      <c r="C355" s="638" t="s">
        <v>80</v>
      </c>
      <c r="D355" s="638" t="s">
        <v>2249</v>
      </c>
      <c r="E355" s="639">
        <v>41876.0</v>
      </c>
      <c r="F355" s="614" t="s">
        <v>2250</v>
      </c>
      <c r="G355" s="614" t="s">
        <v>2251</v>
      </c>
      <c r="H355" s="609" t="s">
        <v>2252</v>
      </c>
      <c r="I355" s="614" t="s">
        <v>1705</v>
      </c>
    </row>
    <row r="356">
      <c r="A356" s="609" t="s">
        <v>1504</v>
      </c>
      <c r="B356" s="609" t="s">
        <v>1505</v>
      </c>
      <c r="C356" s="638" t="s">
        <v>90</v>
      </c>
      <c r="D356" s="638" t="s">
        <v>2249</v>
      </c>
      <c r="E356" s="639">
        <v>41876.0</v>
      </c>
      <c r="F356" s="614" t="s">
        <v>2250</v>
      </c>
      <c r="G356" s="614" t="s">
        <v>2251</v>
      </c>
      <c r="H356" s="609" t="s">
        <v>2253</v>
      </c>
      <c r="I356" s="614" t="s">
        <v>1705</v>
      </c>
    </row>
    <row r="357">
      <c r="A357" s="609" t="s">
        <v>1504</v>
      </c>
      <c r="B357" s="609" t="s">
        <v>1505</v>
      </c>
      <c r="C357" s="638" t="s">
        <v>106</v>
      </c>
      <c r="D357" s="638" t="s">
        <v>2249</v>
      </c>
      <c r="E357" s="640"/>
      <c r="F357" s="614" t="s">
        <v>2254</v>
      </c>
      <c r="G357" s="614" t="s">
        <v>2255</v>
      </c>
      <c r="H357" s="609" t="s">
        <v>2256</v>
      </c>
      <c r="I357" s="614" t="s">
        <v>2257</v>
      </c>
    </row>
    <row r="358">
      <c r="A358" s="609" t="s">
        <v>1504</v>
      </c>
      <c r="B358" s="609" t="s">
        <v>1505</v>
      </c>
      <c r="C358" s="638" t="s">
        <v>114</v>
      </c>
      <c r="D358" s="638" t="s">
        <v>2249</v>
      </c>
      <c r="E358" s="639">
        <v>43626.0</v>
      </c>
      <c r="F358" s="614" t="s">
        <v>2258</v>
      </c>
      <c r="G358" s="614" t="s">
        <v>2259</v>
      </c>
      <c r="H358" s="609" t="s">
        <v>2260</v>
      </c>
      <c r="I358" s="614" t="s">
        <v>2257</v>
      </c>
    </row>
    <row r="359">
      <c r="A359" s="609" t="s">
        <v>1504</v>
      </c>
      <c r="B359" s="609" t="s">
        <v>1505</v>
      </c>
      <c r="C359" s="638" t="s">
        <v>120</v>
      </c>
      <c r="D359" s="638" t="s">
        <v>2249</v>
      </c>
      <c r="E359" s="639">
        <v>43626.0</v>
      </c>
      <c r="F359" s="614" t="s">
        <v>2258</v>
      </c>
      <c r="G359" s="614" t="s">
        <v>2259</v>
      </c>
      <c r="H359" s="609" t="s">
        <v>2260</v>
      </c>
      <c r="I359" s="614" t="s">
        <v>2257</v>
      </c>
    </row>
    <row r="360">
      <c r="A360" s="609" t="s">
        <v>1504</v>
      </c>
      <c r="B360" s="609" t="s">
        <v>1505</v>
      </c>
      <c r="C360" s="638" t="s">
        <v>126</v>
      </c>
      <c r="D360" s="638" t="s">
        <v>2249</v>
      </c>
      <c r="E360" s="639">
        <v>44614.0</v>
      </c>
      <c r="F360" s="614" t="s">
        <v>2127</v>
      </c>
      <c r="G360" s="614" t="s">
        <v>2128</v>
      </c>
      <c r="H360" s="609" t="s">
        <v>2261</v>
      </c>
      <c r="I360" s="615"/>
    </row>
    <row r="361">
      <c r="A361" s="609" t="s">
        <v>1504</v>
      </c>
      <c r="B361" s="609" t="s">
        <v>1505</v>
      </c>
      <c r="C361" s="638" t="s">
        <v>134</v>
      </c>
      <c r="D361" s="638" t="s">
        <v>2249</v>
      </c>
      <c r="E361" s="639">
        <v>45443.0</v>
      </c>
      <c r="F361" s="614" t="s">
        <v>2262</v>
      </c>
      <c r="G361" s="614" t="s">
        <v>1623</v>
      </c>
      <c r="H361" s="609" t="s">
        <v>2263</v>
      </c>
      <c r="I361" s="615"/>
    </row>
    <row r="362">
      <c r="A362" s="609" t="s">
        <v>1504</v>
      </c>
      <c r="B362" s="609" t="s">
        <v>1505</v>
      </c>
      <c r="C362" s="638" t="s">
        <v>175</v>
      </c>
      <c r="D362" s="638" t="s">
        <v>2264</v>
      </c>
      <c r="E362" s="639">
        <v>44722.0</v>
      </c>
      <c r="F362" s="614" t="s">
        <v>2266</v>
      </c>
      <c r="G362" s="614" t="s">
        <v>1626</v>
      </c>
      <c r="H362" s="609" t="s">
        <v>2267</v>
      </c>
      <c r="I362" s="615"/>
    </row>
    <row r="363">
      <c r="A363" s="609" t="s">
        <v>1504</v>
      </c>
      <c r="B363" s="609" t="s">
        <v>1505</v>
      </c>
      <c r="C363" s="638" t="s">
        <v>191</v>
      </c>
      <c r="D363" s="638" t="s">
        <v>2264</v>
      </c>
      <c r="E363" s="639">
        <v>45873.0</v>
      </c>
      <c r="F363" s="614" t="s">
        <v>2268</v>
      </c>
      <c r="G363" s="614" t="s">
        <v>2269</v>
      </c>
      <c r="H363" s="609" t="s">
        <v>2270</v>
      </c>
      <c r="I363" s="615"/>
    </row>
    <row r="364">
      <c r="A364" s="609" t="s">
        <v>1504</v>
      </c>
      <c r="B364" s="609" t="s">
        <v>1505</v>
      </c>
      <c r="C364" s="638" t="s">
        <v>80</v>
      </c>
      <c r="D364" s="638" t="s">
        <v>2271</v>
      </c>
      <c r="E364" s="639">
        <v>44796.0</v>
      </c>
      <c r="F364" s="614" t="s">
        <v>2272</v>
      </c>
      <c r="G364" s="614" t="s">
        <v>1623</v>
      </c>
      <c r="H364" s="609" t="s">
        <v>2273</v>
      </c>
      <c r="I364" s="615"/>
    </row>
    <row r="365">
      <c r="A365" s="609" t="s">
        <v>1504</v>
      </c>
      <c r="B365" s="609" t="s">
        <v>1505</v>
      </c>
      <c r="C365" s="638" t="s">
        <v>90</v>
      </c>
      <c r="D365" s="638" t="s">
        <v>2271</v>
      </c>
      <c r="E365" s="639">
        <v>44812.0</v>
      </c>
      <c r="F365" s="614" t="s">
        <v>2274</v>
      </c>
      <c r="G365" s="614" t="s">
        <v>1623</v>
      </c>
      <c r="H365" s="609" t="s">
        <v>2275</v>
      </c>
      <c r="I365" s="615"/>
    </row>
    <row r="366">
      <c r="A366" s="609" t="s">
        <v>1504</v>
      </c>
      <c r="B366" s="609" t="s">
        <v>1505</v>
      </c>
      <c r="C366" s="638" t="s">
        <v>100</v>
      </c>
      <c r="D366" s="638" t="s">
        <v>2271</v>
      </c>
      <c r="E366" s="639">
        <v>44813.0</v>
      </c>
      <c r="F366" s="614" t="s">
        <v>2276</v>
      </c>
      <c r="G366" s="614" t="s">
        <v>1623</v>
      </c>
      <c r="H366" s="609" t="s">
        <v>2277</v>
      </c>
      <c r="I366" s="615"/>
    </row>
    <row r="367">
      <c r="A367" s="609" t="s">
        <v>1504</v>
      </c>
      <c r="B367" s="609" t="s">
        <v>1505</v>
      </c>
      <c r="C367" s="638" t="s">
        <v>164</v>
      </c>
      <c r="D367" s="638" t="s">
        <v>2271</v>
      </c>
      <c r="E367" s="639">
        <v>44025.0</v>
      </c>
      <c r="F367" s="614" t="s">
        <v>2122</v>
      </c>
      <c r="G367" s="614" t="s">
        <v>2246</v>
      </c>
      <c r="H367" s="609" t="s">
        <v>2278</v>
      </c>
      <c r="I367" s="615"/>
    </row>
    <row r="368">
      <c r="A368" s="609" t="s">
        <v>1504</v>
      </c>
      <c r="B368" s="609" t="s">
        <v>1505</v>
      </c>
      <c r="C368" s="638" t="s">
        <v>168</v>
      </c>
      <c r="D368" s="638" t="s">
        <v>2271</v>
      </c>
      <c r="E368" s="639">
        <v>44025.0</v>
      </c>
      <c r="F368" s="614" t="s">
        <v>2122</v>
      </c>
      <c r="G368" s="614" t="s">
        <v>2246</v>
      </c>
      <c r="H368" s="609" t="s">
        <v>2279</v>
      </c>
      <c r="I368" s="615"/>
    </row>
    <row r="369">
      <c r="A369" s="609" t="s">
        <v>1504</v>
      </c>
      <c r="B369" s="609" t="s">
        <v>1505</v>
      </c>
      <c r="C369" s="638" t="s">
        <v>175</v>
      </c>
      <c r="D369" s="638" t="s">
        <v>2271</v>
      </c>
      <c r="E369" s="639">
        <v>44974.0</v>
      </c>
      <c r="F369" s="614" t="s">
        <v>2280</v>
      </c>
      <c r="G369" s="614" t="s">
        <v>1623</v>
      </c>
      <c r="H369" s="609" t="s">
        <v>2281</v>
      </c>
      <c r="I369" s="615"/>
    </row>
    <row r="370">
      <c r="A370" s="609" t="s">
        <v>1504</v>
      </c>
      <c r="B370" s="609" t="s">
        <v>1505</v>
      </c>
      <c r="C370" s="638" t="s">
        <v>106</v>
      </c>
      <c r="D370" s="638" t="s">
        <v>2282</v>
      </c>
      <c r="E370" s="639">
        <v>44614.0</v>
      </c>
      <c r="F370" s="614" t="s">
        <v>2127</v>
      </c>
      <c r="G370" s="614" t="s">
        <v>2128</v>
      </c>
      <c r="H370" s="609" t="s">
        <v>2283</v>
      </c>
      <c r="I370" s="615"/>
    </row>
    <row r="371">
      <c r="A371" s="609" t="s">
        <v>1504</v>
      </c>
      <c r="B371" s="609" t="s">
        <v>1505</v>
      </c>
      <c r="C371" s="638" t="s">
        <v>114</v>
      </c>
      <c r="D371" s="638" t="s">
        <v>2282</v>
      </c>
      <c r="E371" s="639">
        <v>44025.0</v>
      </c>
      <c r="F371" s="614" t="s">
        <v>2122</v>
      </c>
      <c r="G371" s="614" t="s">
        <v>2246</v>
      </c>
      <c r="H371" s="609" t="s">
        <v>2285</v>
      </c>
      <c r="I371" s="615"/>
    </row>
    <row r="372">
      <c r="A372" s="609" t="s">
        <v>1504</v>
      </c>
      <c r="B372" s="609" t="s">
        <v>1505</v>
      </c>
      <c r="C372" s="638" t="s">
        <v>143</v>
      </c>
      <c r="D372" s="638" t="s">
        <v>2282</v>
      </c>
      <c r="E372" s="639">
        <v>43767.0</v>
      </c>
      <c r="F372" s="614" t="s">
        <v>2286</v>
      </c>
      <c r="G372" s="614" t="s">
        <v>1983</v>
      </c>
      <c r="H372" s="609" t="s">
        <v>2287</v>
      </c>
      <c r="I372" s="615"/>
    </row>
    <row r="373">
      <c r="A373" s="609" t="s">
        <v>1504</v>
      </c>
      <c r="B373" s="609" t="s">
        <v>1505</v>
      </c>
      <c r="C373" s="638" t="s">
        <v>150</v>
      </c>
      <c r="D373" s="638" t="s">
        <v>2282</v>
      </c>
      <c r="E373" s="640"/>
      <c r="F373" s="614" t="s">
        <v>2288</v>
      </c>
      <c r="G373" s="614" t="s">
        <v>2255</v>
      </c>
      <c r="H373" s="609" t="s">
        <v>2289</v>
      </c>
      <c r="I373" s="614" t="s">
        <v>2257</v>
      </c>
    </row>
    <row r="374">
      <c r="A374" s="609" t="s">
        <v>1504</v>
      </c>
      <c r="B374" s="609" t="s">
        <v>1505</v>
      </c>
      <c r="C374" s="638" t="s">
        <v>164</v>
      </c>
      <c r="D374" s="638" t="s">
        <v>2282</v>
      </c>
      <c r="E374" s="639">
        <v>43626.0</v>
      </c>
      <c r="F374" s="614" t="s">
        <v>2258</v>
      </c>
      <c r="G374" s="614" t="s">
        <v>2259</v>
      </c>
      <c r="H374" s="609" t="s">
        <v>2260</v>
      </c>
      <c r="I374" s="614" t="s">
        <v>2257</v>
      </c>
    </row>
    <row r="375">
      <c r="A375" s="609" t="s">
        <v>1504</v>
      </c>
      <c r="B375" s="609" t="s">
        <v>1505</v>
      </c>
      <c r="C375" s="638" t="s">
        <v>126</v>
      </c>
      <c r="D375" s="638" t="s">
        <v>2290</v>
      </c>
      <c r="E375" s="639">
        <v>44019.0</v>
      </c>
      <c r="F375" s="614" t="s">
        <v>2133</v>
      </c>
      <c r="G375" s="614" t="s">
        <v>2134</v>
      </c>
      <c r="H375" s="609" t="s">
        <v>2291</v>
      </c>
      <c r="I375" s="615"/>
    </row>
    <row r="376">
      <c r="A376" s="609" t="s">
        <v>1504</v>
      </c>
      <c r="B376" s="609" t="s">
        <v>1505</v>
      </c>
      <c r="C376" s="638" t="s">
        <v>134</v>
      </c>
      <c r="D376" s="638" t="s">
        <v>2290</v>
      </c>
      <c r="E376" s="639">
        <v>44474.0</v>
      </c>
      <c r="F376" s="614" t="s">
        <v>2292</v>
      </c>
      <c r="G376" s="614" t="s">
        <v>2293</v>
      </c>
      <c r="H376" s="609" t="s">
        <v>2294</v>
      </c>
      <c r="I376" s="615"/>
    </row>
    <row r="377">
      <c r="A377" s="609" t="s">
        <v>1504</v>
      </c>
      <c r="B377" s="609" t="s">
        <v>1505</v>
      </c>
      <c r="C377" s="638" t="s">
        <v>164</v>
      </c>
      <c r="D377" s="638" t="s">
        <v>2290</v>
      </c>
      <c r="E377" s="639">
        <v>43626.0</v>
      </c>
      <c r="F377" s="614" t="s">
        <v>2258</v>
      </c>
      <c r="G377" s="614" t="s">
        <v>2259</v>
      </c>
      <c r="H377" s="609" t="s">
        <v>2260</v>
      </c>
      <c r="I377" s="614" t="s">
        <v>2257</v>
      </c>
    </row>
    <row r="378">
      <c r="A378" s="609" t="s">
        <v>1504</v>
      </c>
      <c r="B378" s="609" t="s">
        <v>1505</v>
      </c>
      <c r="C378" s="638" t="s">
        <v>168</v>
      </c>
      <c r="D378" s="638" t="s">
        <v>2290</v>
      </c>
      <c r="E378" s="639">
        <v>45280.0</v>
      </c>
      <c r="F378" s="614" t="s">
        <v>2295</v>
      </c>
      <c r="G378" s="614" t="s">
        <v>1623</v>
      </c>
      <c r="H378" s="609" t="s">
        <v>2296</v>
      </c>
      <c r="I378" s="615"/>
    </row>
    <row r="379">
      <c r="A379" s="609" t="s">
        <v>1504</v>
      </c>
      <c r="B379" s="609" t="s">
        <v>1505</v>
      </c>
      <c r="C379" s="638" t="s">
        <v>175</v>
      </c>
      <c r="D379" s="638" t="s">
        <v>2290</v>
      </c>
      <c r="E379" s="639">
        <v>44019.0</v>
      </c>
      <c r="F379" s="614" t="s">
        <v>2133</v>
      </c>
      <c r="G379" s="614" t="s">
        <v>2134</v>
      </c>
      <c r="H379" s="609" t="s">
        <v>2297</v>
      </c>
      <c r="I379" s="615"/>
    </row>
    <row r="380">
      <c r="A380" s="609" t="s">
        <v>1504</v>
      </c>
      <c r="B380" s="609" t="s">
        <v>1505</v>
      </c>
      <c r="C380" s="638" t="s">
        <v>100</v>
      </c>
      <c r="D380" s="638" t="s">
        <v>2298</v>
      </c>
      <c r="E380" s="639">
        <v>44025.0</v>
      </c>
      <c r="F380" s="614" t="s">
        <v>2299</v>
      </c>
      <c r="G380" s="614" t="s">
        <v>2300</v>
      </c>
      <c r="H380" s="609" t="s">
        <v>2301</v>
      </c>
      <c r="I380" s="615"/>
    </row>
    <row r="381">
      <c r="A381" s="609" t="s">
        <v>1504</v>
      </c>
      <c r="B381" s="609" t="s">
        <v>1505</v>
      </c>
      <c r="C381" s="638" t="s">
        <v>120</v>
      </c>
      <c r="D381" s="638" t="s">
        <v>2298</v>
      </c>
      <c r="E381" s="639">
        <v>44474.0</v>
      </c>
      <c r="F381" s="614" t="s">
        <v>2292</v>
      </c>
      <c r="G381" s="614" t="s">
        <v>2303</v>
      </c>
      <c r="H381" s="609" t="s">
        <v>2304</v>
      </c>
      <c r="I381" s="615"/>
    </row>
    <row r="382">
      <c r="A382" s="609" t="s">
        <v>1504</v>
      </c>
      <c r="B382" s="609" t="s">
        <v>1505</v>
      </c>
      <c r="C382" s="638" t="s">
        <v>126</v>
      </c>
      <c r="D382" s="638" t="s">
        <v>2298</v>
      </c>
      <c r="E382" s="639">
        <v>44474.0</v>
      </c>
      <c r="F382" s="614" t="s">
        <v>2292</v>
      </c>
      <c r="G382" s="614" t="s">
        <v>2303</v>
      </c>
      <c r="H382" s="609" t="s">
        <v>2305</v>
      </c>
      <c r="I382" s="615"/>
    </row>
    <row r="383">
      <c r="A383" s="609" t="s">
        <v>1504</v>
      </c>
      <c r="B383" s="609" t="s">
        <v>1505</v>
      </c>
      <c r="C383" s="638" t="s">
        <v>150</v>
      </c>
      <c r="D383" s="638" t="s">
        <v>2298</v>
      </c>
      <c r="E383" s="639">
        <v>44025.0</v>
      </c>
      <c r="F383" s="614" t="s">
        <v>2122</v>
      </c>
      <c r="G383" s="614" t="s">
        <v>2246</v>
      </c>
      <c r="H383" s="609" t="s">
        <v>2306</v>
      </c>
      <c r="I383" s="615"/>
    </row>
    <row r="384">
      <c r="A384" s="609" t="s">
        <v>1504</v>
      </c>
      <c r="B384" s="609" t="s">
        <v>1505</v>
      </c>
      <c r="C384" s="638" t="s">
        <v>160</v>
      </c>
      <c r="D384" s="638" t="s">
        <v>2298</v>
      </c>
      <c r="E384" s="639">
        <v>41611.0</v>
      </c>
      <c r="F384" s="614" t="s">
        <v>2307</v>
      </c>
      <c r="G384" s="614" t="s">
        <v>2308</v>
      </c>
      <c r="H384" s="609" t="s">
        <v>2309</v>
      </c>
      <c r="I384" s="614" t="s">
        <v>1705</v>
      </c>
    </row>
    <row r="385">
      <c r="A385" s="609" t="s">
        <v>1504</v>
      </c>
      <c r="B385" s="609" t="s">
        <v>1505</v>
      </c>
      <c r="C385" s="638" t="s">
        <v>106</v>
      </c>
      <c r="D385" s="638" t="s">
        <v>2310</v>
      </c>
      <c r="E385" s="639">
        <v>44922.0</v>
      </c>
      <c r="F385" s="614" t="s">
        <v>2312</v>
      </c>
      <c r="G385" s="614" t="s">
        <v>1626</v>
      </c>
      <c r="H385" s="609" t="s">
        <v>2313</v>
      </c>
      <c r="I385" s="615"/>
    </row>
    <row r="386">
      <c r="A386" s="609" t="s">
        <v>1504</v>
      </c>
      <c r="B386" s="609" t="s">
        <v>1505</v>
      </c>
      <c r="C386" s="638" t="s">
        <v>114</v>
      </c>
      <c r="D386" s="638" t="s">
        <v>2310</v>
      </c>
      <c r="E386" s="639">
        <v>44036.0</v>
      </c>
      <c r="F386" s="614" t="s">
        <v>2314</v>
      </c>
      <c r="G386" s="614" t="s">
        <v>2315</v>
      </c>
      <c r="H386" s="609" t="s">
        <v>2316</v>
      </c>
      <c r="I386" s="614" t="s">
        <v>2257</v>
      </c>
    </row>
    <row r="387">
      <c r="A387" s="609" t="s">
        <v>1504</v>
      </c>
      <c r="B387" s="609" t="s">
        <v>1505</v>
      </c>
      <c r="C387" s="638" t="s">
        <v>120</v>
      </c>
      <c r="D387" s="638" t="s">
        <v>2310</v>
      </c>
      <c r="E387" s="639">
        <v>44036.0</v>
      </c>
      <c r="F387" s="614" t="s">
        <v>2314</v>
      </c>
      <c r="G387" s="614" t="s">
        <v>2315</v>
      </c>
      <c r="H387" s="609" t="s">
        <v>2316</v>
      </c>
      <c r="I387" s="614" t="s">
        <v>2257</v>
      </c>
    </row>
    <row r="388">
      <c r="A388" s="609" t="s">
        <v>1504</v>
      </c>
      <c r="B388" s="609" t="s">
        <v>1505</v>
      </c>
      <c r="C388" s="638" t="s">
        <v>143</v>
      </c>
      <c r="D388" s="638" t="s">
        <v>2310</v>
      </c>
      <c r="E388" s="639">
        <v>41783.0</v>
      </c>
      <c r="F388" s="614" t="s">
        <v>2317</v>
      </c>
      <c r="G388" s="614" t="s">
        <v>1626</v>
      </c>
      <c r="H388" s="609" t="s">
        <v>2319</v>
      </c>
      <c r="I388" s="614" t="s">
        <v>1705</v>
      </c>
    </row>
    <row r="389">
      <c r="A389" s="609" t="s">
        <v>1504</v>
      </c>
      <c r="B389" s="609" t="s">
        <v>1505</v>
      </c>
      <c r="C389" s="638" t="s">
        <v>160</v>
      </c>
      <c r="D389" s="638" t="s">
        <v>2310</v>
      </c>
      <c r="E389" s="639">
        <v>44036.0</v>
      </c>
      <c r="F389" s="614" t="s">
        <v>2314</v>
      </c>
      <c r="G389" s="614" t="s">
        <v>2315</v>
      </c>
      <c r="H389" s="609" t="s">
        <v>2316</v>
      </c>
      <c r="I389" s="614" t="s">
        <v>2257</v>
      </c>
    </row>
    <row r="390">
      <c r="A390" s="609" t="s">
        <v>1504</v>
      </c>
      <c r="B390" s="609" t="s">
        <v>1505</v>
      </c>
      <c r="C390" s="638" t="s">
        <v>175</v>
      </c>
      <c r="D390" s="638" t="s">
        <v>2310</v>
      </c>
      <c r="E390" s="639">
        <v>44888.0</v>
      </c>
      <c r="F390" s="614" t="s">
        <v>2320</v>
      </c>
      <c r="G390" s="614" t="s">
        <v>2321</v>
      </c>
      <c r="H390" s="609" t="s">
        <v>2322</v>
      </c>
      <c r="I390" s="615"/>
    </row>
    <row r="391">
      <c r="A391" s="609" t="s">
        <v>1504</v>
      </c>
      <c r="B391" s="609" t="s">
        <v>1505</v>
      </c>
      <c r="C391" s="638" t="s">
        <v>114</v>
      </c>
      <c r="D391" s="638" t="s">
        <v>2323</v>
      </c>
      <c r="E391" s="639">
        <v>43696.0</v>
      </c>
      <c r="F391" s="614" t="s">
        <v>2324</v>
      </c>
      <c r="G391" s="614" t="s">
        <v>2325</v>
      </c>
      <c r="H391" s="609" t="s">
        <v>2327</v>
      </c>
      <c r="I391" s="615"/>
    </row>
    <row r="392">
      <c r="A392" s="609" t="s">
        <v>1504</v>
      </c>
      <c r="B392" s="609" t="s">
        <v>1505</v>
      </c>
      <c r="C392" s="638" t="s">
        <v>120</v>
      </c>
      <c r="D392" s="638" t="s">
        <v>2323</v>
      </c>
      <c r="E392" s="639">
        <v>44025.0</v>
      </c>
      <c r="F392" s="614" t="s">
        <v>2122</v>
      </c>
      <c r="G392" s="614" t="s">
        <v>2246</v>
      </c>
      <c r="H392" s="609" t="s">
        <v>2328</v>
      </c>
      <c r="I392" s="615"/>
    </row>
    <row r="393">
      <c r="A393" s="609" t="s">
        <v>1504</v>
      </c>
      <c r="B393" s="609" t="s">
        <v>1505</v>
      </c>
      <c r="C393" s="638" t="s">
        <v>150</v>
      </c>
      <c r="D393" s="638" t="s">
        <v>2323</v>
      </c>
      <c r="E393" s="639">
        <v>44391.0</v>
      </c>
      <c r="F393" s="614" t="s">
        <v>2103</v>
      </c>
      <c r="G393" s="614" t="s">
        <v>2104</v>
      </c>
      <c r="H393" s="609" t="s">
        <v>2329</v>
      </c>
      <c r="I393" s="615"/>
    </row>
    <row r="394">
      <c r="A394" s="609" t="s">
        <v>1504</v>
      </c>
      <c r="B394" s="609" t="s">
        <v>1505</v>
      </c>
      <c r="C394" s="638" t="s">
        <v>155</v>
      </c>
      <c r="D394" s="638" t="s">
        <v>2323</v>
      </c>
      <c r="E394" s="639">
        <v>44391.0</v>
      </c>
      <c r="F394" s="614" t="s">
        <v>2103</v>
      </c>
      <c r="G394" s="614" t="s">
        <v>2104</v>
      </c>
      <c r="H394" s="609" t="s">
        <v>2331</v>
      </c>
      <c r="I394" s="615"/>
    </row>
    <row r="395">
      <c r="A395" s="609" t="s">
        <v>1504</v>
      </c>
      <c r="B395" s="609" t="s">
        <v>1505</v>
      </c>
      <c r="C395" s="638" t="s">
        <v>164</v>
      </c>
      <c r="D395" s="638" t="s">
        <v>2323</v>
      </c>
      <c r="E395" s="639">
        <v>45370.0</v>
      </c>
      <c r="F395" s="614" t="s">
        <v>2332</v>
      </c>
      <c r="G395" s="614" t="s">
        <v>2333</v>
      </c>
      <c r="H395" s="609" t="s">
        <v>2334</v>
      </c>
      <c r="I395" s="615"/>
    </row>
    <row r="396">
      <c r="A396" s="609" t="s">
        <v>1504</v>
      </c>
      <c r="B396" s="609" t="s">
        <v>1505</v>
      </c>
      <c r="C396" s="638" t="s">
        <v>168</v>
      </c>
      <c r="D396" s="638" t="s">
        <v>2323</v>
      </c>
      <c r="E396" s="639">
        <v>43791.0</v>
      </c>
      <c r="F396" s="614" t="s">
        <v>2335</v>
      </c>
      <c r="G396" s="614" t="s">
        <v>2336</v>
      </c>
      <c r="H396" s="609" t="s">
        <v>2337</v>
      </c>
      <c r="I396" s="615"/>
    </row>
    <row r="397">
      <c r="A397" s="609" t="s">
        <v>1504</v>
      </c>
      <c r="B397" s="609" t="s">
        <v>1505</v>
      </c>
      <c r="C397" s="638" t="s">
        <v>181</v>
      </c>
      <c r="D397" s="638" t="s">
        <v>2323</v>
      </c>
      <c r="E397" s="640"/>
      <c r="F397" s="614" t="s">
        <v>2339</v>
      </c>
      <c r="G397" s="614" t="s">
        <v>2340</v>
      </c>
      <c r="H397" s="609" t="s">
        <v>2341</v>
      </c>
      <c r="I397" s="614" t="s">
        <v>2257</v>
      </c>
    </row>
    <row r="398">
      <c r="A398" s="609" t="s">
        <v>1504</v>
      </c>
      <c r="B398" s="609" t="s">
        <v>1505</v>
      </c>
      <c r="C398" s="638" t="s">
        <v>90</v>
      </c>
      <c r="D398" s="638" t="s">
        <v>2342</v>
      </c>
      <c r="E398" s="639">
        <v>45175.0</v>
      </c>
      <c r="F398" s="614" t="s">
        <v>2343</v>
      </c>
      <c r="G398" s="614" t="s">
        <v>1626</v>
      </c>
      <c r="H398" s="609" t="s">
        <v>2344</v>
      </c>
      <c r="I398" s="615"/>
    </row>
    <row r="399">
      <c r="A399" s="609" t="s">
        <v>1504</v>
      </c>
      <c r="B399" s="609" t="s">
        <v>1505</v>
      </c>
      <c r="C399" s="638" t="s">
        <v>114</v>
      </c>
      <c r="D399" s="638" t="s">
        <v>2342</v>
      </c>
      <c r="E399" s="639">
        <v>44019.0</v>
      </c>
      <c r="F399" s="614" t="s">
        <v>2133</v>
      </c>
      <c r="G399" s="614" t="s">
        <v>2134</v>
      </c>
      <c r="H399" s="609" t="s">
        <v>2346</v>
      </c>
      <c r="I399" s="615"/>
    </row>
    <row r="400">
      <c r="A400" s="609" t="s">
        <v>1504</v>
      </c>
      <c r="B400" s="609" t="s">
        <v>1505</v>
      </c>
      <c r="C400" s="638" t="s">
        <v>120</v>
      </c>
      <c r="D400" s="638" t="s">
        <v>2342</v>
      </c>
      <c r="E400" s="639">
        <v>44427.0</v>
      </c>
      <c r="F400" s="614" t="s">
        <v>2347</v>
      </c>
      <c r="G400" s="614" t="s">
        <v>1626</v>
      </c>
      <c r="H400" s="609" t="s">
        <v>2348</v>
      </c>
      <c r="I400" s="615"/>
    </row>
    <row r="401">
      <c r="A401" s="609" t="s">
        <v>1504</v>
      </c>
      <c r="B401" s="609" t="s">
        <v>1505</v>
      </c>
      <c r="C401" s="638" t="s">
        <v>143</v>
      </c>
      <c r="D401" s="638" t="s">
        <v>2342</v>
      </c>
      <c r="E401" s="639">
        <v>43797.0</v>
      </c>
      <c r="F401" s="614" t="s">
        <v>2349</v>
      </c>
      <c r="G401" s="614" t="s">
        <v>2350</v>
      </c>
      <c r="H401" s="609" t="s">
        <v>2351</v>
      </c>
      <c r="I401" s="615"/>
    </row>
    <row r="402">
      <c r="A402" s="609" t="s">
        <v>1504</v>
      </c>
      <c r="B402" s="609" t="s">
        <v>1505</v>
      </c>
      <c r="C402" s="638" t="s">
        <v>150</v>
      </c>
      <c r="D402" s="638" t="s">
        <v>2342</v>
      </c>
      <c r="E402" s="639">
        <v>43501.0</v>
      </c>
      <c r="F402" s="614" t="s">
        <v>2353</v>
      </c>
      <c r="G402" s="614" t="s">
        <v>2354</v>
      </c>
      <c r="H402" s="609" t="s">
        <v>2355</v>
      </c>
      <c r="I402" s="615"/>
    </row>
    <row r="403">
      <c r="A403" s="609" t="s">
        <v>1504</v>
      </c>
      <c r="B403" s="609" t="s">
        <v>1505</v>
      </c>
      <c r="C403" s="638" t="s">
        <v>155</v>
      </c>
      <c r="D403" s="638" t="s">
        <v>2342</v>
      </c>
      <c r="E403" s="640"/>
      <c r="F403" s="614" t="s">
        <v>2356</v>
      </c>
      <c r="G403" s="614" t="s">
        <v>2357</v>
      </c>
      <c r="H403" s="609" t="s">
        <v>2358</v>
      </c>
      <c r="I403" s="614" t="s">
        <v>2257</v>
      </c>
    </row>
    <row r="404">
      <c r="A404" s="609" t="s">
        <v>1504</v>
      </c>
      <c r="B404" s="609" t="s">
        <v>1505</v>
      </c>
      <c r="C404" s="638" t="s">
        <v>160</v>
      </c>
      <c r="D404" s="638" t="s">
        <v>2342</v>
      </c>
      <c r="E404" s="639">
        <v>42719.0</v>
      </c>
      <c r="F404" s="614" t="s">
        <v>2133</v>
      </c>
      <c r="G404" s="614" t="s">
        <v>2359</v>
      </c>
      <c r="H404" s="609" t="s">
        <v>2361</v>
      </c>
      <c r="I404" s="614" t="s">
        <v>1705</v>
      </c>
    </row>
    <row r="405">
      <c r="A405" s="609" t="s">
        <v>1504</v>
      </c>
      <c r="B405" s="609" t="s">
        <v>1505</v>
      </c>
      <c r="C405" s="638" t="s">
        <v>175</v>
      </c>
      <c r="D405" s="638" t="s">
        <v>2342</v>
      </c>
      <c r="E405" s="639">
        <v>43501.0</v>
      </c>
      <c r="F405" s="614" t="s">
        <v>2353</v>
      </c>
      <c r="G405" s="614" t="s">
        <v>2354</v>
      </c>
      <c r="H405" s="609" t="s">
        <v>2362</v>
      </c>
      <c r="I405" s="615"/>
    </row>
    <row r="406">
      <c r="A406" s="609" t="s">
        <v>1504</v>
      </c>
      <c r="B406" s="609" t="s">
        <v>1505</v>
      </c>
      <c r="C406" s="638" t="s">
        <v>191</v>
      </c>
      <c r="D406" s="638" t="s">
        <v>2342</v>
      </c>
      <c r="E406" s="639">
        <v>44873.0</v>
      </c>
      <c r="F406" s="614" t="s">
        <v>2363</v>
      </c>
      <c r="G406" s="614" t="s">
        <v>2364</v>
      </c>
      <c r="H406" s="609" t="s">
        <v>2365</v>
      </c>
      <c r="I406" s="615"/>
    </row>
    <row r="407">
      <c r="A407" s="609" t="s">
        <v>1504</v>
      </c>
      <c r="B407" s="609" t="s">
        <v>1505</v>
      </c>
      <c r="C407" s="638" t="s">
        <v>90</v>
      </c>
      <c r="D407" s="638" t="s">
        <v>2367</v>
      </c>
      <c r="E407" s="639">
        <v>41815.0</v>
      </c>
      <c r="F407" s="614" t="s">
        <v>2368</v>
      </c>
      <c r="G407" s="614" t="s">
        <v>2369</v>
      </c>
      <c r="H407" s="609" t="s">
        <v>2370</v>
      </c>
      <c r="I407" s="614" t="s">
        <v>1705</v>
      </c>
    </row>
    <row r="408">
      <c r="A408" s="609" t="s">
        <v>1504</v>
      </c>
      <c r="B408" s="609" t="s">
        <v>1505</v>
      </c>
      <c r="C408" s="638" t="s">
        <v>100</v>
      </c>
      <c r="D408" s="638" t="s">
        <v>2367</v>
      </c>
      <c r="E408" s="639">
        <v>41815.0</v>
      </c>
      <c r="F408" s="614" t="s">
        <v>2368</v>
      </c>
      <c r="G408" s="614" t="s">
        <v>2369</v>
      </c>
      <c r="H408" s="609" t="s">
        <v>2371</v>
      </c>
      <c r="I408" s="614" t="s">
        <v>1705</v>
      </c>
    </row>
    <row r="409">
      <c r="A409" s="609" t="s">
        <v>1504</v>
      </c>
      <c r="B409" s="609" t="s">
        <v>1505</v>
      </c>
      <c r="C409" s="638" t="s">
        <v>114</v>
      </c>
      <c r="D409" s="638" t="s">
        <v>2367</v>
      </c>
      <c r="E409" s="639">
        <v>44019.0</v>
      </c>
      <c r="F409" s="614" t="s">
        <v>2133</v>
      </c>
      <c r="G409" s="614" t="s">
        <v>2134</v>
      </c>
      <c r="H409" s="609" t="s">
        <v>2373</v>
      </c>
      <c r="I409" s="615"/>
    </row>
    <row r="410">
      <c r="A410" s="609" t="s">
        <v>1504</v>
      </c>
      <c r="B410" s="609" t="s">
        <v>1505</v>
      </c>
      <c r="C410" s="638" t="s">
        <v>120</v>
      </c>
      <c r="D410" s="638" t="s">
        <v>2367</v>
      </c>
      <c r="E410" s="639">
        <v>44025.0</v>
      </c>
      <c r="F410" s="614" t="s">
        <v>2122</v>
      </c>
      <c r="G410" s="614" t="s">
        <v>2246</v>
      </c>
      <c r="H410" s="609" t="s">
        <v>2374</v>
      </c>
      <c r="I410" s="615"/>
    </row>
    <row r="411">
      <c r="A411" s="609" t="s">
        <v>1504</v>
      </c>
      <c r="B411" s="609" t="s">
        <v>1505</v>
      </c>
      <c r="C411" s="638" t="s">
        <v>134</v>
      </c>
      <c r="D411" s="638" t="s">
        <v>2367</v>
      </c>
      <c r="E411" s="640"/>
      <c r="F411" s="614" t="s">
        <v>2375</v>
      </c>
      <c r="G411" s="614" t="s">
        <v>2376</v>
      </c>
      <c r="H411" s="609" t="s">
        <v>2377</v>
      </c>
      <c r="I411" s="614" t="s">
        <v>2257</v>
      </c>
    </row>
    <row r="412">
      <c r="A412" s="609" t="s">
        <v>1508</v>
      </c>
      <c r="B412" s="609" t="s">
        <v>1509</v>
      </c>
      <c r="C412" s="638" t="s">
        <v>1613</v>
      </c>
      <c r="D412" s="638" t="s">
        <v>2379</v>
      </c>
      <c r="E412" s="639">
        <v>44474.0</v>
      </c>
      <c r="F412" s="614" t="s">
        <v>2380</v>
      </c>
      <c r="G412" s="614" t="s">
        <v>2381</v>
      </c>
      <c r="H412" s="609" t="s">
        <v>2382</v>
      </c>
      <c r="I412" s="615"/>
    </row>
    <row r="413">
      <c r="A413" s="609" t="s">
        <v>1508</v>
      </c>
      <c r="B413" s="609" t="s">
        <v>1509</v>
      </c>
      <c r="C413" s="638" t="s">
        <v>2383</v>
      </c>
      <c r="D413" s="638" t="s">
        <v>2379</v>
      </c>
      <c r="E413" s="639">
        <v>44474.0</v>
      </c>
      <c r="F413" s="614" t="s">
        <v>2380</v>
      </c>
      <c r="G413" s="614" t="s">
        <v>2381</v>
      </c>
      <c r="H413" s="609" t="s">
        <v>2384</v>
      </c>
      <c r="I413" s="615"/>
    </row>
    <row r="414">
      <c r="A414" s="609" t="s">
        <v>1508</v>
      </c>
      <c r="B414" s="609" t="s">
        <v>1509</v>
      </c>
      <c r="C414" s="638" t="s">
        <v>2385</v>
      </c>
      <c r="D414" s="638" t="s">
        <v>2379</v>
      </c>
      <c r="E414" s="639">
        <v>44741.0</v>
      </c>
      <c r="F414" s="614" t="s">
        <v>2387</v>
      </c>
      <c r="G414" s="614" t="s">
        <v>1983</v>
      </c>
      <c r="H414" s="609" t="s">
        <v>2388</v>
      </c>
      <c r="I414" s="615"/>
    </row>
    <row r="415">
      <c r="A415" s="609" t="s">
        <v>1508</v>
      </c>
      <c r="B415" s="609" t="s">
        <v>1509</v>
      </c>
      <c r="C415" s="638" t="s">
        <v>2389</v>
      </c>
      <c r="D415" s="638" t="s">
        <v>2379</v>
      </c>
      <c r="E415" s="639">
        <v>44404.0</v>
      </c>
      <c r="F415" s="614" t="s">
        <v>2390</v>
      </c>
      <c r="G415" s="614" t="s">
        <v>2101</v>
      </c>
      <c r="H415" s="609" t="s">
        <v>2391</v>
      </c>
      <c r="I415" s="615"/>
    </row>
    <row r="416">
      <c r="A416" s="609" t="s">
        <v>1508</v>
      </c>
      <c r="B416" s="609" t="s">
        <v>1509</v>
      </c>
      <c r="C416" s="638" t="s">
        <v>2392</v>
      </c>
      <c r="D416" s="638" t="s">
        <v>2379</v>
      </c>
      <c r="E416" s="639">
        <v>44404.0</v>
      </c>
      <c r="F416" s="614" t="s">
        <v>2393</v>
      </c>
      <c r="G416" s="614" t="s">
        <v>1626</v>
      </c>
      <c r="H416" s="609" t="s">
        <v>2394</v>
      </c>
      <c r="I416" s="615"/>
    </row>
    <row r="417">
      <c r="A417" s="609" t="s">
        <v>1508</v>
      </c>
      <c r="B417" s="609" t="s">
        <v>1509</v>
      </c>
      <c r="C417" s="638" t="s">
        <v>1611</v>
      </c>
      <c r="D417" s="638" t="s">
        <v>2396</v>
      </c>
      <c r="E417" s="639">
        <v>44392.0</v>
      </c>
      <c r="F417" s="614" t="s">
        <v>2397</v>
      </c>
      <c r="G417" s="614" t="s">
        <v>2398</v>
      </c>
      <c r="H417" s="609" t="s">
        <v>2399</v>
      </c>
      <c r="I417" s="615"/>
    </row>
    <row r="418">
      <c r="A418" s="609" t="s">
        <v>1508</v>
      </c>
      <c r="B418" s="609" t="s">
        <v>1509</v>
      </c>
      <c r="C418" s="638" t="s">
        <v>2400</v>
      </c>
      <c r="D418" s="638" t="s">
        <v>2396</v>
      </c>
      <c r="E418" s="639">
        <v>44392.0</v>
      </c>
      <c r="F418" s="614" t="s">
        <v>2397</v>
      </c>
      <c r="G418" s="614" t="s">
        <v>2398</v>
      </c>
      <c r="H418" s="609" t="s">
        <v>2401</v>
      </c>
      <c r="I418" s="615"/>
    </row>
    <row r="419">
      <c r="A419" s="609" t="s">
        <v>1508</v>
      </c>
      <c r="B419" s="609" t="s">
        <v>1509</v>
      </c>
      <c r="C419" s="638" t="s">
        <v>1613</v>
      </c>
      <c r="D419" s="638" t="s">
        <v>2396</v>
      </c>
      <c r="E419" s="639">
        <v>44392.0</v>
      </c>
      <c r="F419" s="614" t="s">
        <v>2397</v>
      </c>
      <c r="G419" s="614" t="s">
        <v>2398</v>
      </c>
      <c r="H419" s="609" t="s">
        <v>2403</v>
      </c>
      <c r="I419" s="615"/>
    </row>
    <row r="420">
      <c r="A420" s="609" t="s">
        <v>1508</v>
      </c>
      <c r="B420" s="609" t="s">
        <v>1509</v>
      </c>
      <c r="C420" s="638" t="s">
        <v>2383</v>
      </c>
      <c r="D420" s="638" t="s">
        <v>2396</v>
      </c>
      <c r="E420" s="639">
        <v>44392.0</v>
      </c>
      <c r="F420" s="614" t="s">
        <v>2397</v>
      </c>
      <c r="G420" s="614" t="s">
        <v>2398</v>
      </c>
      <c r="H420" s="609" t="s">
        <v>2404</v>
      </c>
      <c r="I420" s="615"/>
    </row>
    <row r="421">
      <c r="A421" s="609" t="s">
        <v>1508</v>
      </c>
      <c r="B421" s="609" t="s">
        <v>1509</v>
      </c>
      <c r="C421" s="638" t="s">
        <v>2405</v>
      </c>
      <c r="D421" s="638" t="s">
        <v>2396</v>
      </c>
      <c r="E421" s="639">
        <v>45736.0</v>
      </c>
      <c r="F421" s="614" t="s">
        <v>2406</v>
      </c>
      <c r="G421" s="614" t="s">
        <v>2407</v>
      </c>
      <c r="H421" s="609" t="s">
        <v>2408</v>
      </c>
      <c r="I421" s="615"/>
    </row>
    <row r="422">
      <c r="A422" s="609" t="s">
        <v>1508</v>
      </c>
      <c r="B422" s="609" t="s">
        <v>1509</v>
      </c>
      <c r="C422" s="638" t="s">
        <v>2409</v>
      </c>
      <c r="D422" s="638" t="s">
        <v>2396</v>
      </c>
      <c r="E422" s="639">
        <v>45736.0</v>
      </c>
      <c r="F422" s="614" t="s">
        <v>2406</v>
      </c>
      <c r="G422" s="614" t="s">
        <v>2407</v>
      </c>
      <c r="H422" s="609" t="s">
        <v>2411</v>
      </c>
      <c r="I422" s="615"/>
    </row>
    <row r="423">
      <c r="A423" s="609" t="s">
        <v>1508</v>
      </c>
      <c r="B423" s="609" t="s">
        <v>1509</v>
      </c>
      <c r="C423" s="638" t="s">
        <v>2412</v>
      </c>
      <c r="D423" s="638" t="s">
        <v>2396</v>
      </c>
      <c r="E423" s="639">
        <v>45736.0</v>
      </c>
      <c r="F423" s="614" t="s">
        <v>2406</v>
      </c>
      <c r="G423" s="614" t="s">
        <v>2407</v>
      </c>
      <c r="H423" s="609" t="s">
        <v>2413</v>
      </c>
      <c r="I423" s="615"/>
    </row>
    <row r="424">
      <c r="A424" s="609" t="s">
        <v>1508</v>
      </c>
      <c r="B424" s="609" t="s">
        <v>1509</v>
      </c>
      <c r="C424" s="638" t="s">
        <v>1658</v>
      </c>
      <c r="D424" s="638" t="s">
        <v>2414</v>
      </c>
      <c r="E424" s="639">
        <v>45848.0</v>
      </c>
      <c r="F424" s="614" t="s">
        <v>2415</v>
      </c>
      <c r="G424" s="614" t="s">
        <v>2417</v>
      </c>
      <c r="H424" s="609" t="s">
        <v>2418</v>
      </c>
      <c r="I424" s="615"/>
    </row>
    <row r="425">
      <c r="A425" s="609" t="s">
        <v>1508</v>
      </c>
      <c r="B425" s="609" t="s">
        <v>1509</v>
      </c>
      <c r="C425" s="638" t="s">
        <v>1611</v>
      </c>
      <c r="D425" s="638" t="s">
        <v>2414</v>
      </c>
      <c r="E425" s="639">
        <v>45848.0</v>
      </c>
      <c r="F425" s="614" t="s">
        <v>2415</v>
      </c>
      <c r="G425" s="614" t="s">
        <v>2417</v>
      </c>
      <c r="H425" s="609" t="s">
        <v>2419</v>
      </c>
      <c r="I425" s="615"/>
    </row>
    <row r="426">
      <c r="A426" s="609" t="s">
        <v>1508</v>
      </c>
      <c r="B426" s="609" t="s">
        <v>1509</v>
      </c>
      <c r="C426" s="638" t="s">
        <v>2405</v>
      </c>
      <c r="D426" s="638" t="s">
        <v>2420</v>
      </c>
      <c r="E426" s="639">
        <v>44474.0</v>
      </c>
      <c r="F426" s="614" t="s">
        <v>2421</v>
      </c>
      <c r="G426" s="614" t="s">
        <v>2422</v>
      </c>
      <c r="H426" s="609" t="s">
        <v>2424</v>
      </c>
      <c r="I426" s="615"/>
    </row>
    <row r="427">
      <c r="A427" s="609" t="s">
        <v>1508</v>
      </c>
      <c r="B427" s="609" t="s">
        <v>1509</v>
      </c>
      <c r="C427" s="638" t="s">
        <v>2425</v>
      </c>
      <c r="D427" s="638" t="s">
        <v>2420</v>
      </c>
      <c r="E427" s="639">
        <v>46175.0</v>
      </c>
      <c r="F427" s="614" t="s">
        <v>2406</v>
      </c>
      <c r="G427" s="614" t="s">
        <v>2426</v>
      </c>
      <c r="H427" s="609" t="s">
        <v>2427</v>
      </c>
      <c r="I427" s="614" t="s">
        <v>2428</v>
      </c>
    </row>
    <row r="428">
      <c r="A428" s="609" t="s">
        <v>1508</v>
      </c>
      <c r="B428" s="609" t="s">
        <v>1509</v>
      </c>
      <c r="C428" s="638" t="s">
        <v>2383</v>
      </c>
      <c r="D428" s="638" t="s">
        <v>1553</v>
      </c>
      <c r="E428" s="639">
        <v>45910.0</v>
      </c>
      <c r="F428" s="614" t="s">
        <v>2429</v>
      </c>
      <c r="G428" s="614" t="s">
        <v>2430</v>
      </c>
      <c r="H428" s="609" t="s">
        <v>2431</v>
      </c>
      <c r="I428" s="615"/>
    </row>
    <row r="429">
      <c r="A429" s="609" t="s">
        <v>1508</v>
      </c>
      <c r="B429" s="609" t="s">
        <v>1509</v>
      </c>
      <c r="C429" s="638" t="s">
        <v>1598</v>
      </c>
      <c r="D429" s="638" t="s">
        <v>2433</v>
      </c>
      <c r="E429" s="639">
        <v>44326.0</v>
      </c>
      <c r="F429" s="614" t="s">
        <v>2434</v>
      </c>
      <c r="G429" s="614" t="s">
        <v>1983</v>
      </c>
      <c r="H429" s="609" t="s">
        <v>2435</v>
      </c>
      <c r="I429" s="615"/>
    </row>
    <row r="430">
      <c r="A430" s="609" t="s">
        <v>1508</v>
      </c>
      <c r="B430" s="609" t="s">
        <v>1509</v>
      </c>
      <c r="C430" s="638" t="s">
        <v>1650</v>
      </c>
      <c r="D430" s="638" t="s">
        <v>2433</v>
      </c>
      <c r="E430" s="639">
        <v>44326.0</v>
      </c>
      <c r="F430" s="614" t="s">
        <v>2434</v>
      </c>
      <c r="G430" s="614" t="s">
        <v>1983</v>
      </c>
      <c r="H430" s="609" t="s">
        <v>2436</v>
      </c>
      <c r="I430" s="615"/>
    </row>
    <row r="431">
      <c r="A431" s="609" t="s">
        <v>1508</v>
      </c>
      <c r="B431" s="609" t="s">
        <v>1509</v>
      </c>
      <c r="C431" s="638" t="s">
        <v>1552</v>
      </c>
      <c r="D431" s="638" t="s">
        <v>2433</v>
      </c>
      <c r="E431" s="639">
        <v>44540.0</v>
      </c>
      <c r="F431" s="614" t="s">
        <v>2434</v>
      </c>
      <c r="G431" s="614" t="s">
        <v>1983</v>
      </c>
      <c r="H431" s="609" t="s">
        <v>2437</v>
      </c>
      <c r="I431" s="615"/>
    </row>
    <row r="432">
      <c r="A432" s="609" t="s">
        <v>1513</v>
      </c>
      <c r="B432" s="609" t="s">
        <v>1464</v>
      </c>
      <c r="C432" s="638" t="s">
        <v>294</v>
      </c>
      <c r="D432" s="638" t="s">
        <v>1558</v>
      </c>
      <c r="E432" s="639">
        <v>43508.0</v>
      </c>
      <c r="F432" s="614" t="s">
        <v>2439</v>
      </c>
      <c r="G432" s="614" t="s">
        <v>1626</v>
      </c>
      <c r="H432" s="609" t="s">
        <v>2440</v>
      </c>
      <c r="I432" s="615"/>
    </row>
    <row r="433">
      <c r="A433" s="609" t="s">
        <v>1513</v>
      </c>
      <c r="B433" s="609" t="s">
        <v>1464</v>
      </c>
      <c r="C433" s="638" t="s">
        <v>299</v>
      </c>
      <c r="D433" s="638" t="s">
        <v>1558</v>
      </c>
      <c r="E433" s="639">
        <v>44642.0</v>
      </c>
      <c r="F433" s="614" t="s">
        <v>2441</v>
      </c>
      <c r="G433" s="614" t="s">
        <v>1626</v>
      </c>
      <c r="H433" s="609" t="s">
        <v>2442</v>
      </c>
      <c r="I433" s="615"/>
    </row>
    <row r="434">
      <c r="A434" s="609" t="s">
        <v>1513</v>
      </c>
      <c r="B434" s="609" t="s">
        <v>1464</v>
      </c>
      <c r="C434" s="638" t="s">
        <v>305</v>
      </c>
      <c r="D434" s="638" t="s">
        <v>1558</v>
      </c>
      <c r="E434" s="639">
        <v>45530.0</v>
      </c>
      <c r="F434" s="614" t="s">
        <v>2443</v>
      </c>
      <c r="G434" s="614" t="s">
        <v>2444</v>
      </c>
      <c r="H434" s="609" t="s">
        <v>2445</v>
      </c>
      <c r="I434" s="615"/>
    </row>
    <row r="435">
      <c r="A435" s="609" t="s">
        <v>1513</v>
      </c>
      <c r="B435" s="609" t="s">
        <v>1464</v>
      </c>
      <c r="C435" s="638" t="s">
        <v>2447</v>
      </c>
      <c r="D435" s="638" t="s">
        <v>1580</v>
      </c>
      <c r="E435" s="639">
        <v>44685.0</v>
      </c>
      <c r="F435" s="614" t="s">
        <v>2448</v>
      </c>
      <c r="G435" s="614" t="s">
        <v>1626</v>
      </c>
      <c r="H435" s="609" t="s">
        <v>2449</v>
      </c>
      <c r="I435" s="615"/>
    </row>
    <row r="436">
      <c r="A436" s="609" t="s">
        <v>1513</v>
      </c>
      <c r="B436" s="609" t="s">
        <v>1464</v>
      </c>
      <c r="C436" s="638" t="s">
        <v>2450</v>
      </c>
      <c r="D436" s="638" t="s">
        <v>1580</v>
      </c>
      <c r="E436" s="639">
        <v>44706.0</v>
      </c>
      <c r="F436" s="614" t="s">
        <v>2452</v>
      </c>
      <c r="G436" s="614" t="s">
        <v>1626</v>
      </c>
      <c r="H436" s="609" t="s">
        <v>2453</v>
      </c>
      <c r="I436" s="615"/>
    </row>
    <row r="437">
      <c r="A437" s="609" t="s">
        <v>1513</v>
      </c>
      <c r="B437" s="609" t="s">
        <v>1464</v>
      </c>
      <c r="C437" s="638" t="s">
        <v>2454</v>
      </c>
      <c r="D437" s="638" t="s">
        <v>1580</v>
      </c>
      <c r="E437" s="639">
        <v>43658.0</v>
      </c>
      <c r="F437" s="614" t="s">
        <v>2455</v>
      </c>
      <c r="G437" s="614" t="s">
        <v>1626</v>
      </c>
      <c r="H437" s="609" t="s">
        <v>2456</v>
      </c>
      <c r="I437" s="615"/>
    </row>
    <row r="438">
      <c r="A438" s="609" t="s">
        <v>1513</v>
      </c>
      <c r="B438" s="609" t="s">
        <v>1464</v>
      </c>
      <c r="C438" s="638" t="s">
        <v>2457</v>
      </c>
      <c r="D438" s="638" t="s">
        <v>2458</v>
      </c>
      <c r="E438" s="639">
        <v>44896.0</v>
      </c>
      <c r="F438" s="614" t="s">
        <v>2459</v>
      </c>
      <c r="G438" s="614" t="s">
        <v>1626</v>
      </c>
      <c r="H438" s="609" t="s">
        <v>2460</v>
      </c>
      <c r="I438" s="615"/>
    </row>
    <row r="439">
      <c r="A439" s="609" t="s">
        <v>1513</v>
      </c>
      <c r="B439" s="609" t="s">
        <v>1464</v>
      </c>
      <c r="C439" s="638" t="s">
        <v>2461</v>
      </c>
      <c r="D439" s="638" t="s">
        <v>2463</v>
      </c>
      <c r="E439" s="639">
        <v>44229.0</v>
      </c>
      <c r="F439" s="614" t="s">
        <v>2464</v>
      </c>
      <c r="G439" s="614" t="s">
        <v>1626</v>
      </c>
      <c r="H439" s="609" t="s">
        <v>2465</v>
      </c>
      <c r="I439" s="615"/>
    </row>
    <row r="440">
      <c r="A440" s="609" t="s">
        <v>1513</v>
      </c>
      <c r="B440" s="609" t="s">
        <v>1464</v>
      </c>
      <c r="C440" s="638" t="s">
        <v>2466</v>
      </c>
      <c r="D440" s="638" t="s">
        <v>2463</v>
      </c>
      <c r="E440" s="639">
        <v>44160.0</v>
      </c>
      <c r="F440" s="614" t="s">
        <v>2467</v>
      </c>
      <c r="G440" s="614" t="s">
        <v>1626</v>
      </c>
      <c r="H440" s="609" t="s">
        <v>2468</v>
      </c>
      <c r="I440" s="615"/>
    </row>
    <row r="441">
      <c r="A441" s="609" t="s">
        <v>1513</v>
      </c>
      <c r="B441" s="609" t="s">
        <v>1464</v>
      </c>
      <c r="C441" s="638" t="s">
        <v>1821</v>
      </c>
      <c r="D441" s="638" t="s">
        <v>2463</v>
      </c>
      <c r="E441" s="639">
        <v>44076.0</v>
      </c>
      <c r="F441" s="614" t="s">
        <v>2469</v>
      </c>
      <c r="G441" s="614" t="s">
        <v>2101</v>
      </c>
      <c r="H441" s="609" t="s">
        <v>2470</v>
      </c>
      <c r="I441" s="615"/>
    </row>
    <row r="442">
      <c r="A442" s="609" t="s">
        <v>1514</v>
      </c>
      <c r="B442" s="609" t="s">
        <v>1464</v>
      </c>
      <c r="C442" s="638" t="s">
        <v>2472</v>
      </c>
      <c r="D442" s="638" t="s">
        <v>1586</v>
      </c>
      <c r="E442" s="639">
        <v>45576.0</v>
      </c>
      <c r="F442" s="614" t="s">
        <v>2473</v>
      </c>
      <c r="G442" s="614" t="s">
        <v>1697</v>
      </c>
      <c r="H442" s="609" t="s">
        <v>2474</v>
      </c>
      <c r="I442" s="615"/>
    </row>
    <row r="443">
      <c r="A443" s="609" t="s">
        <v>1515</v>
      </c>
      <c r="B443" s="609" t="s">
        <v>1464</v>
      </c>
      <c r="C443" s="638" t="s">
        <v>134</v>
      </c>
      <c r="D443" s="638" t="s">
        <v>106</v>
      </c>
      <c r="E443" s="639">
        <v>45440.0</v>
      </c>
      <c r="F443" s="614" t="s">
        <v>2475</v>
      </c>
      <c r="G443" s="614" t="s">
        <v>1626</v>
      </c>
      <c r="H443" s="609" t="s">
        <v>2476</v>
      </c>
      <c r="I443" s="615"/>
    </row>
    <row r="444">
      <c r="A444" s="609" t="s">
        <v>1515</v>
      </c>
      <c r="B444" s="609" t="s">
        <v>1464</v>
      </c>
      <c r="C444" s="638" t="s">
        <v>100</v>
      </c>
      <c r="D444" s="638" t="s">
        <v>168</v>
      </c>
      <c r="E444" s="639">
        <v>42926.0</v>
      </c>
      <c r="F444" s="614" t="s">
        <v>2477</v>
      </c>
      <c r="G444" s="614" t="s">
        <v>1626</v>
      </c>
      <c r="H444" s="609" t="s">
        <v>2478</v>
      </c>
      <c r="I444" s="614" t="s">
        <v>1705</v>
      </c>
    </row>
    <row r="445">
      <c r="A445" s="609" t="s">
        <v>1517</v>
      </c>
      <c r="B445" s="609" t="s">
        <v>1505</v>
      </c>
      <c r="C445" s="638" t="s">
        <v>90</v>
      </c>
      <c r="D445" s="638" t="s">
        <v>2480</v>
      </c>
      <c r="E445" s="639">
        <v>44391.0</v>
      </c>
      <c r="F445" s="614" t="s">
        <v>2103</v>
      </c>
      <c r="G445" s="614" t="s">
        <v>2104</v>
      </c>
      <c r="H445" s="609" t="s">
        <v>2481</v>
      </c>
      <c r="I445" s="615"/>
    </row>
    <row r="446">
      <c r="A446" s="609" t="s">
        <v>1517</v>
      </c>
      <c r="B446" s="609" t="s">
        <v>1505</v>
      </c>
      <c r="C446" s="638" t="s">
        <v>100</v>
      </c>
      <c r="D446" s="638" t="s">
        <v>2480</v>
      </c>
      <c r="E446" s="639">
        <v>44391.0</v>
      </c>
      <c r="F446" s="614" t="s">
        <v>2103</v>
      </c>
      <c r="G446" s="614" t="s">
        <v>2104</v>
      </c>
      <c r="H446" s="609" t="s">
        <v>2482</v>
      </c>
      <c r="I446" s="615"/>
    </row>
    <row r="447">
      <c r="A447" s="609" t="s">
        <v>1517</v>
      </c>
      <c r="B447" s="609" t="s">
        <v>1505</v>
      </c>
      <c r="C447" s="638" t="s">
        <v>106</v>
      </c>
      <c r="D447" s="638" t="s">
        <v>2480</v>
      </c>
      <c r="E447" s="639">
        <v>44391.0</v>
      </c>
      <c r="F447" s="614" t="s">
        <v>2103</v>
      </c>
      <c r="G447" s="614" t="s">
        <v>2104</v>
      </c>
      <c r="H447" s="609" t="s">
        <v>2483</v>
      </c>
      <c r="I447" s="615"/>
    </row>
    <row r="448">
      <c r="A448" s="609" t="s">
        <v>1518</v>
      </c>
      <c r="B448" s="609" t="s">
        <v>1400</v>
      </c>
      <c r="C448" s="638" t="s">
        <v>114</v>
      </c>
      <c r="D448" s="638" t="s">
        <v>143</v>
      </c>
      <c r="E448" s="639">
        <v>45475.0</v>
      </c>
      <c r="F448" s="614" t="s">
        <v>1739</v>
      </c>
      <c r="G448" s="614" t="s">
        <v>1740</v>
      </c>
      <c r="H448" s="609" t="s">
        <v>2484</v>
      </c>
      <c r="I448" s="615"/>
    </row>
    <row r="449">
      <c r="A449" s="609" t="s">
        <v>1518</v>
      </c>
      <c r="B449" s="609" t="s">
        <v>1400</v>
      </c>
      <c r="C449" s="638" t="s">
        <v>168</v>
      </c>
      <c r="D449" s="638" t="s">
        <v>143</v>
      </c>
      <c r="E449" s="639">
        <v>43704.0</v>
      </c>
      <c r="F449" s="614" t="s">
        <v>2485</v>
      </c>
      <c r="G449" s="614" t="s">
        <v>2486</v>
      </c>
      <c r="H449" s="609" t="s">
        <v>2487</v>
      </c>
      <c r="I449" s="615"/>
    </row>
    <row r="450">
      <c r="A450" s="609" t="s">
        <v>1518</v>
      </c>
      <c r="B450" s="609" t="s">
        <v>1400</v>
      </c>
      <c r="C450" s="638" t="s">
        <v>175</v>
      </c>
      <c r="D450" s="638" t="s">
        <v>143</v>
      </c>
      <c r="E450" s="639">
        <v>43704.0</v>
      </c>
      <c r="F450" s="614" t="s">
        <v>2485</v>
      </c>
      <c r="G450" s="614" t="s">
        <v>2486</v>
      </c>
      <c r="H450" s="609" t="s">
        <v>2488</v>
      </c>
      <c r="I450" s="615"/>
    </row>
    <row r="451">
      <c r="A451" s="609" t="s">
        <v>1518</v>
      </c>
      <c r="B451" s="609" t="s">
        <v>1400</v>
      </c>
      <c r="C451" s="638" t="s">
        <v>90</v>
      </c>
      <c r="D451" s="638" t="s">
        <v>150</v>
      </c>
      <c r="E451" s="639">
        <v>44186.0</v>
      </c>
      <c r="F451" s="614" t="s">
        <v>1699</v>
      </c>
      <c r="G451" s="614" t="s">
        <v>1700</v>
      </c>
      <c r="H451" s="609" t="s">
        <v>2489</v>
      </c>
      <c r="I451" s="615"/>
    </row>
    <row r="452">
      <c r="A452" s="609" t="s">
        <v>1518</v>
      </c>
      <c r="B452" s="609" t="s">
        <v>1400</v>
      </c>
      <c r="C452" s="638" t="s">
        <v>100</v>
      </c>
      <c r="D452" s="638" t="s">
        <v>150</v>
      </c>
      <c r="E452" s="639">
        <v>44186.0</v>
      </c>
      <c r="F452" s="614" t="s">
        <v>1699</v>
      </c>
      <c r="G452" s="614" t="s">
        <v>1700</v>
      </c>
      <c r="H452" s="609" t="s">
        <v>2490</v>
      </c>
      <c r="I452" s="615"/>
    </row>
    <row r="453">
      <c r="A453" s="609" t="s">
        <v>1519</v>
      </c>
      <c r="B453" s="609" t="s">
        <v>1400</v>
      </c>
      <c r="C453" s="638" t="s">
        <v>181</v>
      </c>
      <c r="D453" s="638" t="s">
        <v>1558</v>
      </c>
      <c r="E453" s="639">
        <v>44105.0</v>
      </c>
      <c r="F453" s="614" t="s">
        <v>2491</v>
      </c>
      <c r="G453" s="614" t="s">
        <v>1626</v>
      </c>
      <c r="H453" s="609" t="s">
        <v>2492</v>
      </c>
      <c r="I453" s="614" t="s">
        <v>2493</v>
      </c>
    </row>
    <row r="454">
      <c r="A454" s="609" t="s">
        <v>1521</v>
      </c>
      <c r="B454" s="609" t="s">
        <v>1365</v>
      </c>
      <c r="C454" s="638" t="s">
        <v>100</v>
      </c>
      <c r="D454" s="638" t="s">
        <v>1848</v>
      </c>
      <c r="E454" s="639">
        <v>34673.0</v>
      </c>
      <c r="F454" s="614" t="s">
        <v>2494</v>
      </c>
      <c r="G454" s="614" t="s">
        <v>2495</v>
      </c>
      <c r="H454" s="609" t="s">
        <v>2496</v>
      </c>
      <c r="I454" s="614" t="s">
        <v>1705</v>
      </c>
    </row>
    <row r="455">
      <c r="A455" s="609" t="s">
        <v>1521</v>
      </c>
      <c r="B455" s="609" t="s">
        <v>1365</v>
      </c>
      <c r="C455" s="638" t="s">
        <v>164</v>
      </c>
      <c r="D455" s="638" t="s">
        <v>2497</v>
      </c>
      <c r="E455" s="639">
        <v>36907.0</v>
      </c>
      <c r="F455" s="614" t="s">
        <v>2498</v>
      </c>
      <c r="G455" s="614" t="s">
        <v>2495</v>
      </c>
      <c r="H455" s="609" t="s">
        <v>2499</v>
      </c>
      <c r="I455" s="614" t="s">
        <v>1705</v>
      </c>
    </row>
    <row r="456">
      <c r="A456" s="609" t="s">
        <v>1523</v>
      </c>
      <c r="B456" s="609" t="s">
        <v>1342</v>
      </c>
      <c r="C456" s="638" t="s">
        <v>150</v>
      </c>
      <c r="D456" s="638" t="s">
        <v>1558</v>
      </c>
      <c r="E456" s="639">
        <v>44400.0</v>
      </c>
      <c r="F456" s="614" t="s">
        <v>2500</v>
      </c>
      <c r="G456" s="614" t="s">
        <v>1626</v>
      </c>
      <c r="H456" s="609" t="s">
        <v>2501</v>
      </c>
      <c r="I456" s="615"/>
    </row>
    <row r="457">
      <c r="A457" s="609" t="s">
        <v>1523</v>
      </c>
      <c r="B457" s="609" t="s">
        <v>1342</v>
      </c>
      <c r="C457" s="638" t="s">
        <v>155</v>
      </c>
      <c r="D457" s="638" t="s">
        <v>1558</v>
      </c>
      <c r="E457" s="639">
        <v>45407.0</v>
      </c>
      <c r="F457" s="614" t="s">
        <v>2502</v>
      </c>
      <c r="G457" s="614" t="s">
        <v>2503</v>
      </c>
      <c r="H457" s="609" t="s">
        <v>2504</v>
      </c>
      <c r="I457" s="615"/>
    </row>
    <row r="458">
      <c r="A458" s="609" t="s">
        <v>1524</v>
      </c>
      <c r="B458" s="609" t="s">
        <v>1481</v>
      </c>
      <c r="C458" s="638" t="s">
        <v>160</v>
      </c>
      <c r="D458" s="638" t="s">
        <v>2505</v>
      </c>
      <c r="E458" s="639">
        <v>45231.0</v>
      </c>
      <c r="F458" s="614" t="s">
        <v>2506</v>
      </c>
      <c r="G458" s="614" t="s">
        <v>1626</v>
      </c>
      <c r="H458" s="609" t="s">
        <v>2507</v>
      </c>
      <c r="I458" s="615"/>
    </row>
    <row r="459">
      <c r="A459" s="609" t="s">
        <v>1524</v>
      </c>
      <c r="B459" s="609" t="s">
        <v>1481</v>
      </c>
      <c r="C459" s="638" t="s">
        <v>114</v>
      </c>
      <c r="D459" s="638" t="s">
        <v>1989</v>
      </c>
      <c r="E459" s="639">
        <v>43691.0</v>
      </c>
      <c r="F459" s="614" t="s">
        <v>1994</v>
      </c>
      <c r="G459" s="614" t="s">
        <v>2054</v>
      </c>
      <c r="H459" s="609" t="s">
        <v>2508</v>
      </c>
      <c r="I459" s="615"/>
    </row>
    <row r="460">
      <c r="A460" s="609" t="s">
        <v>1524</v>
      </c>
      <c r="B460" s="609" t="s">
        <v>1481</v>
      </c>
      <c r="C460" s="638" t="s">
        <v>120</v>
      </c>
      <c r="D460" s="638" t="s">
        <v>1989</v>
      </c>
      <c r="E460" s="639">
        <v>43691.0</v>
      </c>
      <c r="F460" s="614" t="s">
        <v>1994</v>
      </c>
      <c r="G460" s="614" t="s">
        <v>2054</v>
      </c>
      <c r="H460" s="609" t="s">
        <v>2509</v>
      </c>
      <c r="I460" s="615"/>
    </row>
    <row r="461">
      <c r="A461" s="609" t="s">
        <v>1524</v>
      </c>
      <c r="B461" s="609" t="s">
        <v>1481</v>
      </c>
      <c r="C461" s="638" t="s">
        <v>80</v>
      </c>
      <c r="D461" s="638" t="s">
        <v>1997</v>
      </c>
      <c r="E461" s="639">
        <v>43691.0</v>
      </c>
      <c r="F461" s="614" t="s">
        <v>1994</v>
      </c>
      <c r="G461" s="614" t="s">
        <v>2054</v>
      </c>
      <c r="H461" s="609" t="s">
        <v>2510</v>
      </c>
      <c r="I461" s="615"/>
    </row>
    <row r="462">
      <c r="A462" s="609" t="s">
        <v>1524</v>
      </c>
      <c r="B462" s="609" t="s">
        <v>1481</v>
      </c>
      <c r="C462" s="638" t="s">
        <v>90</v>
      </c>
      <c r="D462" s="638" t="s">
        <v>1997</v>
      </c>
      <c r="E462" s="639">
        <v>43691.0</v>
      </c>
      <c r="F462" s="614" t="s">
        <v>1994</v>
      </c>
      <c r="G462" s="614" t="s">
        <v>2054</v>
      </c>
      <c r="H462" s="609" t="s">
        <v>2511</v>
      </c>
      <c r="I462" s="615"/>
    </row>
    <row r="463">
      <c r="A463" s="609" t="s">
        <v>1524</v>
      </c>
      <c r="B463" s="609" t="s">
        <v>1481</v>
      </c>
      <c r="C463" s="638" t="s">
        <v>114</v>
      </c>
      <c r="D463" s="638" t="s">
        <v>1997</v>
      </c>
      <c r="E463" s="639">
        <v>43573.0</v>
      </c>
      <c r="F463" s="614" t="s">
        <v>2122</v>
      </c>
      <c r="G463" s="614" t="s">
        <v>2512</v>
      </c>
      <c r="H463" s="609" t="s">
        <v>2513</v>
      </c>
      <c r="I463" s="615"/>
    </row>
    <row r="464">
      <c r="A464" s="609" t="s">
        <v>1524</v>
      </c>
      <c r="B464" s="609" t="s">
        <v>1481</v>
      </c>
      <c r="C464" s="638" t="s">
        <v>143</v>
      </c>
      <c r="D464" s="638" t="s">
        <v>1997</v>
      </c>
      <c r="E464" s="639">
        <v>45484.0</v>
      </c>
      <c r="F464" s="614" t="s">
        <v>2514</v>
      </c>
      <c r="G464" s="614" t="s">
        <v>2061</v>
      </c>
      <c r="H464" s="609" t="s">
        <v>2515</v>
      </c>
      <c r="I464" s="615"/>
    </row>
    <row r="465">
      <c r="A465" s="609" t="s">
        <v>1524</v>
      </c>
      <c r="B465" s="609" t="s">
        <v>1481</v>
      </c>
      <c r="C465" s="638" t="s">
        <v>150</v>
      </c>
      <c r="D465" s="638" t="s">
        <v>1997</v>
      </c>
      <c r="E465" s="639">
        <v>45709.0</v>
      </c>
      <c r="F465" s="614" t="s">
        <v>2516</v>
      </c>
      <c r="G465" s="614" t="s">
        <v>1626</v>
      </c>
      <c r="H465" s="609" t="s">
        <v>2517</v>
      </c>
      <c r="I465" s="615"/>
    </row>
    <row r="466">
      <c r="A466" s="609" t="s">
        <v>1526</v>
      </c>
      <c r="B466" s="609" t="s">
        <v>2518</v>
      </c>
      <c r="C466" s="638" t="s">
        <v>2520</v>
      </c>
      <c r="D466" s="638" t="s">
        <v>2521</v>
      </c>
      <c r="E466" s="640"/>
      <c r="F466" s="615"/>
      <c r="G466" s="614" t="s">
        <v>2522</v>
      </c>
      <c r="H466" s="609" t="s">
        <v>2523</v>
      </c>
      <c r="I466" s="614" t="s">
        <v>1620</v>
      </c>
    </row>
    <row r="467">
      <c r="A467" s="609" t="s">
        <v>1526</v>
      </c>
      <c r="B467" s="609" t="s">
        <v>2518</v>
      </c>
      <c r="C467" s="638" t="s">
        <v>2524</v>
      </c>
      <c r="D467" s="638" t="s">
        <v>2525</v>
      </c>
      <c r="E467" s="640"/>
      <c r="F467" s="615"/>
      <c r="G467" s="614" t="s">
        <v>2526</v>
      </c>
      <c r="H467" s="609" t="s">
        <v>2527</v>
      </c>
      <c r="I467" s="614" t="s">
        <v>1620</v>
      </c>
    </row>
    <row r="468">
      <c r="A468" s="609" t="s">
        <v>1526</v>
      </c>
      <c r="B468" s="609" t="s">
        <v>1400</v>
      </c>
      <c r="C468" s="685" t="s">
        <v>2528</v>
      </c>
      <c r="D468" s="685" t="s">
        <v>2528</v>
      </c>
      <c r="E468" s="640"/>
      <c r="F468" s="615"/>
      <c r="G468" s="614" t="s">
        <v>2529</v>
      </c>
      <c r="H468" s="609" t="s">
        <v>2530</v>
      </c>
      <c r="I468" s="614" t="s">
        <v>1620</v>
      </c>
    </row>
    <row r="469">
      <c r="A469" s="609" t="s">
        <v>1526</v>
      </c>
      <c r="B469" s="609" t="s">
        <v>1400</v>
      </c>
      <c r="C469" s="685" t="s">
        <v>2528</v>
      </c>
      <c r="D469" s="685" t="s">
        <v>2528</v>
      </c>
      <c r="E469" s="640"/>
      <c r="F469" s="615"/>
      <c r="G469" s="614" t="s">
        <v>2532</v>
      </c>
      <c r="H469" s="609" t="s">
        <v>2533</v>
      </c>
      <c r="I469" s="614" t="s">
        <v>2534</v>
      </c>
    </row>
  </sheetData>
  <autoFilter ref="$A$60:$I$469"/>
  <mergeCells count="1">
    <mergeCell ref="A2:I2"/>
  </mergeCells>
  <conditionalFormatting sqref="H6:H46">
    <cfRule type="expression" dxfId="5" priority="1" stopIfTrue="1">
      <formula>$H6&lt;&gt;0</formula>
    </cfRule>
  </conditionalFormatting>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358"/>
      <c r="B1" s="359" t="s">
        <v>695</v>
      </c>
      <c r="C1" s="360" t="s">
        <v>696</v>
      </c>
      <c r="D1" s="361" t="s">
        <v>697</v>
      </c>
      <c r="E1" s="360" t="s">
        <v>698</v>
      </c>
      <c r="F1" s="361"/>
      <c r="G1" s="362" t="s">
        <v>699</v>
      </c>
      <c r="H1" s="363" t="s">
        <v>130</v>
      </c>
      <c r="I1" s="364" t="s">
        <v>700</v>
      </c>
      <c r="J1" s="365"/>
    </row>
    <row r="2">
      <c r="A2" s="5"/>
      <c r="B2" s="6" t="s">
        <v>2265</v>
      </c>
      <c r="C2" s="10"/>
      <c r="D2" s="12"/>
      <c r="E2" s="10"/>
      <c r="F2" s="12"/>
      <c r="G2" s="12"/>
      <c r="H2" s="16"/>
      <c r="I2" s="17"/>
      <c r="J2" s="18"/>
    </row>
    <row r="3">
      <c r="A3" s="19"/>
      <c r="B3" s="20"/>
      <c r="C3" s="21"/>
      <c r="D3" s="22"/>
      <c r="E3" s="373"/>
      <c r="F3" s="23"/>
      <c r="G3" s="23"/>
      <c r="H3" s="26"/>
      <c r="I3" s="27"/>
      <c r="J3" s="28"/>
    </row>
    <row r="4">
      <c r="A4" s="681">
        <v>1.0</v>
      </c>
      <c r="B4" s="375" t="s">
        <v>2284</v>
      </c>
      <c r="C4" s="376"/>
      <c r="D4" s="377"/>
      <c r="E4" s="376"/>
      <c r="F4" s="377"/>
      <c r="G4" s="682"/>
      <c r="H4" s="442"/>
      <c r="I4" s="467"/>
      <c r="J4" s="421"/>
    </row>
    <row r="5">
      <c r="A5" s="683">
        <f t="shared" ref="A5:A35" si="1">A4+1</f>
        <v>2</v>
      </c>
      <c r="B5" s="382" t="s">
        <v>2302</v>
      </c>
      <c r="C5" s="370"/>
      <c r="D5" s="445"/>
      <c r="E5" s="370"/>
      <c r="F5" s="445"/>
      <c r="G5" s="684"/>
      <c r="H5" s="304"/>
      <c r="I5" s="305"/>
      <c r="J5" s="470"/>
    </row>
    <row r="6">
      <c r="A6" s="681">
        <f t="shared" si="1"/>
        <v>3</v>
      </c>
      <c r="B6" s="375" t="s">
        <v>2311</v>
      </c>
      <c r="C6" s="376"/>
      <c r="D6" s="377"/>
      <c r="E6" s="376"/>
      <c r="F6" s="377"/>
      <c r="G6" s="682"/>
      <c r="H6" s="442"/>
      <c r="I6" s="467"/>
      <c r="J6" s="421"/>
    </row>
    <row r="7">
      <c r="A7" s="683">
        <f t="shared" si="1"/>
        <v>4</v>
      </c>
      <c r="B7" s="382" t="s">
        <v>2318</v>
      </c>
      <c r="C7" s="370"/>
      <c r="D7" s="445"/>
      <c r="E7" s="370"/>
      <c r="F7" s="445"/>
      <c r="G7" s="684"/>
      <c r="H7" s="304"/>
      <c r="I7" s="305"/>
      <c r="J7" s="470"/>
    </row>
    <row r="8">
      <c r="A8" s="681">
        <f t="shared" si="1"/>
        <v>5</v>
      </c>
      <c r="B8" s="375" t="s">
        <v>2326</v>
      </c>
      <c r="C8" s="376"/>
      <c r="D8" s="377"/>
      <c r="E8" s="376"/>
      <c r="F8" s="377"/>
      <c r="G8" s="682"/>
      <c r="H8" s="442"/>
      <c r="I8" s="467"/>
      <c r="J8" s="421"/>
    </row>
    <row r="9">
      <c r="A9" s="683">
        <f t="shared" si="1"/>
        <v>6</v>
      </c>
      <c r="B9" s="382" t="s">
        <v>2330</v>
      </c>
      <c r="C9" s="370"/>
      <c r="D9" s="445"/>
      <c r="E9" s="370"/>
      <c r="F9" s="445"/>
      <c r="G9" s="684"/>
      <c r="H9" s="304"/>
      <c r="I9" s="305"/>
      <c r="J9" s="470"/>
    </row>
    <row r="10">
      <c r="A10" s="681">
        <f t="shared" si="1"/>
        <v>7</v>
      </c>
      <c r="B10" s="375" t="s">
        <v>2338</v>
      </c>
      <c r="C10" s="376"/>
      <c r="D10" s="377"/>
      <c r="E10" s="376"/>
      <c r="F10" s="377"/>
      <c r="G10" s="682"/>
      <c r="H10" s="442"/>
      <c r="I10" s="467"/>
      <c r="J10" s="421"/>
    </row>
    <row r="11">
      <c r="A11" s="683">
        <f t="shared" si="1"/>
        <v>8</v>
      </c>
      <c r="B11" s="382" t="s">
        <v>2345</v>
      </c>
      <c r="C11" s="370"/>
      <c r="D11" s="445"/>
      <c r="E11" s="370"/>
      <c r="F11" s="445"/>
      <c r="G11" s="684"/>
      <c r="H11" s="304"/>
      <c r="I11" s="305"/>
      <c r="J11" s="470"/>
    </row>
    <row r="12">
      <c r="A12" s="681">
        <f t="shared" si="1"/>
        <v>9</v>
      </c>
      <c r="B12" s="375" t="s">
        <v>2352</v>
      </c>
      <c r="C12" s="376"/>
      <c r="D12" s="377"/>
      <c r="E12" s="376"/>
      <c r="F12" s="377"/>
      <c r="G12" s="682"/>
      <c r="H12" s="442"/>
      <c r="I12" s="467"/>
      <c r="J12" s="421"/>
    </row>
    <row r="13">
      <c r="A13" s="683">
        <f t="shared" si="1"/>
        <v>10</v>
      </c>
      <c r="B13" s="382" t="s">
        <v>2360</v>
      </c>
      <c r="C13" s="370"/>
      <c r="D13" s="445"/>
      <c r="E13" s="370"/>
      <c r="F13" s="445"/>
      <c r="G13" s="684"/>
      <c r="H13" s="304"/>
      <c r="I13" s="305"/>
      <c r="J13" s="470"/>
    </row>
    <row r="14">
      <c r="A14" s="681">
        <f t="shared" si="1"/>
        <v>11</v>
      </c>
      <c r="B14" s="375" t="s">
        <v>2366</v>
      </c>
      <c r="C14" s="376"/>
      <c r="D14" s="377"/>
      <c r="E14" s="376"/>
      <c r="F14" s="377"/>
      <c r="G14" s="682"/>
      <c r="H14" s="442"/>
      <c r="I14" s="467"/>
      <c r="J14" s="421"/>
    </row>
    <row r="15">
      <c r="A15" s="683">
        <f t="shared" si="1"/>
        <v>12</v>
      </c>
      <c r="B15" s="382" t="s">
        <v>2372</v>
      </c>
      <c r="C15" s="370"/>
      <c r="D15" s="445"/>
      <c r="E15" s="370"/>
      <c r="F15" s="445"/>
      <c r="G15" s="684"/>
      <c r="H15" s="304"/>
      <c r="I15" s="305"/>
      <c r="J15" s="470"/>
    </row>
    <row r="16">
      <c r="A16" s="681">
        <f t="shared" si="1"/>
        <v>13</v>
      </c>
      <c r="B16" s="375" t="s">
        <v>2378</v>
      </c>
      <c r="C16" s="376"/>
      <c r="D16" s="377"/>
      <c r="E16" s="376"/>
      <c r="F16" s="377"/>
      <c r="G16" s="682"/>
      <c r="H16" s="442"/>
      <c r="I16" s="467"/>
      <c r="J16" s="421"/>
    </row>
    <row r="17">
      <c r="A17" s="683">
        <f t="shared" si="1"/>
        <v>14</v>
      </c>
      <c r="B17" s="382" t="s">
        <v>2386</v>
      </c>
      <c r="C17" s="370"/>
      <c r="D17" s="445"/>
      <c r="E17" s="370"/>
      <c r="F17" s="445"/>
      <c r="G17" s="684"/>
      <c r="H17" s="304"/>
      <c r="I17" s="305"/>
      <c r="J17" s="470"/>
    </row>
    <row r="18">
      <c r="A18" s="681">
        <f t="shared" si="1"/>
        <v>15</v>
      </c>
      <c r="B18" s="375" t="s">
        <v>2395</v>
      </c>
      <c r="C18" s="376"/>
      <c r="D18" s="377"/>
      <c r="E18" s="376"/>
      <c r="F18" s="377"/>
      <c r="G18" s="682"/>
      <c r="H18" s="442"/>
      <c r="I18" s="467"/>
      <c r="J18" s="421"/>
    </row>
    <row r="19">
      <c r="A19" s="683">
        <f t="shared" si="1"/>
        <v>16</v>
      </c>
      <c r="B19" s="382" t="s">
        <v>2402</v>
      </c>
      <c r="C19" s="370"/>
      <c r="D19" s="445"/>
      <c r="E19" s="370"/>
      <c r="F19" s="445"/>
      <c r="G19" s="684"/>
      <c r="H19" s="304"/>
      <c r="I19" s="305"/>
      <c r="J19" s="470"/>
    </row>
    <row r="20">
      <c r="A20" s="681">
        <f t="shared" si="1"/>
        <v>17</v>
      </c>
      <c r="B20" s="375" t="s">
        <v>2410</v>
      </c>
      <c r="C20" s="376"/>
      <c r="D20" s="377"/>
      <c r="E20" s="376"/>
      <c r="F20" s="377"/>
      <c r="G20" s="682"/>
      <c r="H20" s="442"/>
      <c r="I20" s="467"/>
      <c r="J20" s="421"/>
    </row>
    <row r="21">
      <c r="A21" s="683">
        <f t="shared" si="1"/>
        <v>18</v>
      </c>
      <c r="B21" s="382" t="s">
        <v>2416</v>
      </c>
      <c r="C21" s="370"/>
      <c r="D21" s="445"/>
      <c r="E21" s="370"/>
      <c r="F21" s="445"/>
      <c r="G21" s="684"/>
      <c r="H21" s="304"/>
      <c r="I21" s="305"/>
      <c r="J21" s="470"/>
    </row>
    <row r="22">
      <c r="A22" s="681">
        <f t="shared" si="1"/>
        <v>19</v>
      </c>
      <c r="B22" s="375" t="s">
        <v>2423</v>
      </c>
      <c r="C22" s="376"/>
      <c r="D22" s="377"/>
      <c r="E22" s="376"/>
      <c r="F22" s="377"/>
      <c r="G22" s="682"/>
      <c r="H22" s="442"/>
      <c r="I22" s="467"/>
      <c r="J22" s="421"/>
    </row>
    <row r="23">
      <c r="A23" s="683">
        <f t="shared" si="1"/>
        <v>20</v>
      </c>
      <c r="B23" s="382" t="s">
        <v>2432</v>
      </c>
      <c r="C23" s="370"/>
      <c r="D23" s="445"/>
      <c r="E23" s="370"/>
      <c r="F23" s="445"/>
      <c r="G23" s="684"/>
      <c r="H23" s="304"/>
      <c r="I23" s="305"/>
      <c r="J23" s="470"/>
    </row>
    <row r="24">
      <c r="A24" s="681">
        <f t="shared" si="1"/>
        <v>21</v>
      </c>
      <c r="B24" s="375" t="s">
        <v>2438</v>
      </c>
      <c r="C24" s="376"/>
      <c r="D24" s="377"/>
      <c r="E24" s="376"/>
      <c r="F24" s="377"/>
      <c r="G24" s="682"/>
      <c r="H24" s="442"/>
      <c r="I24" s="467"/>
      <c r="J24" s="421"/>
    </row>
    <row r="25">
      <c r="A25" s="683">
        <f t="shared" si="1"/>
        <v>22</v>
      </c>
      <c r="B25" s="382" t="s">
        <v>2446</v>
      </c>
      <c r="C25" s="370"/>
      <c r="D25" s="445"/>
      <c r="E25" s="370"/>
      <c r="F25" s="445"/>
      <c r="G25" s="684"/>
      <c r="H25" s="304"/>
      <c r="I25" s="305"/>
      <c r="J25" s="470"/>
    </row>
    <row r="26">
      <c r="A26" s="681">
        <f t="shared" si="1"/>
        <v>23</v>
      </c>
      <c r="B26" s="375" t="s">
        <v>2451</v>
      </c>
      <c r="C26" s="376"/>
      <c r="D26" s="377"/>
      <c r="E26" s="376"/>
      <c r="F26" s="377"/>
      <c r="G26" s="682"/>
      <c r="H26" s="442"/>
      <c r="I26" s="467"/>
      <c r="J26" s="421"/>
    </row>
    <row r="27">
      <c r="A27" s="683">
        <f t="shared" si="1"/>
        <v>24</v>
      </c>
      <c r="B27" s="382" t="s">
        <v>2462</v>
      </c>
      <c r="C27" s="370"/>
      <c r="D27" s="445"/>
      <c r="E27" s="370"/>
      <c r="F27" s="445"/>
      <c r="G27" s="684"/>
      <c r="H27" s="304"/>
      <c r="I27" s="305"/>
      <c r="J27" s="470"/>
    </row>
    <row r="28">
      <c r="A28" s="681">
        <f t="shared" si="1"/>
        <v>25</v>
      </c>
      <c r="B28" s="375" t="s">
        <v>2471</v>
      </c>
      <c r="C28" s="376"/>
      <c r="D28" s="377"/>
      <c r="E28" s="376"/>
      <c r="F28" s="377"/>
      <c r="G28" s="682"/>
      <c r="H28" s="442"/>
      <c r="I28" s="467"/>
      <c r="J28" s="421"/>
    </row>
    <row r="29">
      <c r="A29" s="683">
        <f t="shared" si="1"/>
        <v>26</v>
      </c>
      <c r="B29" s="382" t="s">
        <v>2479</v>
      </c>
      <c r="C29" s="370"/>
      <c r="D29" s="445"/>
      <c r="E29" s="370"/>
      <c r="F29" s="445"/>
      <c r="G29" s="684"/>
      <c r="H29" s="304"/>
      <c r="I29" s="305"/>
      <c r="J29" s="470"/>
    </row>
    <row r="30">
      <c r="A30" s="681">
        <f t="shared" si="1"/>
        <v>27</v>
      </c>
      <c r="B30" s="375" t="s">
        <v>2519</v>
      </c>
      <c r="C30" s="376"/>
      <c r="D30" s="377"/>
      <c r="E30" s="376"/>
      <c r="F30" s="377"/>
      <c r="G30" s="682"/>
      <c r="H30" s="442"/>
      <c r="I30" s="467"/>
      <c r="J30" s="421"/>
    </row>
    <row r="31">
      <c r="A31" s="683">
        <f t="shared" si="1"/>
        <v>28</v>
      </c>
      <c r="B31" s="382" t="s">
        <v>2531</v>
      </c>
      <c r="C31" s="370"/>
      <c r="D31" s="445"/>
      <c r="E31" s="370"/>
      <c r="F31" s="445"/>
      <c r="G31" s="684"/>
      <c r="H31" s="304"/>
      <c r="I31" s="305"/>
      <c r="J31" s="470"/>
    </row>
    <row r="32">
      <c r="A32" s="681">
        <f t="shared" si="1"/>
        <v>29</v>
      </c>
      <c r="B32" s="375" t="s">
        <v>491</v>
      </c>
      <c r="C32" s="376"/>
      <c r="D32" s="377"/>
      <c r="E32" s="376"/>
      <c r="F32" s="377"/>
      <c r="G32" s="682">
        <f>88457.52+61920.3+130000</f>
        <v>280377.82</v>
      </c>
      <c r="H32" s="442"/>
      <c r="I32" s="686" t="s">
        <v>2535</v>
      </c>
      <c r="J32" s="421"/>
    </row>
    <row r="33">
      <c r="A33" s="683">
        <f t="shared" si="1"/>
        <v>30</v>
      </c>
      <c r="B33" s="382" t="s">
        <v>2536</v>
      </c>
      <c r="C33" s="370"/>
      <c r="D33" s="445"/>
      <c r="E33" s="370"/>
      <c r="F33" s="445"/>
      <c r="G33" s="684"/>
      <c r="H33" s="304"/>
      <c r="I33" s="305"/>
      <c r="J33" s="470"/>
    </row>
    <row r="34">
      <c r="A34" s="681">
        <f t="shared" si="1"/>
        <v>31</v>
      </c>
      <c r="B34" s="375" t="s">
        <v>2537</v>
      </c>
      <c r="C34" s="376"/>
      <c r="D34" s="377"/>
      <c r="E34" s="376"/>
      <c r="F34" s="377"/>
      <c r="G34" s="682"/>
      <c r="H34" s="442"/>
      <c r="I34" s="467"/>
      <c r="J34" s="421"/>
    </row>
    <row r="35">
      <c r="A35" s="683">
        <f t="shared" si="1"/>
        <v>32</v>
      </c>
      <c r="B35" s="382" t="s">
        <v>2538</v>
      </c>
      <c r="C35" s="370"/>
      <c r="D35" s="445"/>
      <c r="E35" s="370"/>
      <c r="F35" s="445"/>
      <c r="G35" s="684"/>
      <c r="H35" s="304"/>
      <c r="I35" s="305"/>
      <c r="J35" s="470"/>
    </row>
    <row r="36">
      <c r="A36" s="512"/>
      <c r="B36" s="513" t="s">
        <v>1150</v>
      </c>
      <c r="C36" s="514">
        <f t="shared" ref="C36:H36" si="2">C37+C38+C39+C40+C41+C42+C43</f>
        <v>11320570</v>
      </c>
      <c r="D36" s="515">
        <f t="shared" si="2"/>
        <v>4484840</v>
      </c>
      <c r="E36" s="514">
        <f t="shared" si="2"/>
        <v>0</v>
      </c>
      <c r="F36" s="515">
        <f t="shared" si="2"/>
        <v>0</v>
      </c>
      <c r="G36" s="515">
        <f t="shared" si="2"/>
        <v>13932840</v>
      </c>
      <c r="H36" s="517">
        <f t="shared" si="2"/>
        <v>0</v>
      </c>
      <c r="I36" s="518"/>
      <c r="J36" s="519"/>
    </row>
    <row r="37">
      <c r="A37" s="409"/>
      <c r="B37" s="410" t="s">
        <v>2540</v>
      </c>
      <c r="C37" s="411">
        <v>6835730.0</v>
      </c>
      <c r="D37" s="412"/>
      <c r="E37" s="413"/>
      <c r="F37" s="414"/>
      <c r="G37" s="415">
        <v>9448000.0</v>
      </c>
      <c r="H37" s="416"/>
      <c r="I37" s="413"/>
      <c r="J37" s="417"/>
    </row>
    <row r="38">
      <c r="A38" s="521"/>
      <c r="B38" s="401" t="s">
        <v>1164</v>
      </c>
      <c r="C38" s="523">
        <v>510000.0</v>
      </c>
      <c r="D38" s="406">
        <v>510000.0</v>
      </c>
      <c r="E38" s="404"/>
      <c r="F38" s="405"/>
      <c r="G38" s="406">
        <v>510000.0</v>
      </c>
      <c r="H38" s="407"/>
      <c r="I38" s="404"/>
      <c r="J38" s="408"/>
    </row>
    <row r="39">
      <c r="A39" s="409"/>
      <c r="B39" s="410" t="s">
        <v>2541</v>
      </c>
      <c r="C39" s="524">
        <v>2100000.0</v>
      </c>
      <c r="D39" s="415">
        <v>2100000.0</v>
      </c>
      <c r="E39" s="525"/>
      <c r="F39" s="526"/>
      <c r="G39" s="415">
        <v>2100000.0</v>
      </c>
      <c r="H39" s="527"/>
      <c r="I39" s="525"/>
      <c r="J39" s="528"/>
    </row>
    <row r="40">
      <c r="A40" s="400"/>
      <c r="B40" s="401" t="s">
        <v>2543</v>
      </c>
      <c r="C40" s="402">
        <v>107800.0</v>
      </c>
      <c r="D40" s="406">
        <v>107800.0</v>
      </c>
      <c r="E40" s="529"/>
      <c r="F40" s="530"/>
      <c r="G40" s="406">
        <v>107800.0</v>
      </c>
      <c r="H40" s="531"/>
      <c r="I40" s="529"/>
      <c r="J40" s="532"/>
    </row>
    <row r="41">
      <c r="A41" s="409"/>
      <c r="B41" s="410" t="s">
        <v>2544</v>
      </c>
      <c r="C41" s="411">
        <v>220000.0</v>
      </c>
      <c r="D41" s="415">
        <v>220000.0</v>
      </c>
      <c r="E41" s="525"/>
      <c r="F41" s="526"/>
      <c r="G41" s="415">
        <v>220000.0</v>
      </c>
      <c r="H41" s="527"/>
      <c r="I41" s="525"/>
      <c r="J41" s="528"/>
    </row>
    <row r="42">
      <c r="A42" s="400"/>
      <c r="B42" s="401" t="s">
        <v>2547</v>
      </c>
      <c r="C42" s="402">
        <v>575520.0</v>
      </c>
      <c r="D42" s="403">
        <f t="shared" ref="D42:D43" si="3">C42</f>
        <v>575520</v>
      </c>
      <c r="E42" s="529"/>
      <c r="F42" s="530"/>
      <c r="G42" s="403">
        <f t="shared" ref="G42:G43" si="4">D42</f>
        <v>575520</v>
      </c>
      <c r="H42" s="534"/>
      <c r="I42" s="529"/>
      <c r="J42" s="532"/>
    </row>
    <row r="43">
      <c r="A43" s="409"/>
      <c r="B43" s="410" t="s">
        <v>2550</v>
      </c>
      <c r="C43" s="411">
        <v>971520.0</v>
      </c>
      <c r="D43" s="412">
        <f t="shared" si="3"/>
        <v>971520</v>
      </c>
      <c r="E43" s="525"/>
      <c r="F43" s="526"/>
      <c r="G43" s="412">
        <f t="shared" si="4"/>
        <v>971520</v>
      </c>
      <c r="H43" s="527"/>
      <c r="I43" s="525"/>
      <c r="J43" s="528"/>
    </row>
    <row r="44">
      <c r="A44" s="400"/>
      <c r="B44" s="401"/>
      <c r="C44" s="402"/>
      <c r="D44" s="403"/>
      <c r="E44" s="404"/>
      <c r="F44" s="405"/>
      <c r="G44" s="406"/>
      <c r="H44" s="407"/>
      <c r="I44" s="404"/>
      <c r="J44" s="408"/>
    </row>
    <row r="45">
      <c r="A45" s="409"/>
      <c r="B45" s="410"/>
      <c r="C45" s="411"/>
      <c r="D45" s="412"/>
      <c r="E45" s="413"/>
      <c r="F45" s="414"/>
      <c r="G45" s="415"/>
      <c r="H45" s="416"/>
      <c r="I45" s="413"/>
      <c r="J45" s="417"/>
    </row>
    <row r="46">
      <c r="A46" s="400"/>
      <c r="B46" s="401"/>
      <c r="C46" s="402"/>
      <c r="D46" s="403"/>
      <c r="E46" s="404"/>
      <c r="F46" s="405"/>
      <c r="G46" s="406"/>
      <c r="H46" s="407"/>
      <c r="I46" s="404"/>
      <c r="J46" s="408"/>
    </row>
    <row r="47">
      <c r="A47" s="409"/>
      <c r="B47" s="410"/>
      <c r="C47" s="411"/>
      <c r="D47" s="412"/>
      <c r="E47" s="413"/>
      <c r="F47" s="414"/>
      <c r="G47" s="415"/>
      <c r="H47" s="416"/>
      <c r="I47" s="413"/>
      <c r="J47" s="417"/>
    </row>
    <row r="48">
      <c r="A48" s="400"/>
      <c r="B48" s="401"/>
      <c r="C48" s="402"/>
      <c r="D48" s="403"/>
      <c r="E48" s="404"/>
      <c r="F48" s="405"/>
      <c r="G48" s="406"/>
      <c r="H48" s="407"/>
      <c r="I48" s="404"/>
      <c r="J48" s="408"/>
    </row>
    <row r="49">
      <c r="A49" s="409"/>
      <c r="B49" s="410"/>
      <c r="C49" s="411"/>
      <c r="D49" s="412"/>
      <c r="E49" s="413"/>
      <c r="F49" s="414"/>
      <c r="G49" s="415"/>
      <c r="H49" s="416"/>
      <c r="I49" s="413"/>
      <c r="J49" s="417"/>
    </row>
    <row r="50">
      <c r="A50" s="400"/>
      <c r="B50" s="401"/>
      <c r="C50" s="402"/>
      <c r="D50" s="403"/>
      <c r="E50" s="404"/>
      <c r="F50" s="405"/>
      <c r="G50" s="406"/>
      <c r="H50" s="407"/>
      <c r="I50" s="404"/>
      <c r="J50" s="408"/>
    </row>
    <row r="51">
      <c r="A51" s="409"/>
      <c r="B51" s="410"/>
      <c r="C51" s="411"/>
      <c r="D51" s="412"/>
      <c r="E51" s="413"/>
      <c r="F51" s="414"/>
      <c r="G51" s="415"/>
      <c r="H51" s="416"/>
      <c r="I51" s="413"/>
      <c r="J51" s="417"/>
    </row>
    <row r="52">
      <c r="A52" s="400"/>
      <c r="B52" s="401"/>
      <c r="C52" s="402"/>
      <c r="D52" s="403"/>
      <c r="E52" s="404"/>
      <c r="F52" s="405"/>
      <c r="G52" s="406"/>
      <c r="H52" s="407"/>
      <c r="I52" s="404"/>
      <c r="J52" s="408"/>
    </row>
    <row r="53">
      <c r="A53" s="409"/>
      <c r="B53" s="410"/>
      <c r="C53" s="411"/>
      <c r="D53" s="412"/>
      <c r="E53" s="413"/>
      <c r="F53" s="414"/>
      <c r="G53" s="415"/>
      <c r="H53" s="416"/>
      <c r="I53" s="413"/>
      <c r="J53" s="417"/>
    </row>
    <row r="54">
      <c r="A54" s="400"/>
      <c r="B54" s="401"/>
      <c r="C54" s="402"/>
      <c r="D54" s="403"/>
      <c r="E54" s="404"/>
      <c r="F54" s="405"/>
      <c r="G54" s="406"/>
      <c r="H54" s="407"/>
      <c r="I54" s="404"/>
      <c r="J54" s="408"/>
    </row>
    <row r="55">
      <c r="A55" s="409"/>
      <c r="B55" s="410"/>
      <c r="C55" s="411"/>
      <c r="D55" s="412"/>
      <c r="E55" s="413"/>
      <c r="F55" s="414"/>
      <c r="G55" s="415"/>
      <c r="H55" s="416"/>
      <c r="I55" s="413"/>
      <c r="J55" s="417"/>
    </row>
    <row r="56">
      <c r="A56" s="400"/>
      <c r="B56" s="401"/>
      <c r="C56" s="402"/>
      <c r="D56" s="403"/>
      <c r="E56" s="404"/>
      <c r="F56" s="405"/>
      <c r="G56" s="406"/>
      <c r="H56" s="407"/>
      <c r="I56" s="404"/>
      <c r="J56" s="408"/>
    </row>
    <row r="57">
      <c r="A57" s="409"/>
      <c r="B57" s="410"/>
      <c r="C57" s="411"/>
      <c r="D57" s="412"/>
      <c r="E57" s="413"/>
      <c r="F57" s="414"/>
      <c r="G57" s="415"/>
      <c r="H57" s="416"/>
      <c r="I57" s="413"/>
      <c r="J57" s="417"/>
    </row>
    <row r="58">
      <c r="A58" s="400"/>
      <c r="B58" s="401"/>
      <c r="C58" s="402"/>
      <c r="D58" s="403"/>
      <c r="E58" s="404"/>
      <c r="F58" s="405"/>
      <c r="G58" s="406"/>
      <c r="H58" s="407"/>
      <c r="I58" s="404"/>
      <c r="J58" s="408"/>
    </row>
    <row r="59">
      <c r="A59" s="409"/>
      <c r="B59" s="410"/>
      <c r="C59" s="411"/>
      <c r="D59" s="412"/>
      <c r="E59" s="413"/>
      <c r="F59" s="414"/>
      <c r="G59" s="415"/>
      <c r="H59" s="416"/>
      <c r="I59" s="413"/>
      <c r="J59" s="417"/>
    </row>
  </sheetData>
  <autoFilter ref="$A$1:$J$59"/>
  <conditionalFormatting sqref="D1:D59">
    <cfRule type="cellIs" dxfId="4" priority="1" operator="lessThan">
      <formula>0</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358"/>
      <c r="B1" s="359" t="s">
        <v>695</v>
      </c>
      <c r="C1" s="360" t="s">
        <v>696</v>
      </c>
      <c r="D1" s="361" t="s">
        <v>697</v>
      </c>
      <c r="E1" s="360" t="s">
        <v>698</v>
      </c>
      <c r="F1" s="361"/>
      <c r="G1" s="362" t="s">
        <v>699</v>
      </c>
      <c r="H1" s="363" t="s">
        <v>130</v>
      </c>
      <c r="I1" s="364" t="s">
        <v>700</v>
      </c>
      <c r="J1" s="365"/>
    </row>
    <row r="2">
      <c r="A2" s="5"/>
      <c r="B2" s="6" t="s">
        <v>2539</v>
      </c>
      <c r="C2" s="10"/>
      <c r="D2" s="12"/>
      <c r="E2" s="10"/>
      <c r="F2" s="12"/>
      <c r="G2" s="12"/>
      <c r="H2" s="16"/>
      <c r="I2" s="17"/>
      <c r="J2" s="18"/>
    </row>
    <row r="3">
      <c r="A3" s="19"/>
      <c r="B3" s="20"/>
      <c r="C3" s="21"/>
      <c r="D3" s="22"/>
      <c r="E3" s="373"/>
      <c r="F3" s="23"/>
      <c r="G3" s="23"/>
      <c r="H3" s="26"/>
      <c r="I3" s="27"/>
      <c r="J3" s="28"/>
    </row>
    <row r="4">
      <c r="A4" s="512"/>
      <c r="B4" s="513" t="s">
        <v>1150</v>
      </c>
      <c r="C4" s="514">
        <f t="shared" ref="C4:H4" si="1">C5+C6+C7+C8+C9+C10+C11</f>
        <v>11320570</v>
      </c>
      <c r="D4" s="515">
        <f t="shared" si="1"/>
        <v>4484840</v>
      </c>
      <c r="E4" s="514">
        <f t="shared" si="1"/>
        <v>0</v>
      </c>
      <c r="F4" s="515">
        <f t="shared" si="1"/>
        <v>0</v>
      </c>
      <c r="G4" s="515">
        <f t="shared" si="1"/>
        <v>13932840</v>
      </c>
      <c r="H4" s="517">
        <f t="shared" si="1"/>
        <v>0</v>
      </c>
      <c r="I4" s="518"/>
      <c r="J4" s="519"/>
    </row>
    <row r="5">
      <c r="A5" s="409"/>
      <c r="B5" s="410" t="s">
        <v>2542</v>
      </c>
      <c r="C5" s="411">
        <v>6835730.0</v>
      </c>
      <c r="D5" s="412"/>
      <c r="E5" s="413"/>
      <c r="F5" s="414"/>
      <c r="G5" s="415">
        <v>9448000.0</v>
      </c>
      <c r="H5" s="416"/>
      <c r="I5" s="413"/>
      <c r="J5" s="417"/>
    </row>
    <row r="6">
      <c r="A6" s="521"/>
      <c r="B6" s="401" t="s">
        <v>1164</v>
      </c>
      <c r="C6" s="523">
        <v>510000.0</v>
      </c>
      <c r="D6" s="406">
        <v>510000.0</v>
      </c>
      <c r="E6" s="404"/>
      <c r="F6" s="405"/>
      <c r="G6" s="406">
        <v>510000.0</v>
      </c>
      <c r="H6" s="407"/>
      <c r="I6" s="404"/>
      <c r="J6" s="408"/>
    </row>
    <row r="7">
      <c r="A7" s="409"/>
      <c r="B7" s="410" t="s">
        <v>2545</v>
      </c>
      <c r="C7" s="524">
        <v>2100000.0</v>
      </c>
      <c r="D7" s="415">
        <v>2100000.0</v>
      </c>
      <c r="E7" s="525"/>
      <c r="F7" s="526"/>
      <c r="G7" s="415">
        <v>2100000.0</v>
      </c>
      <c r="H7" s="527"/>
      <c r="I7" s="525"/>
      <c r="J7" s="528"/>
    </row>
    <row r="8">
      <c r="A8" s="400"/>
      <c r="B8" s="401" t="s">
        <v>2546</v>
      </c>
      <c r="C8" s="402">
        <v>107800.0</v>
      </c>
      <c r="D8" s="406">
        <v>107800.0</v>
      </c>
      <c r="E8" s="529"/>
      <c r="F8" s="530"/>
      <c r="G8" s="406">
        <v>107800.0</v>
      </c>
      <c r="H8" s="531"/>
      <c r="I8" s="529"/>
      <c r="J8" s="532"/>
    </row>
    <row r="9">
      <c r="A9" s="409"/>
      <c r="B9" s="410" t="s">
        <v>2548</v>
      </c>
      <c r="C9" s="411">
        <v>220000.0</v>
      </c>
      <c r="D9" s="415">
        <v>220000.0</v>
      </c>
      <c r="E9" s="525"/>
      <c r="F9" s="526"/>
      <c r="G9" s="415">
        <v>220000.0</v>
      </c>
      <c r="H9" s="527"/>
      <c r="I9" s="525"/>
      <c r="J9" s="528"/>
    </row>
    <row r="10">
      <c r="A10" s="400"/>
      <c r="B10" s="401" t="s">
        <v>2549</v>
      </c>
      <c r="C10" s="402">
        <v>575520.0</v>
      </c>
      <c r="D10" s="403">
        <f t="shared" ref="D10:D11" si="2">C10</f>
        <v>575520</v>
      </c>
      <c r="E10" s="529"/>
      <c r="F10" s="530"/>
      <c r="G10" s="403">
        <f t="shared" ref="G10:G11" si="3">D10</f>
        <v>575520</v>
      </c>
      <c r="H10" s="534"/>
      <c r="I10" s="529"/>
      <c r="J10" s="532"/>
    </row>
    <row r="11">
      <c r="A11" s="409"/>
      <c r="B11" s="410" t="s">
        <v>2551</v>
      </c>
      <c r="C11" s="411">
        <v>971520.0</v>
      </c>
      <c r="D11" s="412">
        <f t="shared" si="2"/>
        <v>971520</v>
      </c>
      <c r="E11" s="525"/>
      <c r="F11" s="526"/>
      <c r="G11" s="412">
        <f t="shared" si="3"/>
        <v>971520</v>
      </c>
      <c r="H11" s="527"/>
      <c r="I11" s="525"/>
      <c r="J11" s="528"/>
    </row>
    <row r="12">
      <c r="A12" s="512"/>
      <c r="B12" s="513" t="s">
        <v>452</v>
      </c>
      <c r="C12" s="514"/>
      <c r="D12" s="515"/>
      <c r="E12" s="514"/>
      <c r="F12" s="515"/>
      <c r="G12" s="515"/>
      <c r="H12" s="517"/>
      <c r="I12" s="518"/>
      <c r="J12" s="519"/>
    </row>
    <row r="13">
      <c r="A13" s="409"/>
      <c r="B13" s="410" t="s">
        <v>2552</v>
      </c>
      <c r="C13" s="411"/>
      <c r="D13" s="412"/>
      <c r="E13" s="413"/>
      <c r="F13" s="414"/>
      <c r="G13" s="415"/>
      <c r="H13" s="416"/>
      <c r="I13" s="413"/>
      <c r="J13" s="417"/>
    </row>
    <row r="14">
      <c r="A14" s="687"/>
      <c r="B14" s="688" t="s">
        <v>1505</v>
      </c>
      <c r="C14" s="689"/>
      <c r="D14" s="690"/>
      <c r="E14" s="691"/>
      <c r="F14" s="692"/>
      <c r="G14" s="690"/>
      <c r="H14" s="693"/>
      <c r="I14" s="694"/>
      <c r="J14" s="695"/>
    </row>
    <row r="15">
      <c r="A15" s="409"/>
      <c r="B15" s="410" t="s">
        <v>375</v>
      </c>
      <c r="C15" s="411"/>
      <c r="D15" s="412"/>
      <c r="E15" s="413"/>
      <c r="F15" s="414"/>
      <c r="G15" s="415"/>
      <c r="H15" s="416"/>
      <c r="I15" s="413"/>
      <c r="J15" s="417"/>
    </row>
    <row r="16">
      <c r="A16" s="400"/>
      <c r="B16" s="401" t="s">
        <v>376</v>
      </c>
      <c r="C16" s="402"/>
      <c r="D16" s="403"/>
      <c r="E16" s="404"/>
      <c r="F16" s="405"/>
      <c r="G16" s="406"/>
      <c r="H16" s="407"/>
      <c r="I16" s="404"/>
      <c r="J16" s="408"/>
    </row>
    <row r="17">
      <c r="A17" s="687"/>
      <c r="B17" s="688" t="s">
        <v>1383</v>
      </c>
      <c r="C17" s="689"/>
      <c r="D17" s="690"/>
      <c r="E17" s="691"/>
      <c r="F17" s="692"/>
      <c r="G17" s="690"/>
      <c r="H17" s="693"/>
      <c r="I17" s="694"/>
      <c r="J17" s="695"/>
    </row>
    <row r="18">
      <c r="A18" s="400"/>
      <c r="B18" s="401" t="s">
        <v>2553</v>
      </c>
      <c r="C18" s="402"/>
      <c r="D18" s="403"/>
      <c r="E18" s="404"/>
      <c r="F18" s="405"/>
      <c r="G18" s="406"/>
      <c r="H18" s="407"/>
      <c r="I18" s="404"/>
      <c r="J18" s="408"/>
    </row>
    <row r="19">
      <c r="A19" s="409"/>
      <c r="B19" s="410" t="s">
        <v>380</v>
      </c>
      <c r="C19" s="411"/>
      <c r="D19" s="412"/>
      <c r="E19" s="413"/>
      <c r="F19" s="414"/>
      <c r="G19" s="415"/>
      <c r="H19" s="416"/>
      <c r="I19" s="413"/>
      <c r="J19" s="417"/>
    </row>
    <row r="20">
      <c r="A20" s="687"/>
      <c r="B20" s="688" t="s">
        <v>1365</v>
      </c>
      <c r="C20" s="689"/>
      <c r="D20" s="690"/>
      <c r="E20" s="691"/>
      <c r="F20" s="692"/>
      <c r="G20" s="690"/>
      <c r="H20" s="693"/>
      <c r="I20" s="694"/>
      <c r="J20" s="695"/>
    </row>
    <row r="21">
      <c r="A21" s="409"/>
      <c r="B21" s="410" t="s">
        <v>382</v>
      </c>
      <c r="C21" s="411"/>
      <c r="D21" s="412"/>
      <c r="E21" s="413"/>
      <c r="F21" s="414"/>
      <c r="G21" s="415"/>
      <c r="H21" s="416"/>
      <c r="I21" s="413"/>
      <c r="J21" s="417"/>
    </row>
    <row r="22">
      <c r="A22" s="687"/>
      <c r="B22" s="688" t="s">
        <v>1365</v>
      </c>
      <c r="C22" s="689"/>
      <c r="D22" s="690"/>
      <c r="E22" s="691"/>
      <c r="F22" s="692"/>
      <c r="G22" s="690"/>
      <c r="H22" s="693"/>
      <c r="I22" s="694"/>
      <c r="J22" s="695"/>
    </row>
    <row r="23">
      <c r="A23" s="409"/>
      <c r="B23" s="410" t="s">
        <v>383</v>
      </c>
      <c r="C23" s="411"/>
      <c r="D23" s="412"/>
      <c r="E23" s="413"/>
      <c r="F23" s="414"/>
      <c r="G23" s="415"/>
      <c r="H23" s="416"/>
      <c r="I23" s="413"/>
      <c r="J23" s="417"/>
    </row>
    <row r="24">
      <c r="A24" s="400"/>
      <c r="B24" s="401" t="s">
        <v>386</v>
      </c>
      <c r="C24" s="402"/>
      <c r="D24" s="403"/>
      <c r="E24" s="404"/>
      <c r="F24" s="405"/>
      <c r="G24" s="406"/>
      <c r="H24" s="407"/>
      <c r="I24" s="404"/>
      <c r="J24" s="408"/>
    </row>
    <row r="25">
      <c r="A25" s="409"/>
      <c r="B25" s="410" t="s">
        <v>389</v>
      </c>
      <c r="C25" s="411"/>
      <c r="D25" s="412"/>
      <c r="E25" s="413"/>
      <c r="F25" s="414"/>
      <c r="G25" s="415"/>
      <c r="H25" s="416"/>
      <c r="I25" s="413"/>
      <c r="J25" s="417"/>
    </row>
    <row r="26">
      <c r="A26" s="400"/>
      <c r="B26" s="401" t="s">
        <v>392</v>
      </c>
      <c r="C26" s="402"/>
      <c r="D26" s="403"/>
      <c r="E26" s="404"/>
      <c r="F26" s="405"/>
      <c r="G26" s="406"/>
      <c r="H26" s="407"/>
      <c r="I26" s="404"/>
      <c r="J26" s="408"/>
    </row>
    <row r="27">
      <c r="A27" s="687"/>
      <c r="B27" s="688" t="s">
        <v>1400</v>
      </c>
      <c r="C27" s="689"/>
      <c r="D27" s="690"/>
      <c r="E27" s="691"/>
      <c r="F27" s="692"/>
      <c r="G27" s="690"/>
      <c r="H27" s="693"/>
      <c r="I27" s="694"/>
      <c r="J27" s="695"/>
    </row>
    <row r="28">
      <c r="A28" s="400"/>
      <c r="B28" s="401" t="s">
        <v>394</v>
      </c>
      <c r="C28" s="402"/>
      <c r="D28" s="403"/>
      <c r="E28" s="404"/>
      <c r="F28" s="405"/>
      <c r="G28" s="406"/>
      <c r="H28" s="407"/>
      <c r="I28" s="404"/>
      <c r="J28" s="408"/>
    </row>
    <row r="29">
      <c r="A29" s="409"/>
      <c r="B29" s="410" t="s">
        <v>396</v>
      </c>
      <c r="C29" s="411"/>
      <c r="D29" s="412"/>
      <c r="E29" s="413"/>
      <c r="F29" s="414"/>
      <c r="G29" s="415"/>
      <c r="H29" s="416"/>
      <c r="I29" s="413"/>
      <c r="J29" s="417"/>
    </row>
    <row r="30">
      <c r="A30" s="687"/>
      <c r="B30" s="688" t="s">
        <v>1342</v>
      </c>
      <c r="C30" s="689"/>
      <c r="D30" s="690"/>
      <c r="E30" s="691"/>
      <c r="F30" s="692"/>
      <c r="G30" s="690"/>
      <c r="H30" s="693"/>
      <c r="I30" s="694"/>
      <c r="J30" s="695"/>
    </row>
    <row r="31">
      <c r="A31" s="409"/>
      <c r="B31" s="410" t="s">
        <v>397</v>
      </c>
      <c r="C31" s="411"/>
      <c r="D31" s="412"/>
      <c r="E31" s="413"/>
      <c r="F31" s="414"/>
      <c r="G31" s="415"/>
      <c r="H31" s="416"/>
      <c r="I31" s="413"/>
      <c r="J31" s="417"/>
    </row>
    <row r="32">
      <c r="A32" s="400"/>
      <c r="B32" s="401"/>
      <c r="C32" s="402"/>
      <c r="D32" s="403"/>
      <c r="E32" s="404"/>
      <c r="F32" s="405"/>
      <c r="G32" s="406"/>
      <c r="H32" s="407"/>
      <c r="I32" s="404"/>
      <c r="J32" s="408"/>
    </row>
    <row r="33">
      <c r="A33" s="409"/>
      <c r="B33" s="410"/>
      <c r="C33" s="411"/>
      <c r="D33" s="412"/>
      <c r="E33" s="413"/>
      <c r="F33" s="414"/>
      <c r="G33" s="415"/>
      <c r="H33" s="416"/>
      <c r="I33" s="413"/>
      <c r="J33" s="417"/>
    </row>
    <row r="34">
      <c r="A34" s="400"/>
      <c r="B34" s="401"/>
      <c r="C34" s="402"/>
      <c r="D34" s="403"/>
      <c r="E34" s="404"/>
      <c r="F34" s="405"/>
      <c r="G34" s="406"/>
      <c r="H34" s="407"/>
      <c r="I34" s="404"/>
      <c r="J34" s="408"/>
    </row>
    <row r="35">
      <c r="A35" s="409"/>
      <c r="B35" s="410"/>
      <c r="C35" s="411"/>
      <c r="D35" s="412"/>
      <c r="E35" s="413"/>
      <c r="F35" s="414"/>
      <c r="G35" s="415"/>
      <c r="H35" s="416"/>
      <c r="I35" s="413"/>
      <c r="J35" s="417"/>
    </row>
    <row r="36">
      <c r="A36" s="400"/>
      <c r="B36" s="401"/>
      <c r="C36" s="402"/>
      <c r="D36" s="403"/>
      <c r="E36" s="404"/>
      <c r="F36" s="405"/>
      <c r="G36" s="406"/>
      <c r="H36" s="407"/>
      <c r="I36" s="404"/>
      <c r="J36" s="408"/>
    </row>
    <row r="37">
      <c r="A37" s="409"/>
      <c r="B37" s="410"/>
      <c r="C37" s="411"/>
      <c r="D37" s="412"/>
      <c r="E37" s="413"/>
      <c r="F37" s="414"/>
      <c r="G37" s="415"/>
      <c r="H37" s="416"/>
      <c r="I37" s="413"/>
      <c r="J37" s="417"/>
    </row>
    <row r="38">
      <c r="A38" s="400"/>
      <c r="B38" s="401"/>
      <c r="C38" s="402"/>
      <c r="D38" s="403"/>
      <c r="E38" s="404"/>
      <c r="F38" s="405"/>
      <c r="G38" s="406"/>
      <c r="H38" s="407"/>
      <c r="I38" s="404"/>
      <c r="J38" s="408"/>
    </row>
    <row r="39">
      <c r="A39" s="409"/>
      <c r="B39" s="410"/>
      <c r="C39" s="411"/>
      <c r="D39" s="412"/>
      <c r="E39" s="413"/>
      <c r="F39" s="414"/>
      <c r="G39" s="415"/>
      <c r="H39" s="416"/>
      <c r="I39" s="413"/>
      <c r="J39" s="417"/>
    </row>
    <row r="40">
      <c r="A40" s="400"/>
      <c r="B40" s="401"/>
      <c r="C40" s="402"/>
      <c r="D40" s="403"/>
      <c r="E40" s="404"/>
      <c r="F40" s="405"/>
      <c r="G40" s="406"/>
      <c r="H40" s="407"/>
      <c r="I40" s="404"/>
      <c r="J40" s="408"/>
    </row>
    <row r="41">
      <c r="A41" s="409"/>
      <c r="B41" s="410"/>
      <c r="C41" s="411"/>
      <c r="D41" s="412"/>
      <c r="E41" s="413"/>
      <c r="F41" s="414"/>
      <c r="G41" s="415"/>
      <c r="H41" s="416"/>
      <c r="I41" s="413"/>
      <c r="J41" s="417"/>
    </row>
    <row r="42">
      <c r="A42" s="400"/>
      <c r="B42" s="401"/>
      <c r="C42" s="402"/>
      <c r="D42" s="403"/>
      <c r="E42" s="404"/>
      <c r="F42" s="405"/>
      <c r="G42" s="406"/>
      <c r="H42" s="407"/>
      <c r="I42" s="404"/>
      <c r="J42" s="408"/>
    </row>
    <row r="43">
      <c r="A43" s="409"/>
      <c r="B43" s="410"/>
      <c r="C43" s="411"/>
      <c r="D43" s="412"/>
      <c r="E43" s="413"/>
      <c r="F43" s="414"/>
      <c r="G43" s="415"/>
      <c r="H43" s="416"/>
      <c r="I43" s="413"/>
      <c r="J43" s="417"/>
    </row>
    <row r="44">
      <c r="A44" s="400"/>
      <c r="B44" s="401"/>
      <c r="C44" s="402"/>
      <c r="D44" s="403"/>
      <c r="E44" s="404"/>
      <c r="F44" s="405"/>
      <c r="G44" s="406"/>
      <c r="H44" s="407"/>
      <c r="I44" s="404"/>
      <c r="J44" s="408"/>
    </row>
    <row r="45">
      <c r="A45" s="409"/>
      <c r="B45" s="410"/>
      <c r="C45" s="411"/>
      <c r="D45" s="412"/>
      <c r="E45" s="413"/>
      <c r="F45" s="414"/>
      <c r="G45" s="415"/>
      <c r="H45" s="416"/>
      <c r="I45" s="413"/>
      <c r="J45" s="417"/>
    </row>
    <row r="46">
      <c r="A46" s="400"/>
      <c r="B46" s="401"/>
      <c r="C46" s="402"/>
      <c r="D46" s="403"/>
      <c r="E46" s="404"/>
      <c r="F46" s="405"/>
      <c r="G46" s="406"/>
      <c r="H46" s="407"/>
      <c r="I46" s="404"/>
      <c r="J46" s="408"/>
    </row>
    <row r="47">
      <c r="A47" s="409"/>
      <c r="B47" s="410"/>
      <c r="C47" s="411"/>
      <c r="D47" s="412"/>
      <c r="E47" s="413"/>
      <c r="F47" s="414"/>
      <c r="G47" s="415"/>
      <c r="H47" s="416"/>
      <c r="I47" s="413"/>
      <c r="J47" s="417"/>
    </row>
  </sheetData>
  <autoFilter ref="$A$1:$J$47"/>
  <conditionalFormatting sqref="D1:D47">
    <cfRule type="cellIs" dxfId="4" priority="1" operator="lessThan">
      <formula>0</formula>
    </cfRule>
  </conditionalFormatting>
  <drawing r:id="rId1"/>
</worksheet>
</file>