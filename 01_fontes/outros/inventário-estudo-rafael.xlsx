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 selecionados" sheetId="1" state="visible" r:id="rId1"/>
    <sheet xmlns:r="http://schemas.openxmlformats.org/officeDocument/2006/relationships" name="Resumo por empresa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'Ativos selecionados'!$A$1:$N$109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18" customWidth="1" min="4" max="4"/>
    <col width="7" customWidth="1" min="5" max="5"/>
    <col width="40" customWidth="1" min="6" max="6"/>
    <col width="9" customWidth="1" min="7" max="7"/>
    <col width="11" customWidth="1" min="8" max="8"/>
    <col width="70" customWidth="1" min="9" max="9"/>
    <col width="28" customWidth="1" min="10" max="10"/>
    <col width="22" customWidth="1" min="11" max="11"/>
    <col width="18" customWidth="1" min="12" max="12"/>
    <col width="50" customWidth="1" min="13" max="13"/>
    <col width="10" customWidth="1" min="14" max="14"/>
  </cols>
  <sheetData>
    <row r="1">
      <c r="A1" s="1" t="inlineStr">
        <is>
          <t>Nº empresa</t>
        </is>
      </c>
      <c r="B1" s="1" t="inlineStr">
        <is>
          <t>Empresa</t>
        </is>
      </c>
      <c r="C1" s="1" t="inlineStr">
        <is>
          <t>CNPJ</t>
        </is>
      </c>
      <c r="D1" s="1" t="inlineStr">
        <is>
          <t>Categoria</t>
        </is>
      </c>
      <c r="E1" s="1" t="inlineStr">
        <is>
          <t>Item</t>
        </is>
      </c>
      <c r="F1" s="1" t="inlineStr">
        <is>
          <t>Loteamento</t>
        </is>
      </c>
      <c r="G1" s="1" t="inlineStr">
        <is>
          <t>Lote</t>
        </is>
      </c>
      <c r="H1" s="1" t="inlineStr">
        <is>
          <t>Quadra</t>
        </is>
      </c>
      <c r="I1" s="1" t="inlineStr">
        <is>
          <t>Descrição</t>
        </is>
      </c>
      <c r="J1" s="1" t="inlineStr">
        <is>
          <t>Matrícula(s)</t>
        </is>
      </c>
      <c r="K1" s="1" t="inlineStr">
        <is>
          <t>Área</t>
        </is>
      </c>
      <c r="L1" s="1" t="inlineStr">
        <is>
          <t>Valor (R$)</t>
        </is>
      </c>
      <c r="M1" s="1" t="inlineStr">
        <is>
          <t>Observação</t>
        </is>
      </c>
      <c r="N1" s="1" t="inlineStr">
        <is>
          <t>Página PDF</t>
        </is>
      </c>
    </row>
    <row r="2">
      <c r="A2" s="2" t="inlineStr">
        <is>
          <t>05</t>
        </is>
      </c>
      <c r="B2" t="inlineStr">
        <is>
          <t>HOTEL PRINCESA DOS VALES LTDA.</t>
        </is>
      </c>
      <c r="C2" t="inlineStr">
        <is>
          <t>89.471.270/0001-94</t>
        </is>
      </c>
      <c r="D2" t="inlineStr">
        <is>
          <t>Imóvel rural</t>
        </is>
      </c>
      <c r="E2" s="2" t="inlineStr">
        <is>
          <t>04</t>
        </is>
      </c>
      <c r="F2" t="inlineStr"/>
      <c r="G2" s="2" t="inlineStr"/>
      <c r="H2" s="2" t="inlineStr"/>
      <c r="I2" s="3" t="inlineStr">
        <is>
          <t>Terreno rural – SEDE CAMPESTRE (pavilhão, piscinas, casa, campos de futebol, lagos, alicerces para cabanas), Rua Luiz Siviero, Bairro Femaçã, Veranópolis. CCIR 2.481.947-6.</t>
        </is>
      </c>
      <c r="J2" s="2" t="inlineStr">
        <is>
          <t>1.941 e 7.104</t>
        </is>
      </c>
      <c r="K2" t="inlineStr">
        <is>
          <t>9,4 ha</t>
        </is>
      </c>
      <c r="L2" s="4" t="n">
        <v>5560857.5</v>
      </c>
      <c r="M2" s="3" t="inlineStr">
        <is>
          <t>Valor composto: terra + pavilhão + quiosque + casa + obras (ver aba Composição).</t>
        </is>
      </c>
      <c r="N2" t="inlineStr">
        <is>
          <t>4-5</t>
        </is>
      </c>
    </row>
    <row r="3">
      <c r="A3" s="2" t="inlineStr">
        <is>
          <t>05</t>
        </is>
      </c>
      <c r="B3" t="inlineStr">
        <is>
          <t>HOTEL PRINCESA DOS VALES LTDA.</t>
        </is>
      </c>
      <c r="C3" t="inlineStr">
        <is>
          <t>89.471.270/0001-94</t>
        </is>
      </c>
      <c r="D3" t="inlineStr">
        <is>
          <t>Imóvel rural</t>
        </is>
      </c>
      <c r="E3" s="2" t="inlineStr">
        <is>
          <t>05</t>
        </is>
      </c>
      <c r="F3" t="inlineStr"/>
      <c r="G3" s="2" t="inlineStr"/>
      <c r="H3" s="2" t="inlineStr"/>
      <c r="I3" s="3" t="inlineStr">
        <is>
          <t>Área de terras rurais – FAZENDA SÃO CRISPIN, Capela de São Sebastião, Distrito do Chimarrão, André da Rocha – RS. Área total 491,0 ha. CCIR 2.898.196-0.</t>
        </is>
      </c>
      <c r="J3" s="2" t="inlineStr">
        <is>
          <t>14.221; 13.615; 13.650; 00.760; 11.462; 05.435; 09.959; 04.443; 00.760; 12.473</t>
        </is>
      </c>
      <c r="K3" t="inlineStr">
        <is>
          <t>407,53 ha (491,0 ha total)</t>
        </is>
      </c>
      <c r="L3" s="4" t="n">
        <v>44828300</v>
      </c>
      <c r="M3" s="3" t="inlineStr">
        <is>
          <t>VENDIDA para a Família Rigo somente 83,47 ha desta área total, da Matrícula 00.760. Valor composto por áreas (ver aba Composição).</t>
        </is>
      </c>
      <c r="N3" t="inlineStr">
        <is>
          <t>5</t>
        </is>
      </c>
    </row>
    <row r="4">
      <c r="A4" s="2" t="inlineStr">
        <is>
          <t>05</t>
        </is>
      </c>
      <c r="B4" t="inlineStr">
        <is>
          <t>HOTEL PRINCESA DOS VALES LTDA.</t>
        </is>
      </c>
      <c r="C4" t="inlineStr">
        <is>
          <t>89.471.270/0001-94</t>
        </is>
      </c>
      <c r="D4" t="inlineStr">
        <is>
          <t>Imóvel rural</t>
        </is>
      </c>
      <c r="E4" s="2" t="inlineStr">
        <is>
          <t>06</t>
        </is>
      </c>
      <c r="F4" t="inlineStr"/>
      <c r="G4" s="2" t="inlineStr"/>
      <c r="H4" s="2" t="inlineStr"/>
      <c r="I4" s="3" t="inlineStr">
        <is>
          <t>Área de terras rurais – FAZENDA SÃO CRISPIN, 4,0 ha dentro de um todo maior, André da Rocha – RS, adquirida de Dirceu Prestes e Lairton por contrato de compra e venda (dez/2015).</t>
        </is>
      </c>
      <c r="J4" s="2" t="inlineStr">
        <is>
          <t>11.090</t>
        </is>
      </c>
      <c r="K4" t="inlineStr">
        <is>
          <t>4,0 ha</t>
        </is>
      </c>
      <c r="L4" s="4" t="n">
        <v>440000</v>
      </c>
      <c r="M4" s="3" t="inlineStr">
        <is>
          <t>Área Dirceu/Lairton – parte produtiva 100% = 4,0 ha × R$ 110.000,00. CCIR em branco no PDF.</t>
        </is>
      </c>
      <c r="N4" t="inlineStr">
        <is>
          <t>5</t>
        </is>
      </c>
    </row>
    <row r="5">
      <c r="A5" s="2" t="inlineStr">
        <is>
          <t>05</t>
        </is>
      </c>
      <c r="B5" t="inlineStr">
        <is>
          <t>HOTEL PRINCESA DOS VALES LTDA.</t>
        </is>
      </c>
      <c r="C5" t="inlineStr">
        <is>
          <t>89.471.270/0001-94</t>
        </is>
      </c>
      <c r="D5" t="inlineStr">
        <is>
          <t>Veículo</t>
        </is>
      </c>
      <c r="E5" s="2" t="inlineStr">
        <is>
          <t>08</t>
        </is>
      </c>
      <c r="F5" t="inlineStr"/>
      <c r="G5" s="2" t="inlineStr"/>
      <c r="H5" s="2" t="inlineStr"/>
      <c r="I5" s="3" t="inlineStr">
        <is>
          <t>Veículo Mercedinha MB 709 com boiadeiro, MERCEDES BENZ, ano/modelo 1991, placa JTB 8585.</t>
        </is>
      </c>
      <c r="J5" s="2" t="inlineStr"/>
      <c r="K5" t="inlineStr"/>
      <c r="L5" s="4" t="n">
        <v>85000</v>
      </c>
      <c r="M5" s="3" t="inlineStr"/>
      <c r="N5" t="inlineStr">
        <is>
          <t>5-6</t>
        </is>
      </c>
    </row>
    <row r="6">
      <c r="A6" s="2" t="inlineStr">
        <is>
          <t>06</t>
        </is>
      </c>
      <c r="B6" t="inlineStr">
        <is>
          <t>HOTEL ARAÇÁ LTDA.</t>
        </is>
      </c>
      <c r="C6" t="inlineStr">
        <is>
          <t>91.889.543/0001-67</t>
        </is>
      </c>
      <c r="D6" t="inlineStr">
        <is>
          <t>Lote urbano</t>
        </is>
      </c>
      <c r="E6" s="2" t="inlineStr">
        <is>
          <t>12</t>
        </is>
      </c>
      <c r="F6" t="inlineStr"/>
      <c r="G6" s="2" t="inlineStr">
        <is>
          <t>10</t>
        </is>
      </c>
      <c r="H6" s="2" t="inlineStr">
        <is>
          <t>38</t>
        </is>
      </c>
      <c r="I6" s="3" t="inlineStr">
        <is>
          <t>Lote urbano nº 10 – Quadra 38, Capão da Canoa – RS, Insc. Imob. 360.0038.010.000, Cód. Imóvel 039411, próximo ao Hotel Araçá. Adquirido de Hugo Ferri.</t>
        </is>
      </c>
      <c r="J6" s="2" t="inlineStr">
        <is>
          <t>11.990</t>
        </is>
      </c>
      <c r="K6" t="inlineStr">
        <is>
          <t>360,00 m²</t>
        </is>
      </c>
      <c r="L6" s="4" t="n">
        <v>390000</v>
      </c>
      <c r="M6" s="3" t="inlineStr"/>
      <c r="N6" t="inlineStr">
        <is>
          <t>6</t>
        </is>
      </c>
    </row>
    <row r="7">
      <c r="A7" s="2" t="inlineStr">
        <is>
          <t>06</t>
        </is>
      </c>
      <c r="B7" t="inlineStr">
        <is>
          <t>HOTEL ARAÇÁ LTDA.</t>
        </is>
      </c>
      <c r="C7" t="inlineStr">
        <is>
          <t>91.889.543/0001-67</t>
        </is>
      </c>
      <c r="D7" t="inlineStr">
        <is>
          <t>Lote urbano</t>
        </is>
      </c>
      <c r="E7" s="2" t="inlineStr">
        <is>
          <t>11</t>
        </is>
      </c>
      <c r="F7" t="inlineStr"/>
      <c r="G7" s="2" t="inlineStr">
        <is>
          <t>09</t>
        </is>
      </c>
      <c r="H7" s="2" t="inlineStr">
        <is>
          <t>38</t>
        </is>
      </c>
      <c r="I7" s="3" t="inlineStr">
        <is>
          <t>Lote urbano nº 09 – Quadra 38, Capão da Canoa – RS, Insc. Imob. 360.0038.009.000, Cód. Imóvel 039410, próximo ao Hotel Araçá. Adquirido de Hugo Ferri.</t>
        </is>
      </c>
      <c r="J7" s="2" t="inlineStr">
        <is>
          <t>37.846</t>
        </is>
      </c>
      <c r="K7" t="inlineStr">
        <is>
          <t>360,00 m²</t>
        </is>
      </c>
      <c r="L7" s="4" t="n">
        <v>390000</v>
      </c>
      <c r="M7" s="3" t="inlineStr"/>
      <c r="N7" t="inlineStr">
        <is>
          <t>6</t>
        </is>
      </c>
    </row>
    <row r="8">
      <c r="A8" s="2" t="inlineStr">
        <is>
          <t>06</t>
        </is>
      </c>
      <c r="B8" t="inlineStr">
        <is>
          <t>HOTEL ARAÇÁ LTDA.</t>
        </is>
      </c>
      <c r="C8" t="inlineStr">
        <is>
          <t>91.889.543/0001-67</t>
        </is>
      </c>
      <c r="D8" t="inlineStr">
        <is>
          <t>Lote urbano</t>
        </is>
      </c>
      <c r="E8" s="2" t="inlineStr">
        <is>
          <t>02</t>
        </is>
      </c>
      <c r="F8" t="inlineStr"/>
      <c r="G8" s="2" t="inlineStr">
        <is>
          <t>03</t>
        </is>
      </c>
      <c r="H8" s="2" t="inlineStr">
        <is>
          <t>19</t>
        </is>
      </c>
      <c r="I8" s="3" t="inlineStr">
        <is>
          <t>Lote urbano nº 03 – Quadra 19, Capão da Canoa – RS, Insc. Imob. 360.0019.003.000, Cód. Imóvel 038998, próximo ao Hotel Araçá – Casa da Praça.</t>
        </is>
      </c>
      <c r="J8" s="2" t="inlineStr">
        <is>
          <t>77.832 (antiga 37.549)</t>
        </is>
      </c>
      <c r="K8" t="inlineStr">
        <is>
          <t>450,00 m²</t>
        </is>
      </c>
      <c r="L8" s="4" t="n">
        <v>400000</v>
      </c>
      <c r="M8" s="3" t="inlineStr"/>
      <c r="N8" t="inlineStr">
        <is>
          <t>6</t>
        </is>
      </c>
    </row>
    <row r="9">
      <c r="A9" s="2" t="inlineStr">
        <is>
          <t>06</t>
        </is>
      </c>
      <c r="B9" t="inlineStr">
        <is>
          <t>HOTEL ARAÇÁ LTDA.</t>
        </is>
      </c>
      <c r="C9" t="inlineStr">
        <is>
          <t>91.889.543/0001-67</t>
        </is>
      </c>
      <c r="D9" t="inlineStr">
        <is>
          <t>Lote urbano</t>
        </is>
      </c>
      <c r="E9" s="2" t="inlineStr">
        <is>
          <t>18</t>
        </is>
      </c>
      <c r="F9" t="inlineStr"/>
      <c r="G9" s="2" t="inlineStr">
        <is>
          <t>27</t>
        </is>
      </c>
      <c r="H9" s="2" t="inlineStr">
        <is>
          <t>38</t>
        </is>
      </c>
      <c r="I9" s="3" t="inlineStr">
        <is>
          <t>Lote urbano nº 27 – Quadra 38, Capão da Canoa – RS, Insc. Imob. 360.0038.027.000, Cód. Imóvel 039426, próximo ao Hotel Araçá. Lote Estacionamento do Bigode.</t>
        </is>
      </c>
      <c r="J9" s="2" t="inlineStr">
        <is>
          <t>73.482</t>
        </is>
      </c>
      <c r="K9" t="inlineStr">
        <is>
          <t>360,00 m²</t>
        </is>
      </c>
      <c r="L9" s="4" t="n">
        <v>350000</v>
      </c>
      <c r="M9" s="3" t="inlineStr"/>
      <c r="N9" t="inlineStr">
        <is>
          <t>6-7</t>
        </is>
      </c>
    </row>
    <row r="10">
      <c r="A10" s="2" t="inlineStr">
        <is>
          <t>06</t>
        </is>
      </c>
      <c r="B10" t="inlineStr">
        <is>
          <t>HOTEL ARAÇÁ LTDA.</t>
        </is>
      </c>
      <c r="C10" t="inlineStr">
        <is>
          <t>91.889.543/0001-67</t>
        </is>
      </c>
      <c r="D10" t="inlineStr">
        <is>
          <t>Lote urbano</t>
        </is>
      </c>
      <c r="E10" s="2" t="inlineStr">
        <is>
          <t>19</t>
        </is>
      </c>
      <c r="F10" t="inlineStr"/>
      <c r="G10" s="2" t="inlineStr">
        <is>
          <t>28</t>
        </is>
      </c>
      <c r="H10" s="2" t="inlineStr">
        <is>
          <t>38</t>
        </is>
      </c>
      <c r="I10" s="3" t="inlineStr">
        <is>
          <t>Lote urbano nº 28 – Quadra 38, Capão da Canoa – RS, Insc. Imob. 360.0038.028.000, Cód. Imóvel 039427, próximo ao Hotel Araçá. Lote Estacionamento do Bigode.</t>
        </is>
      </c>
      <c r="J10" s="2" t="inlineStr">
        <is>
          <t>73.482</t>
        </is>
      </c>
      <c r="K10" t="inlineStr">
        <is>
          <t>360,00 m²</t>
        </is>
      </c>
      <c r="L10" s="4" t="n">
        <v>350000</v>
      </c>
      <c r="M10" s="3" t="inlineStr">
        <is>
          <t>Mesma matrícula (73.482) do item 18 no PDF – conferir.</t>
        </is>
      </c>
      <c r="N10" t="inlineStr">
        <is>
          <t>7</t>
        </is>
      </c>
    </row>
    <row r="11">
      <c r="A11" s="2" t="inlineStr">
        <is>
          <t>07</t>
        </is>
      </c>
      <c r="B11" t="inlineStr">
        <is>
          <t>RÁDIO COMUNIDADE PRINCESA DOS VALES FM LTDA.</t>
        </is>
      </c>
      <c r="C11" t="inlineStr">
        <is>
          <t>91.113.399/0001-72</t>
        </is>
      </c>
      <c r="D11" t="inlineStr">
        <is>
          <t>Veículo</t>
        </is>
      </c>
      <c r="E11" s="2" t="inlineStr"/>
      <c r="F11" t="inlineStr"/>
      <c r="G11" s="2" t="inlineStr"/>
      <c r="H11" s="2" t="inlineStr"/>
      <c r="I11" s="3" t="inlineStr">
        <is>
          <t>Veículo TOYOTA / BANDEIRANTE, diesel, ano/modelo 1980, cor verde, placa IHW 0285, emplacado em Veranópolis – RS.</t>
        </is>
      </c>
      <c r="J11" s="2" t="inlineStr"/>
      <c r="K11" t="inlineStr"/>
      <c r="L11" s="4" t="n">
        <v>70000</v>
      </c>
      <c r="M11" s="3" t="inlineStr">
        <is>
          <t>Sem número de item no PDF.</t>
        </is>
      </c>
      <c r="N11" t="inlineStr">
        <is>
          <t>7</t>
        </is>
      </c>
    </row>
    <row r="12">
      <c r="A12" s="2" t="inlineStr">
        <is>
          <t>10</t>
        </is>
      </c>
      <c r="B12" t="inlineStr">
        <is>
          <t>SIVIERO EMPREENDIMENTOS IMOBILIÁRIOS LTDA.</t>
        </is>
      </c>
      <c r="C12" t="inlineStr">
        <is>
          <t>89.472.195/0001-86</t>
        </is>
      </c>
      <c r="D12" t="inlineStr">
        <is>
          <t>Veículo</t>
        </is>
      </c>
      <c r="E12" s="2" t="inlineStr">
        <is>
          <t>14</t>
        </is>
      </c>
      <c r="F12" t="inlineStr"/>
      <c r="G12" s="2" t="inlineStr"/>
      <c r="H12" s="2" t="inlineStr"/>
      <c r="I12" s="3" t="inlineStr">
        <is>
          <t>Camionete FORD RANGER, cor prata, ano 2010, placa NPQ OI67.</t>
        </is>
      </c>
      <c r="J12" s="2" t="inlineStr"/>
      <c r="K12" t="inlineStr"/>
      <c r="L12" s="4" t="n">
        <v>67000</v>
      </c>
      <c r="M12" s="3" t="inlineStr">
        <is>
          <t>Placa transcrita como no PDF ("NPQ OI67").</t>
        </is>
      </c>
      <c r="N12" t="inlineStr">
        <is>
          <t>8</t>
        </is>
      </c>
    </row>
    <row r="13">
      <c r="A13" s="2" t="inlineStr">
        <is>
          <t>10</t>
        </is>
      </c>
      <c r="B13" t="inlineStr">
        <is>
          <t>SIVIERO EMPREENDIMENTOS IMOBILIÁRIOS LTDA.</t>
        </is>
      </c>
      <c r="C13" t="inlineStr">
        <is>
          <t>89.472.195/0001-86</t>
        </is>
      </c>
      <c r="D13" t="inlineStr">
        <is>
          <t>Lote urbano</t>
        </is>
      </c>
      <c r="E13" s="2" t="inlineStr">
        <is>
          <t>03</t>
        </is>
      </c>
      <c r="F13" t="inlineStr"/>
      <c r="G13" s="2" t="inlineStr"/>
      <c r="H13" s="2" t="inlineStr"/>
      <c r="I13" s="3" t="inlineStr">
        <is>
          <t>Lote urbano com casa/prédio, Av. Osvaldo Aranha nº 1398, Bairro Palugana, Veranópolis – escritório velho, alugado ao Sr. André (Bar do André). 19,00 m × 30,00 m.</t>
        </is>
      </c>
      <c r="J13" s="2" t="inlineStr">
        <is>
          <t>9</t>
        </is>
      </c>
      <c r="K13" t="inlineStr">
        <is>
          <t>570,00 m²</t>
        </is>
      </c>
      <c r="L13" s="4" t="n">
        <v>850000</v>
      </c>
      <c r="M13" s="3" t="inlineStr"/>
      <c r="N13" t="inlineStr">
        <is>
          <t>8</t>
        </is>
      </c>
    </row>
    <row r="14">
      <c r="A14" s="2" t="inlineStr">
        <is>
          <t>10</t>
        </is>
      </c>
      <c r="B14" t="inlineStr">
        <is>
          <t>SIVIERO EMPREENDIMENTOS IMOBILIÁRIOS LTDA.</t>
        </is>
      </c>
      <c r="C14" t="inlineStr">
        <is>
          <t>89.472.195/0001-86</t>
        </is>
      </c>
      <c r="D14" t="inlineStr">
        <is>
          <t>Lote urbano</t>
        </is>
      </c>
      <c r="E14" s="2" t="inlineStr">
        <is>
          <t>05</t>
        </is>
      </c>
      <c r="F14" t="inlineStr"/>
      <c r="G14" s="2" t="inlineStr"/>
      <c r="H14" s="2" t="inlineStr"/>
      <c r="I14" s="3" t="inlineStr">
        <is>
          <t>Lote urbano, Av. Osvaldo Aranha esquina com Rua Eduardo Duarte, Veranópolis, alugado ao Sr. Paulinho (baterias). 23,00 m × 15,00 m.</t>
        </is>
      </c>
      <c r="J14" s="2" t="inlineStr">
        <is>
          <t>1.507</t>
        </is>
      </c>
      <c r="K14" t="inlineStr">
        <is>
          <t>345,00 m²</t>
        </is>
      </c>
      <c r="L14" s="4" t="n">
        <v>550000</v>
      </c>
      <c r="M14" s="3" t="inlineStr"/>
      <c r="N14" t="inlineStr">
        <is>
          <t>8</t>
        </is>
      </c>
    </row>
    <row r="15">
      <c r="A15" s="2" t="inlineStr">
        <is>
          <t>10</t>
        </is>
      </c>
      <c r="B15" t="inlineStr">
        <is>
          <t>SIVIERO EMPREENDIMENTOS IMOBILIÁRIOS LTDA.</t>
        </is>
      </c>
      <c r="C15" t="inlineStr">
        <is>
          <t>89.472.195/0001-86</t>
        </is>
      </c>
      <c r="D15" t="inlineStr">
        <is>
          <t>Lote urbano</t>
        </is>
      </c>
      <c r="E15" s="2" t="inlineStr">
        <is>
          <t>06</t>
        </is>
      </c>
      <c r="F15" t="inlineStr"/>
      <c r="G15" s="2" t="inlineStr">
        <is>
          <t>0092</t>
        </is>
      </c>
      <c r="H15" s="2" t="inlineStr">
        <is>
          <t>020</t>
        </is>
      </c>
      <c r="I15" s="3" t="inlineStr">
        <is>
          <t>Lote urbano, Rua General Flores da Cunha, Centro, Veranópolis, adquirido da Família Dal Ponte – lote 0092, quadra 020, zona 02, distrito 01.</t>
        </is>
      </c>
      <c r="J15" s="2" t="inlineStr">
        <is>
          <t>3.788</t>
        </is>
      </c>
      <c r="K15" t="inlineStr">
        <is>
          <t>750,00 m²</t>
        </is>
      </c>
      <c r="L15" s="4" t="n">
        <v>1010000</v>
      </c>
      <c r="M15" s="3" t="inlineStr"/>
      <c r="N15" t="inlineStr">
        <is>
          <t>8</t>
        </is>
      </c>
    </row>
    <row r="16">
      <c r="A16" s="2" t="inlineStr">
        <is>
          <t>10</t>
        </is>
      </c>
      <c r="B16" t="inlineStr">
        <is>
          <t>SIVIERO EMPREENDIMENTOS IMOBILIÁRIOS LTDA.</t>
        </is>
      </c>
      <c r="C16" t="inlineStr">
        <is>
          <t>89.472.195/0001-86</t>
        </is>
      </c>
      <c r="D16" t="inlineStr">
        <is>
          <t>Lote urbano</t>
        </is>
      </c>
      <c r="E16" s="2" t="inlineStr">
        <is>
          <t>08</t>
        </is>
      </c>
      <c r="F16" t="inlineStr">
        <is>
          <t>LOTEAMENTO VERONA (Bento Gonçalves)</t>
        </is>
      </c>
      <c r="G16" s="2" t="inlineStr">
        <is>
          <t>188/62</t>
        </is>
      </c>
      <c r="H16" s="2" t="inlineStr">
        <is>
          <t>163/G</t>
        </is>
      </c>
      <c r="I16" s="3" t="inlineStr">
        <is>
          <t>Lote urbano em Bento Gonçalves – RS, lote 188/62, quadra 163/G, cadastro P.M. Bento Gonçalves nº 12482700, Loteamento Verona.</t>
        </is>
      </c>
      <c r="J16" s="2" t="inlineStr"/>
      <c r="K16" t="inlineStr"/>
      <c r="L16" s="4" t="n">
        <v>160000</v>
      </c>
      <c r="M16" s="3" t="inlineStr">
        <is>
          <t>Área e matrícula em branco no PDF.</t>
        </is>
      </c>
      <c r="N16" t="inlineStr">
        <is>
          <t>8</t>
        </is>
      </c>
    </row>
    <row r="17">
      <c r="A17" s="2" t="inlineStr">
        <is>
          <t>10</t>
        </is>
      </c>
      <c r="B17" t="inlineStr">
        <is>
          <t>SIVIERO EMPREENDIMENTOS IMOBILIÁRIOS LTDA.</t>
        </is>
      </c>
      <c r="C17" t="inlineStr">
        <is>
          <t>89.472.195/0001-86</t>
        </is>
      </c>
      <c r="D17" t="inlineStr">
        <is>
          <t>Área urbana</t>
        </is>
      </c>
      <c r="E17" s="2" t="inlineStr">
        <is>
          <t>04</t>
        </is>
      </c>
      <c r="F17" t="inlineStr"/>
      <c r="G17" s="2" t="inlineStr"/>
      <c r="H17" s="2" t="inlineStr"/>
      <c r="I17" s="3" t="inlineStr">
        <is>
          <t>Imóvel urbano, Rodovia BR 470 km 175,4, Bairro Valverde, Veranópolis, ao lado da Oleoplan S/A (unificação das matrículas 17.409 e 6.136). Pavilhões de 4.170,00 m² locados à Oleoplan S/A.</t>
        </is>
      </c>
      <c r="J17" s="2" t="inlineStr">
        <is>
          <t>29.954</t>
        </is>
      </c>
      <c r="K17" t="inlineStr">
        <is>
          <t>4.792,03 m²</t>
        </is>
      </c>
      <c r="L17" s="4" t="n">
        <v>10631378.6</v>
      </c>
      <c r="M17" s="3" t="inlineStr">
        <is>
          <t>Total do PDF não fecha com os componentes (R$ 9.584.060,00 + R$ 933.996,60 = R$ 10.518.056,60) – ver aba Composição.</t>
        </is>
      </c>
      <c r="N17" t="inlineStr">
        <is>
          <t>8-9</t>
        </is>
      </c>
    </row>
    <row r="18">
      <c r="A18" s="2" t="inlineStr">
        <is>
          <t>10</t>
        </is>
      </c>
      <c r="B18" t="inlineStr">
        <is>
          <t>SIVIERO EMPREENDIMENTOS IMOBILIÁRIOS LTDA.</t>
        </is>
      </c>
      <c r="C18" t="inlineStr">
        <is>
          <t>89.472.195/0001-86</t>
        </is>
      </c>
      <c r="D18" t="inlineStr">
        <is>
          <t>Área urbana</t>
        </is>
      </c>
      <c r="E18" s="2" t="inlineStr">
        <is>
          <t>02</t>
        </is>
      </c>
      <c r="F18" t="inlineStr"/>
      <c r="G18" s="2" t="inlineStr">
        <is>
          <t>0292</t>
        </is>
      </c>
      <c r="H18" s="2" t="inlineStr">
        <is>
          <t>009</t>
        </is>
      </c>
      <c r="I18" s="3" t="inlineStr">
        <is>
          <t>Imóvel urbano, lote 0292, quadra 009, zona 12, distrito 01, Linha Tomaz Flores, Estrada Velha da Vacaria, Sapopema, Veranópolis (próximo ao CTG Rincão da Roça Reúna). Adquirido da Família Lago.</t>
        </is>
      </c>
      <c r="J18" s="2" t="inlineStr">
        <is>
          <t>33.516</t>
        </is>
      </c>
      <c r="K18" t="inlineStr">
        <is>
          <t>4,0 ha (40.027,41 m² medidos)</t>
        </is>
      </c>
      <c r="L18" s="4" t="n">
        <v>1500000</v>
      </c>
      <c r="M18" s="3" t="inlineStr">
        <is>
          <t>Listado no PDF sob "Áreas rurais em Veranópolis, Cotiporã, Fagundes Varela e Caxias do Sul", mas descrito como área urbana.</t>
        </is>
      </c>
      <c r="N18" t="inlineStr">
        <is>
          <t>9</t>
        </is>
      </c>
    </row>
    <row r="19">
      <c r="A19" s="2" t="inlineStr">
        <is>
          <t>10</t>
        </is>
      </c>
      <c r="B19" t="inlineStr">
        <is>
          <t>SIVIERO EMPREENDIMENTOS IMOBILIÁRIOS LTDA.</t>
        </is>
      </c>
      <c r="C19" t="inlineStr">
        <is>
          <t>89.472.195/0001-86</t>
        </is>
      </c>
      <c r="D19" t="inlineStr">
        <is>
          <t>Lote em loteamento</t>
        </is>
      </c>
      <c r="E19" s="2" t="inlineStr"/>
      <c r="F19" t="inlineStr">
        <is>
          <t>01. LOTEAMENTO SOL NASCENTE I</t>
        </is>
      </c>
      <c r="G19" s="2" t="inlineStr">
        <is>
          <t>021</t>
        </is>
      </c>
      <c r="H19" s="2" t="inlineStr">
        <is>
          <t>D</t>
        </is>
      </c>
      <c r="I19" s="3" t="inlineStr"/>
      <c r="J19" s="2" t="inlineStr"/>
      <c r="K19" t="inlineStr"/>
      <c r="L19" s="4" t="n">
        <v>389000</v>
      </c>
      <c r="M19" s="3" t="inlineStr"/>
      <c r="N19" t="inlineStr">
        <is>
          <t>9</t>
        </is>
      </c>
    </row>
    <row r="20">
      <c r="A20" s="2" t="inlineStr">
        <is>
          <t>10</t>
        </is>
      </c>
      <c r="B20" t="inlineStr">
        <is>
          <t>SIVIERO EMPREENDIMENTOS IMOBILIÁRIOS LTDA.</t>
        </is>
      </c>
      <c r="C20" t="inlineStr">
        <is>
          <t>89.472.195/0001-86</t>
        </is>
      </c>
      <c r="D20" t="inlineStr">
        <is>
          <t>Lote em loteamento</t>
        </is>
      </c>
      <c r="E20" s="2" t="inlineStr"/>
      <c r="F20" t="inlineStr">
        <is>
          <t>01. LOTEAMENTO SOL NASCENTE I</t>
        </is>
      </c>
      <c r="G20" s="2" t="inlineStr">
        <is>
          <t>022</t>
        </is>
      </c>
      <c r="H20" s="2" t="inlineStr">
        <is>
          <t>D</t>
        </is>
      </c>
      <c r="I20" s="3" t="inlineStr"/>
      <c r="J20" s="2" t="inlineStr"/>
      <c r="K20" t="inlineStr"/>
      <c r="L20" s="4" t="n">
        <v>354000</v>
      </c>
      <c r="M20" s="3" t="inlineStr"/>
      <c r="N20" t="inlineStr">
        <is>
          <t>9</t>
        </is>
      </c>
    </row>
    <row r="21">
      <c r="A21" s="2" t="inlineStr">
        <is>
          <t>10</t>
        </is>
      </c>
      <c r="B21" t="inlineStr">
        <is>
          <t>SIVIERO EMPREENDIMENTOS IMOBILIÁRIOS LTDA.</t>
        </is>
      </c>
      <c r="C21" t="inlineStr">
        <is>
          <t>89.472.195/0001-86</t>
        </is>
      </c>
      <c r="D21" t="inlineStr">
        <is>
          <t>Lote em loteamento</t>
        </is>
      </c>
      <c r="E21" s="2" t="inlineStr"/>
      <c r="F21" t="inlineStr">
        <is>
          <t>06. LOTEAMENTO ADITIVO MEDIANEIRA</t>
        </is>
      </c>
      <c r="G21" s="2" t="inlineStr">
        <is>
          <t>003</t>
        </is>
      </c>
      <c r="H21" s="2" t="inlineStr">
        <is>
          <t>1</t>
        </is>
      </c>
      <c r="I21" s="3" t="inlineStr"/>
      <c r="J21" s="2" t="inlineStr"/>
      <c r="K21" t="inlineStr"/>
      <c r="L21" s="4" t="n">
        <v>214000</v>
      </c>
      <c r="M21" s="3" t="inlineStr"/>
      <c r="N21" t="inlineStr">
        <is>
          <t>9</t>
        </is>
      </c>
    </row>
    <row r="22">
      <c r="A22" s="2" t="inlineStr">
        <is>
          <t>10</t>
        </is>
      </c>
      <c r="B22" t="inlineStr">
        <is>
          <t>SIVIERO EMPREENDIMENTOS IMOBILIÁRIOS LTDA.</t>
        </is>
      </c>
      <c r="C22" t="inlineStr">
        <is>
          <t>89.472.195/0001-86</t>
        </is>
      </c>
      <c r="D22" t="inlineStr">
        <is>
          <t>Lote em loteamento</t>
        </is>
      </c>
      <c r="E22" s="2" t="inlineStr"/>
      <c r="F22" t="inlineStr">
        <is>
          <t>06. LOTEAMENTO ADITIVO MEDIANEIRA</t>
        </is>
      </c>
      <c r="G22" s="2" t="inlineStr">
        <is>
          <t>002</t>
        </is>
      </c>
      <c r="H22" s="2" t="inlineStr">
        <is>
          <t>6</t>
        </is>
      </c>
      <c r="I22" s="3" t="inlineStr"/>
      <c r="J22" s="2" t="inlineStr"/>
      <c r="K22" t="inlineStr"/>
      <c r="L22" s="4" t="n">
        <v>156000</v>
      </c>
      <c r="M22" s="3" t="inlineStr"/>
      <c r="N22" t="inlineStr">
        <is>
          <t>9</t>
        </is>
      </c>
    </row>
    <row r="23">
      <c r="A23" s="2" t="inlineStr">
        <is>
          <t>10</t>
        </is>
      </c>
      <c r="B23" t="inlineStr">
        <is>
          <t>SIVIERO EMPREENDIMENTOS IMOBILIÁRIOS LTDA.</t>
        </is>
      </c>
      <c r="C23" t="inlineStr">
        <is>
          <t>89.472.195/0001-86</t>
        </is>
      </c>
      <c r="D23" t="inlineStr">
        <is>
          <t>Lote em loteamento</t>
        </is>
      </c>
      <c r="E23" s="2" t="inlineStr"/>
      <c r="F23" t="inlineStr">
        <is>
          <t>06. LOTEAMENTO ADITIVO MEDIANEIRA</t>
        </is>
      </c>
      <c r="G23" s="2" t="inlineStr">
        <is>
          <t>003</t>
        </is>
      </c>
      <c r="H23" s="2" t="inlineStr">
        <is>
          <t>6</t>
        </is>
      </c>
      <c r="I23" s="3" t="inlineStr"/>
      <c r="J23" s="2" t="inlineStr"/>
      <c r="K23" t="inlineStr"/>
      <c r="L23" s="4" t="n">
        <v>156000</v>
      </c>
      <c r="M23" s="3" t="inlineStr"/>
      <c r="N23" t="inlineStr">
        <is>
          <t>9</t>
        </is>
      </c>
    </row>
    <row r="24">
      <c r="A24" s="2" t="inlineStr">
        <is>
          <t>10</t>
        </is>
      </c>
      <c r="B24" t="inlineStr">
        <is>
          <t>SIVIERO EMPREENDIMENTOS IMOBILIÁRIOS LTDA.</t>
        </is>
      </c>
      <c r="C24" t="inlineStr">
        <is>
          <t>89.472.195/0001-86</t>
        </is>
      </c>
      <c r="D24" t="inlineStr">
        <is>
          <t>Lote em loteamento</t>
        </is>
      </c>
      <c r="E24" s="2" t="inlineStr"/>
      <c r="F24" t="inlineStr">
        <is>
          <t>06. LOTEAMENTO ADITIVO MEDIANEIRA</t>
        </is>
      </c>
      <c r="G24" s="2" t="inlineStr">
        <is>
          <t>007</t>
        </is>
      </c>
      <c r="H24" s="2" t="inlineStr">
        <is>
          <t>8</t>
        </is>
      </c>
      <c r="I24" s="3" t="inlineStr"/>
      <c r="J24" s="2" t="inlineStr"/>
      <c r="K24" t="inlineStr"/>
      <c r="L24" s="4" t="n">
        <v>152000</v>
      </c>
      <c r="M24" s="3" t="inlineStr"/>
      <c r="N24" t="inlineStr">
        <is>
          <t>9</t>
        </is>
      </c>
    </row>
    <row r="25">
      <c r="A25" s="2" t="inlineStr">
        <is>
          <t>10</t>
        </is>
      </c>
      <c r="B25" t="inlineStr">
        <is>
          <t>SIVIERO EMPREENDIMENTOS IMOBILIÁRIOS LTDA.</t>
        </is>
      </c>
      <c r="C25" t="inlineStr">
        <is>
          <t>89.472.195/0001-86</t>
        </is>
      </c>
      <c r="D25" t="inlineStr">
        <is>
          <t>Lote em loteamento</t>
        </is>
      </c>
      <c r="E25" s="2" t="inlineStr"/>
      <c r="F25" t="inlineStr">
        <is>
          <t>07. COLINA DO RETIRO</t>
        </is>
      </c>
      <c r="G25" s="2" t="inlineStr">
        <is>
          <t>002</t>
        </is>
      </c>
      <c r="H25" s="2" t="inlineStr">
        <is>
          <t>05</t>
        </is>
      </c>
      <c r="I25" s="3" t="inlineStr"/>
      <c r="J25" s="2" t="inlineStr"/>
      <c r="K25" t="inlineStr"/>
      <c r="L25" s="4" t="n">
        <v>160000</v>
      </c>
      <c r="M25" s="3" t="inlineStr"/>
      <c r="N25" t="inlineStr">
        <is>
          <t>9</t>
        </is>
      </c>
    </row>
    <row r="26">
      <c r="A26" s="2" t="inlineStr">
        <is>
          <t>10</t>
        </is>
      </c>
      <c r="B26" t="inlineStr">
        <is>
          <t>SIVIERO EMPREENDIMENTOS IMOBILIÁRIOS LTDA.</t>
        </is>
      </c>
      <c r="C26" t="inlineStr">
        <is>
          <t>89.472.195/0001-86</t>
        </is>
      </c>
      <c r="D26" t="inlineStr">
        <is>
          <t>Lote em loteamento</t>
        </is>
      </c>
      <c r="E26" s="2" t="inlineStr"/>
      <c r="F26" t="inlineStr">
        <is>
          <t>07. COLINA DO RETIRO</t>
        </is>
      </c>
      <c r="G26" s="2" t="inlineStr">
        <is>
          <t>002</t>
        </is>
      </c>
      <c r="H26" s="2" t="inlineStr">
        <is>
          <t>09</t>
        </is>
      </c>
      <c r="I26" s="3" t="inlineStr"/>
      <c r="J26" s="2" t="inlineStr"/>
      <c r="K26" t="inlineStr"/>
      <c r="L26" s="4" t="n">
        <v>159000</v>
      </c>
      <c r="M26" s="3" t="inlineStr"/>
      <c r="N26" t="inlineStr">
        <is>
          <t>9</t>
        </is>
      </c>
    </row>
    <row r="27">
      <c r="A27" s="2" t="inlineStr">
        <is>
          <t>10</t>
        </is>
      </c>
      <c r="B27" t="inlineStr">
        <is>
          <t>SIVIERO EMPREENDIMENTOS IMOBILIÁRIOS LTDA.</t>
        </is>
      </c>
      <c r="C27" t="inlineStr">
        <is>
          <t>89.472.195/0001-86</t>
        </is>
      </c>
      <c r="D27" t="inlineStr">
        <is>
          <t>Lote em loteamento</t>
        </is>
      </c>
      <c r="E27" s="2" t="inlineStr"/>
      <c r="F27" t="inlineStr">
        <is>
          <t>07. COLINA DO RETIRO</t>
        </is>
      </c>
      <c r="G27" s="2" t="inlineStr">
        <is>
          <t>003</t>
        </is>
      </c>
      <c r="H27" s="2" t="inlineStr">
        <is>
          <t>09</t>
        </is>
      </c>
      <c r="I27" s="3" t="inlineStr"/>
      <c r="J27" s="2" t="inlineStr"/>
      <c r="K27" t="inlineStr"/>
      <c r="L27" s="4" t="n">
        <v>159000</v>
      </c>
      <c r="M27" s="3" t="inlineStr"/>
      <c r="N27" t="inlineStr">
        <is>
          <t>9</t>
        </is>
      </c>
    </row>
    <row r="28">
      <c r="A28" s="2" t="inlineStr">
        <is>
          <t>10</t>
        </is>
      </c>
      <c r="B28" t="inlineStr">
        <is>
          <t>SIVIERO EMPREENDIMENTOS IMOBILIÁRIOS LTDA.</t>
        </is>
      </c>
      <c r="C28" t="inlineStr">
        <is>
          <t>89.472.195/0001-86</t>
        </is>
      </c>
      <c r="D28" t="inlineStr">
        <is>
          <t>Lote em loteamento</t>
        </is>
      </c>
      <c r="E28" s="2" t="inlineStr"/>
      <c r="F28" t="inlineStr">
        <is>
          <t>08. LOTEAMENTO SALVADOR – ALBERTO SALVADOR – FEMAÇA II</t>
        </is>
      </c>
      <c r="G28" s="2" t="inlineStr">
        <is>
          <t>002</t>
        </is>
      </c>
      <c r="H28" s="2" t="inlineStr">
        <is>
          <t>02</t>
        </is>
      </c>
      <c r="I28" s="3" t="inlineStr"/>
      <c r="J28" s="2" t="inlineStr"/>
      <c r="K28" t="inlineStr"/>
      <c r="L28" s="4" t="n">
        <v>413000</v>
      </c>
      <c r="M28" s="3" t="inlineStr"/>
      <c r="N28" t="inlineStr">
        <is>
          <t>10</t>
        </is>
      </c>
    </row>
    <row r="29">
      <c r="A29" s="2" t="inlineStr">
        <is>
          <t>10</t>
        </is>
      </c>
      <c r="B29" t="inlineStr">
        <is>
          <t>SIVIERO EMPREENDIMENTOS IMOBILIÁRIOS LTDA.</t>
        </is>
      </c>
      <c r="C29" t="inlineStr">
        <is>
          <t>89.472.195/0001-86</t>
        </is>
      </c>
      <c r="D29" t="inlineStr">
        <is>
          <t>Lote em loteamento</t>
        </is>
      </c>
      <c r="E29" s="2" t="inlineStr"/>
      <c r="F29" t="inlineStr">
        <is>
          <t>08. LOTEAMENTO SALVADOR – ALBERTO SALVADOR – FEMAÇA II</t>
        </is>
      </c>
      <c r="G29" s="2" t="inlineStr">
        <is>
          <t>004</t>
        </is>
      </c>
      <c r="H29" s="2" t="inlineStr">
        <is>
          <t>02</t>
        </is>
      </c>
      <c r="I29" s="3" t="inlineStr"/>
      <c r="J29" s="2" t="inlineStr"/>
      <c r="K29" t="inlineStr"/>
      <c r="L29" s="4" t="n">
        <v>440000</v>
      </c>
      <c r="M29" s="3" t="inlineStr"/>
      <c r="N29" t="inlineStr">
        <is>
          <t>10</t>
        </is>
      </c>
    </row>
    <row r="30">
      <c r="A30" s="2" t="inlineStr">
        <is>
          <t>10</t>
        </is>
      </c>
      <c r="B30" t="inlineStr">
        <is>
          <t>SIVIERO EMPREENDIMENTOS IMOBILIÁRIOS LTDA.</t>
        </is>
      </c>
      <c r="C30" t="inlineStr">
        <is>
          <t>89.472.195/0001-86</t>
        </is>
      </c>
      <c r="D30" t="inlineStr">
        <is>
          <t>Lote em loteamento</t>
        </is>
      </c>
      <c r="E30" s="2" t="inlineStr"/>
      <c r="F30" t="inlineStr">
        <is>
          <t>08. LOTEAMENTO SALVADOR – ALBERTO SALVADOR – FEMAÇA II</t>
        </is>
      </c>
      <c r="G30" s="2" t="inlineStr">
        <is>
          <t>005</t>
        </is>
      </c>
      <c r="H30" s="2" t="inlineStr">
        <is>
          <t>02</t>
        </is>
      </c>
      <c r="I30" s="3" t="inlineStr"/>
      <c r="J30" s="2" t="inlineStr"/>
      <c r="K30" t="inlineStr"/>
      <c r="L30" s="4" t="n">
        <v>326000</v>
      </c>
      <c r="M30" s="3" t="inlineStr"/>
      <c r="N30" t="inlineStr">
        <is>
          <t>10</t>
        </is>
      </c>
    </row>
    <row r="31">
      <c r="A31" s="2" t="inlineStr">
        <is>
          <t>10</t>
        </is>
      </c>
      <c r="B31" t="inlineStr">
        <is>
          <t>SIVIERO EMPREENDIMENTOS IMOBILIÁRIOS LTDA.</t>
        </is>
      </c>
      <c r="C31" t="inlineStr">
        <is>
          <t>89.472.195/0001-86</t>
        </is>
      </c>
      <c r="D31" t="inlineStr">
        <is>
          <t>Lote em loteamento</t>
        </is>
      </c>
      <c r="E31" s="2" t="inlineStr"/>
      <c r="F31" t="inlineStr">
        <is>
          <t>08. LOTEAMENTO SALVADOR – ALBERTO SALVADOR – FEMAÇA II</t>
        </is>
      </c>
      <c r="G31" s="2" t="inlineStr">
        <is>
          <t>006</t>
        </is>
      </c>
      <c r="H31" s="2" t="inlineStr">
        <is>
          <t>02</t>
        </is>
      </c>
      <c r="I31" s="3" t="inlineStr"/>
      <c r="J31" s="2" t="inlineStr"/>
      <c r="K31" t="inlineStr"/>
      <c r="L31" s="4" t="n">
        <v>309000</v>
      </c>
      <c r="M31" s="3" t="inlineStr"/>
      <c r="N31" t="inlineStr">
        <is>
          <t>10</t>
        </is>
      </c>
    </row>
    <row r="32">
      <c r="A32" s="2" t="inlineStr">
        <is>
          <t>10</t>
        </is>
      </c>
      <c r="B32" t="inlineStr">
        <is>
          <t>SIVIERO EMPREENDIMENTOS IMOBILIÁRIOS LTDA.</t>
        </is>
      </c>
      <c r="C32" t="inlineStr">
        <is>
          <t>89.472.195/0001-86</t>
        </is>
      </c>
      <c r="D32" t="inlineStr">
        <is>
          <t>Lote em loteamento</t>
        </is>
      </c>
      <c r="E32" s="2" t="inlineStr"/>
      <c r="F32" t="inlineStr">
        <is>
          <t>08. LOTEAMENTO SALVADOR – ALBERTO SALVADOR – FEMAÇA II</t>
        </is>
      </c>
      <c r="G32" s="2" t="inlineStr">
        <is>
          <t>007</t>
        </is>
      </c>
      <c r="H32" s="2" t="inlineStr">
        <is>
          <t>02</t>
        </is>
      </c>
      <c r="I32" s="3" t="inlineStr"/>
      <c r="J32" s="2" t="inlineStr"/>
      <c r="K32" t="inlineStr"/>
      <c r="L32" s="4" t="n">
        <v>301000</v>
      </c>
      <c r="M32" s="3" t="inlineStr"/>
      <c r="N32" t="inlineStr">
        <is>
          <t>10</t>
        </is>
      </c>
    </row>
    <row r="33">
      <c r="A33" s="2" t="inlineStr">
        <is>
          <t>10</t>
        </is>
      </c>
      <c r="B33" t="inlineStr">
        <is>
          <t>SIVIERO EMPREENDIMENTOS IMOBILIÁRIOS LTDA.</t>
        </is>
      </c>
      <c r="C33" t="inlineStr">
        <is>
          <t>89.472.195/0001-86</t>
        </is>
      </c>
      <c r="D33" t="inlineStr">
        <is>
          <t>Lote em loteamento</t>
        </is>
      </c>
      <c r="E33" s="2" t="inlineStr"/>
      <c r="F33" t="inlineStr">
        <is>
          <t>09. LOTEAMENTO COLINA DO RETIRO II</t>
        </is>
      </c>
      <c r="G33" s="2" t="inlineStr">
        <is>
          <t>003</t>
        </is>
      </c>
      <c r="H33" s="2" t="inlineStr">
        <is>
          <t>01</t>
        </is>
      </c>
      <c r="I33" s="3" t="inlineStr"/>
      <c r="J33" s="2" t="inlineStr"/>
      <c r="K33" t="inlineStr"/>
      <c r="L33" s="4" t="n">
        <v>225000</v>
      </c>
      <c r="M33" s="3" t="inlineStr"/>
      <c r="N33" t="inlineStr">
        <is>
          <t>10</t>
        </is>
      </c>
    </row>
    <row r="34">
      <c r="A34" s="2" t="inlineStr">
        <is>
          <t>10</t>
        </is>
      </c>
      <c r="B34" t="inlineStr">
        <is>
          <t>SIVIERO EMPREENDIMENTOS IMOBILIÁRIOS LTDA.</t>
        </is>
      </c>
      <c r="C34" t="inlineStr">
        <is>
          <t>89.472.195/0001-86</t>
        </is>
      </c>
      <c r="D34" t="inlineStr">
        <is>
          <t>Lote em loteamento</t>
        </is>
      </c>
      <c r="E34" s="2" t="inlineStr"/>
      <c r="F34" t="inlineStr">
        <is>
          <t>09. LOTEAMENTO COLINA DO RETIRO II</t>
        </is>
      </c>
      <c r="G34" s="2" t="inlineStr">
        <is>
          <t>004</t>
        </is>
      </c>
      <c r="H34" s="2" t="inlineStr">
        <is>
          <t>01</t>
        </is>
      </c>
      <c r="I34" s="3" t="inlineStr"/>
      <c r="J34" s="2" t="inlineStr"/>
      <c r="K34" t="inlineStr"/>
      <c r="L34" s="4" t="n">
        <v>232000</v>
      </c>
      <c r="M34" s="3" t="inlineStr"/>
      <c r="N34" t="inlineStr">
        <is>
          <t>10</t>
        </is>
      </c>
    </row>
    <row r="35">
      <c r="A35" s="2" t="inlineStr">
        <is>
          <t>10</t>
        </is>
      </c>
      <c r="B35" t="inlineStr">
        <is>
          <t>SIVIERO EMPREENDIMENTOS IMOBILIÁRIOS LTDA.</t>
        </is>
      </c>
      <c r="C35" t="inlineStr">
        <is>
          <t>89.472.195/0001-86</t>
        </is>
      </c>
      <c r="D35" t="inlineStr">
        <is>
          <t>Lote em loteamento</t>
        </is>
      </c>
      <c r="E35" s="2" t="inlineStr"/>
      <c r="F35" t="inlineStr">
        <is>
          <t>09. LOTEAMENTO COLINA DO RETIRO II</t>
        </is>
      </c>
      <c r="G35" s="2" t="inlineStr">
        <is>
          <t>002</t>
        </is>
      </c>
      <c r="H35" s="2" t="inlineStr">
        <is>
          <t>02</t>
        </is>
      </c>
      <c r="I35" s="3" t="inlineStr"/>
      <c r="J35" s="2" t="inlineStr"/>
      <c r="K35" t="inlineStr"/>
      <c r="L35" s="4" t="n">
        <v>189000</v>
      </c>
      <c r="M35" s="3" t="inlineStr"/>
      <c r="N35" t="inlineStr">
        <is>
          <t>10</t>
        </is>
      </c>
    </row>
    <row r="36">
      <c r="A36" s="2" t="inlineStr">
        <is>
          <t>10</t>
        </is>
      </c>
      <c r="B36" t="inlineStr">
        <is>
          <t>SIVIERO EMPREENDIMENTOS IMOBILIÁRIOS LTDA.</t>
        </is>
      </c>
      <c r="C36" t="inlineStr">
        <is>
          <t>89.472.195/0001-86</t>
        </is>
      </c>
      <c r="D36" t="inlineStr">
        <is>
          <t>Lote em loteamento</t>
        </is>
      </c>
      <c r="E36" s="2" t="inlineStr"/>
      <c r="F36" t="inlineStr">
        <is>
          <t>09. LOTEAMENTO COLINA DO RETIRO II</t>
        </is>
      </c>
      <c r="G36" s="2" t="inlineStr">
        <is>
          <t>006</t>
        </is>
      </c>
      <c r="H36" s="2" t="inlineStr">
        <is>
          <t>02</t>
        </is>
      </c>
      <c r="I36" s="3" t="inlineStr"/>
      <c r="J36" s="2" t="inlineStr"/>
      <c r="K36" t="inlineStr"/>
      <c r="L36" s="4" t="n">
        <v>199000</v>
      </c>
      <c r="M36" s="3" t="inlineStr"/>
      <c r="N36" t="inlineStr">
        <is>
          <t>10</t>
        </is>
      </c>
    </row>
    <row r="37">
      <c r="A37" s="2" t="inlineStr">
        <is>
          <t>10</t>
        </is>
      </c>
      <c r="B37" t="inlineStr">
        <is>
          <t>SIVIERO EMPREENDIMENTOS IMOBILIÁRIOS LTDA.</t>
        </is>
      </c>
      <c r="C37" t="inlineStr">
        <is>
          <t>89.472.195/0001-86</t>
        </is>
      </c>
      <c r="D37" t="inlineStr">
        <is>
          <t>Lote em loteamento</t>
        </is>
      </c>
      <c r="E37" s="2" t="inlineStr"/>
      <c r="F37" t="inlineStr">
        <is>
          <t>09. LOTEAMENTO COLINA DO RETIRO II</t>
        </is>
      </c>
      <c r="G37" s="2" t="inlineStr">
        <is>
          <t>007</t>
        </is>
      </c>
      <c r="H37" s="2" t="inlineStr">
        <is>
          <t>02</t>
        </is>
      </c>
      <c r="I37" s="3" t="inlineStr"/>
      <c r="J37" s="2" t="inlineStr"/>
      <c r="K37" t="inlineStr"/>
      <c r="L37" s="4" t="n">
        <v>212000</v>
      </c>
      <c r="M37" s="3" t="inlineStr"/>
      <c r="N37" t="inlineStr">
        <is>
          <t>10</t>
        </is>
      </c>
    </row>
    <row r="38">
      <c r="A38" s="2" t="inlineStr">
        <is>
          <t>10</t>
        </is>
      </c>
      <c r="B38" t="inlineStr">
        <is>
          <t>SIVIERO EMPREENDIMENTOS IMOBILIÁRIOS LTDA.</t>
        </is>
      </c>
      <c r="C38" t="inlineStr">
        <is>
          <t>89.472.195/0001-86</t>
        </is>
      </c>
      <c r="D38" t="inlineStr">
        <is>
          <t>Lote em loteamento</t>
        </is>
      </c>
      <c r="E38" s="2" t="inlineStr"/>
      <c r="F38" t="inlineStr">
        <is>
          <t>09. LOTEAMENTO COLINA DO RETIRO II</t>
        </is>
      </c>
      <c r="G38" s="2" t="inlineStr">
        <is>
          <t>002</t>
        </is>
      </c>
      <c r="H38" s="2" t="inlineStr">
        <is>
          <t>04</t>
        </is>
      </c>
      <c r="I38" s="3" t="inlineStr"/>
      <c r="J38" s="2" t="inlineStr"/>
      <c r="K38" t="inlineStr"/>
      <c r="L38" s="4" t="n">
        <v>191000</v>
      </c>
      <c r="M38" s="3" t="inlineStr"/>
      <c r="N38" t="inlineStr">
        <is>
          <t>10</t>
        </is>
      </c>
    </row>
    <row r="39">
      <c r="A39" s="2" t="inlineStr">
        <is>
          <t>10</t>
        </is>
      </c>
      <c r="B39" t="inlineStr">
        <is>
          <t>SIVIERO EMPREENDIMENTOS IMOBILIÁRIOS LTDA.</t>
        </is>
      </c>
      <c r="C39" t="inlineStr">
        <is>
          <t>89.472.195/0001-86</t>
        </is>
      </c>
      <c r="D39" t="inlineStr">
        <is>
          <t>Lote em loteamento</t>
        </is>
      </c>
      <c r="E39" s="2" t="inlineStr"/>
      <c r="F39" t="inlineStr">
        <is>
          <t>09. LOTEAMENTO COLINA DO RETIRO II</t>
        </is>
      </c>
      <c r="G39" s="2" t="inlineStr">
        <is>
          <t>003</t>
        </is>
      </c>
      <c r="H39" s="2" t="inlineStr">
        <is>
          <t>04</t>
        </is>
      </c>
      <c r="I39" s="3" t="inlineStr"/>
      <c r="J39" s="2" t="inlineStr"/>
      <c r="K39" t="inlineStr"/>
      <c r="L39" s="4" t="n">
        <v>191000</v>
      </c>
      <c r="M39" s="3" t="inlineStr"/>
      <c r="N39" t="inlineStr">
        <is>
          <t>10</t>
        </is>
      </c>
    </row>
    <row r="40">
      <c r="A40" s="2" t="inlineStr">
        <is>
          <t>10</t>
        </is>
      </c>
      <c r="B40" t="inlineStr">
        <is>
          <t>SIVIERO EMPREENDIMENTOS IMOBILIÁRIOS LTDA.</t>
        </is>
      </c>
      <c r="C40" t="inlineStr">
        <is>
          <t>89.472.195/0001-86</t>
        </is>
      </c>
      <c r="D40" t="inlineStr">
        <is>
          <t>Lote em loteamento</t>
        </is>
      </c>
      <c r="E40" s="2" t="inlineStr"/>
      <c r="F40" t="inlineStr">
        <is>
          <t>09. LOTEAMENTO COLINA DO RETIRO II</t>
        </is>
      </c>
      <c r="G40" s="2" t="inlineStr">
        <is>
          <t>006</t>
        </is>
      </c>
      <c r="H40" s="2" t="inlineStr">
        <is>
          <t>04</t>
        </is>
      </c>
      <c r="I40" s="3" t="inlineStr"/>
      <c r="J40" s="2" t="inlineStr"/>
      <c r="K40" t="inlineStr"/>
      <c r="L40" s="4" t="n">
        <v>212000</v>
      </c>
      <c r="M40" s="3" t="inlineStr"/>
      <c r="N40" t="inlineStr">
        <is>
          <t>10</t>
        </is>
      </c>
    </row>
    <row r="41">
      <c r="A41" s="2" t="inlineStr">
        <is>
          <t>10</t>
        </is>
      </c>
      <c r="B41" t="inlineStr">
        <is>
          <t>SIVIERO EMPREENDIMENTOS IMOBILIÁRIOS LTDA.</t>
        </is>
      </c>
      <c r="C41" t="inlineStr">
        <is>
          <t>89.472.195/0001-86</t>
        </is>
      </c>
      <c r="D41" t="inlineStr">
        <is>
          <t>Lote em loteamento</t>
        </is>
      </c>
      <c r="E41" s="2" t="inlineStr"/>
      <c r="F41" t="inlineStr">
        <is>
          <t>09. LOTEAMENTO COLINA DO RETIRO II</t>
        </is>
      </c>
      <c r="G41" s="2" t="inlineStr">
        <is>
          <t>007</t>
        </is>
      </c>
      <c r="H41" s="2" t="inlineStr">
        <is>
          <t>04</t>
        </is>
      </c>
      <c r="I41" s="3" t="inlineStr"/>
      <c r="J41" s="2" t="inlineStr"/>
      <c r="K41" t="inlineStr"/>
      <c r="L41" s="4" t="n">
        <v>185000</v>
      </c>
      <c r="M41" s="3" t="inlineStr"/>
      <c r="N41" t="inlineStr">
        <is>
          <t>10</t>
        </is>
      </c>
    </row>
    <row r="42">
      <c r="A42" s="2" t="inlineStr">
        <is>
          <t>10</t>
        </is>
      </c>
      <c r="B42" t="inlineStr">
        <is>
          <t>SIVIERO EMPREENDIMENTOS IMOBILIÁRIOS LTDA.</t>
        </is>
      </c>
      <c r="C42" t="inlineStr">
        <is>
          <t>89.472.195/0001-86</t>
        </is>
      </c>
      <c r="D42" t="inlineStr">
        <is>
          <t>Lote em loteamento</t>
        </is>
      </c>
      <c r="E42" s="2" t="inlineStr"/>
      <c r="F42" t="inlineStr">
        <is>
          <t>09. LOTEAMENTO COLINA DO RETIRO II</t>
        </is>
      </c>
      <c r="G42" s="2" t="inlineStr">
        <is>
          <t>011</t>
        </is>
      </c>
      <c r="H42" s="2" t="inlineStr">
        <is>
          <t>04</t>
        </is>
      </c>
      <c r="I42" s="3" t="inlineStr"/>
      <c r="J42" s="2" t="inlineStr"/>
      <c r="K42" t="inlineStr"/>
      <c r="L42" s="4" t="n">
        <v>191000</v>
      </c>
      <c r="M42" s="3" t="inlineStr"/>
      <c r="N42" t="inlineStr">
        <is>
          <t>10</t>
        </is>
      </c>
    </row>
    <row r="43">
      <c r="A43" s="2" t="inlineStr">
        <is>
          <t>10</t>
        </is>
      </c>
      <c r="B43" t="inlineStr">
        <is>
          <t>SIVIERO EMPREENDIMENTOS IMOBILIÁRIOS LTDA.</t>
        </is>
      </c>
      <c r="C43" t="inlineStr">
        <is>
          <t>89.472.195/0001-86</t>
        </is>
      </c>
      <c r="D43" t="inlineStr">
        <is>
          <t>Lote em loteamento</t>
        </is>
      </c>
      <c r="E43" s="2" t="inlineStr"/>
      <c r="F43" t="inlineStr">
        <is>
          <t>09. LOTEAMENTO COLINA DO RETIRO II</t>
        </is>
      </c>
      <c r="G43" s="2" t="inlineStr">
        <is>
          <t>012</t>
        </is>
      </c>
      <c r="H43" s="2" t="inlineStr">
        <is>
          <t>04</t>
        </is>
      </c>
      <c r="I43" s="3" t="inlineStr"/>
      <c r="J43" s="2" t="inlineStr"/>
      <c r="K43" t="inlineStr"/>
      <c r="L43" s="4" t="n">
        <v>191000</v>
      </c>
      <c r="M43" s="3" t="inlineStr"/>
      <c r="N43" t="inlineStr">
        <is>
          <t>10</t>
        </is>
      </c>
    </row>
    <row r="44">
      <c r="A44" s="2" t="inlineStr">
        <is>
          <t>10</t>
        </is>
      </c>
      <c r="B44" t="inlineStr">
        <is>
          <t>SIVIERO EMPREENDIMENTOS IMOBILIÁRIOS LTDA.</t>
        </is>
      </c>
      <c r="C44" t="inlineStr">
        <is>
          <t>89.472.195/0001-86</t>
        </is>
      </c>
      <c r="D44" t="inlineStr">
        <is>
          <t>Lote em loteamento</t>
        </is>
      </c>
      <c r="E44" s="2" t="inlineStr"/>
      <c r="F44" t="inlineStr">
        <is>
          <t>09. LOTEAMENTO COLINA DO RETIRO II</t>
        </is>
      </c>
      <c r="G44" s="2" t="inlineStr">
        <is>
          <t>012</t>
        </is>
      </c>
      <c r="H44" s="2" t="inlineStr">
        <is>
          <t>05</t>
        </is>
      </c>
      <c r="I44" s="3" t="inlineStr"/>
      <c r="J44" s="2" t="inlineStr"/>
      <c r="K44" t="inlineStr"/>
      <c r="L44" s="4" t="n">
        <v>206000</v>
      </c>
      <c r="M44" s="3" t="inlineStr"/>
      <c r="N44" t="inlineStr">
        <is>
          <t>10</t>
        </is>
      </c>
    </row>
    <row r="45">
      <c r="A45" s="2" t="inlineStr">
        <is>
          <t>10</t>
        </is>
      </c>
      <c r="B45" t="inlineStr">
        <is>
          <t>SIVIERO EMPREENDIMENTOS IMOBILIÁRIOS LTDA.</t>
        </is>
      </c>
      <c r="C45" t="inlineStr">
        <is>
          <t>89.472.195/0001-86</t>
        </is>
      </c>
      <c r="D45" t="inlineStr">
        <is>
          <t>Lote em loteamento</t>
        </is>
      </c>
      <c r="E45" s="2" t="inlineStr"/>
      <c r="F45" t="inlineStr">
        <is>
          <t>09. LOTEAMENTO COLINA DO RETIRO II</t>
        </is>
      </c>
      <c r="G45" s="2" t="inlineStr">
        <is>
          <t>001</t>
        </is>
      </c>
      <c r="H45" s="2" t="inlineStr">
        <is>
          <t>06</t>
        </is>
      </c>
      <c r="I45" s="3" t="inlineStr"/>
      <c r="J45" s="2" t="inlineStr"/>
      <c r="K45" t="inlineStr"/>
      <c r="L45" s="4" t="n">
        <v>182000</v>
      </c>
      <c r="M45" s="3" t="inlineStr"/>
      <c r="N45" t="inlineStr">
        <is>
          <t>10</t>
        </is>
      </c>
    </row>
    <row r="46">
      <c r="A46" s="2" t="inlineStr">
        <is>
          <t>10</t>
        </is>
      </c>
      <c r="B46" t="inlineStr">
        <is>
          <t>SIVIERO EMPREENDIMENTOS IMOBILIÁRIOS LTDA.</t>
        </is>
      </c>
      <c r="C46" t="inlineStr">
        <is>
          <t>89.472.195/0001-86</t>
        </is>
      </c>
      <c r="D46" t="inlineStr">
        <is>
          <t>Lote em loteamento</t>
        </is>
      </c>
      <c r="E46" s="2" t="inlineStr"/>
      <c r="F46" t="inlineStr">
        <is>
          <t>09. LOTEAMENTO COLINA DO RETIRO II</t>
        </is>
      </c>
      <c r="G46" s="2" t="inlineStr">
        <is>
          <t>002</t>
        </is>
      </c>
      <c r="H46" s="2" t="inlineStr">
        <is>
          <t>10</t>
        </is>
      </c>
      <c r="I46" s="3" t="inlineStr"/>
      <c r="J46" s="2" t="inlineStr"/>
      <c r="K46" t="inlineStr"/>
      <c r="L46" s="4" t="n">
        <v>162000</v>
      </c>
      <c r="M46" s="3" t="inlineStr"/>
      <c r="N46" t="inlineStr">
        <is>
          <t>10</t>
        </is>
      </c>
    </row>
    <row r="47">
      <c r="A47" s="2" t="inlineStr">
        <is>
          <t>10</t>
        </is>
      </c>
      <c r="B47" t="inlineStr">
        <is>
          <t>SIVIERO EMPREENDIMENTOS IMOBILIÁRIOS LTDA.</t>
        </is>
      </c>
      <c r="C47" t="inlineStr">
        <is>
          <t>89.472.195/0001-86</t>
        </is>
      </c>
      <c r="D47" t="inlineStr">
        <is>
          <t>Lote em loteamento</t>
        </is>
      </c>
      <c r="E47" s="2" t="inlineStr"/>
      <c r="F47" t="inlineStr">
        <is>
          <t>09. LOTEAMENTO COLINA DO RETIRO II</t>
        </is>
      </c>
      <c r="G47" s="2" t="inlineStr">
        <is>
          <t>009</t>
        </is>
      </c>
      <c r="H47" s="2" t="inlineStr">
        <is>
          <t>10</t>
        </is>
      </c>
      <c r="I47" s="3" t="inlineStr"/>
      <c r="J47" s="2" t="inlineStr"/>
      <c r="K47" t="inlineStr"/>
      <c r="L47" s="4" t="n">
        <v>169000</v>
      </c>
      <c r="M47" s="3" t="inlineStr"/>
      <c r="N47" t="inlineStr">
        <is>
          <t>10</t>
        </is>
      </c>
    </row>
    <row r="48">
      <c r="A48" s="2" t="inlineStr">
        <is>
          <t>10</t>
        </is>
      </c>
      <c r="B48" t="inlineStr">
        <is>
          <t>SIVIERO EMPREENDIMENTOS IMOBILIÁRIOS LTDA.</t>
        </is>
      </c>
      <c r="C48" t="inlineStr">
        <is>
          <t>89.472.195/0001-86</t>
        </is>
      </c>
      <c r="D48" t="inlineStr">
        <is>
          <t>Lote em loteamento</t>
        </is>
      </c>
      <c r="E48" s="2" t="inlineStr"/>
      <c r="F48" t="inlineStr">
        <is>
          <t>09. LOTEAMENTO COLINA DO RETIRO II</t>
        </is>
      </c>
      <c r="G48" s="2" t="inlineStr">
        <is>
          <t>010</t>
        </is>
      </c>
      <c r="H48" s="2" t="inlineStr">
        <is>
          <t>10</t>
        </is>
      </c>
      <c r="I48" s="3" t="inlineStr"/>
      <c r="J48" s="2" t="inlineStr"/>
      <c r="K48" t="inlineStr"/>
      <c r="L48" s="4" t="n">
        <v>204000</v>
      </c>
      <c r="M48" s="3" t="inlineStr"/>
      <c r="N48" t="inlineStr">
        <is>
          <t>10</t>
        </is>
      </c>
    </row>
    <row r="49">
      <c r="A49" s="2" t="inlineStr">
        <is>
          <t>10</t>
        </is>
      </c>
      <c r="B49" t="inlineStr">
        <is>
          <t>SIVIERO EMPREENDIMENTOS IMOBILIÁRIOS LTDA.</t>
        </is>
      </c>
      <c r="C49" t="inlineStr">
        <is>
          <t>89.472.195/0001-86</t>
        </is>
      </c>
      <c r="D49" t="inlineStr">
        <is>
          <t>Lote em loteamento</t>
        </is>
      </c>
      <c r="E49" s="2" t="inlineStr"/>
      <c r="F49" t="inlineStr">
        <is>
          <t>09. LOTEAMENTO COLINA DO RETIRO II</t>
        </is>
      </c>
      <c r="G49" s="2" t="inlineStr">
        <is>
          <t>012</t>
        </is>
      </c>
      <c r="H49" s="2" t="inlineStr">
        <is>
          <t>10</t>
        </is>
      </c>
      <c r="I49" s="3" t="inlineStr"/>
      <c r="J49" s="2" t="inlineStr"/>
      <c r="K49" t="inlineStr"/>
      <c r="L49" s="4" t="n">
        <v>162000</v>
      </c>
      <c r="M49" s="3" t="inlineStr"/>
      <c r="N49" t="inlineStr">
        <is>
          <t>10</t>
        </is>
      </c>
    </row>
    <row r="50">
      <c r="A50" s="2" t="inlineStr">
        <is>
          <t>10</t>
        </is>
      </c>
      <c r="B50" t="inlineStr">
        <is>
          <t>SIVIERO EMPREENDIMENTOS IMOBILIÁRIOS LTDA.</t>
        </is>
      </c>
      <c r="C50" t="inlineStr">
        <is>
          <t>89.472.195/0001-86</t>
        </is>
      </c>
      <c r="D50" t="inlineStr">
        <is>
          <t>Lote em loteamento</t>
        </is>
      </c>
      <c r="E50" s="2" t="inlineStr"/>
      <c r="F50" t="inlineStr">
        <is>
          <t>09. LOTEAMENTO COLINA DO RETIRO II</t>
        </is>
      </c>
      <c r="G50" s="2" t="inlineStr">
        <is>
          <t>015</t>
        </is>
      </c>
      <c r="H50" s="2" t="inlineStr">
        <is>
          <t>10</t>
        </is>
      </c>
      <c r="I50" s="3" t="inlineStr"/>
      <c r="J50" s="2" t="inlineStr"/>
      <c r="K50" t="inlineStr"/>
      <c r="L50" s="4" t="n">
        <v>168000</v>
      </c>
      <c r="M50" s="3" t="inlineStr"/>
      <c r="N50" t="inlineStr">
        <is>
          <t>10</t>
        </is>
      </c>
    </row>
    <row r="51">
      <c r="A51" s="2" t="inlineStr">
        <is>
          <t>10</t>
        </is>
      </c>
      <c r="B51" t="inlineStr">
        <is>
          <t>SIVIERO EMPREENDIMENTOS IMOBILIÁRIOS LTDA.</t>
        </is>
      </c>
      <c r="C51" t="inlineStr">
        <is>
          <t>89.472.195/0001-86</t>
        </is>
      </c>
      <c r="D51" t="inlineStr">
        <is>
          <t>Lote em loteamento</t>
        </is>
      </c>
      <c r="E51" s="2" t="inlineStr"/>
      <c r="F51" t="inlineStr">
        <is>
          <t>09. LOTEAMENTO COLINA DO RETIRO II</t>
        </is>
      </c>
      <c r="G51" s="2" t="inlineStr">
        <is>
          <t>007</t>
        </is>
      </c>
      <c r="H51" s="2" t="inlineStr">
        <is>
          <t>15</t>
        </is>
      </c>
      <c r="I51" s="3" t="inlineStr"/>
      <c r="J51" s="2" t="inlineStr"/>
      <c r="K51" t="inlineStr"/>
      <c r="L51" s="4" t="n">
        <v>175000</v>
      </c>
      <c r="M51" s="3" t="inlineStr"/>
      <c r="N51" t="inlineStr">
        <is>
          <t>10</t>
        </is>
      </c>
    </row>
    <row r="52">
      <c r="A52" s="2" t="inlineStr">
        <is>
          <t>10</t>
        </is>
      </c>
      <c r="B52" t="inlineStr">
        <is>
          <t>SIVIERO EMPREENDIMENTOS IMOBILIÁRIOS LTDA.</t>
        </is>
      </c>
      <c r="C52" t="inlineStr">
        <is>
          <t>89.472.195/0001-86</t>
        </is>
      </c>
      <c r="D52" t="inlineStr">
        <is>
          <t>Lote em loteamento</t>
        </is>
      </c>
      <c r="E52" s="2" t="inlineStr"/>
      <c r="F52" t="inlineStr">
        <is>
          <t>09. LOTEAMENTO COLINA DO RETIRO II</t>
        </is>
      </c>
      <c r="G52" s="2" t="inlineStr">
        <is>
          <t>007</t>
        </is>
      </c>
      <c r="H52" s="2" t="inlineStr">
        <is>
          <t>17</t>
        </is>
      </c>
      <c r="I52" s="3" t="inlineStr"/>
      <c r="J52" s="2" t="inlineStr"/>
      <c r="K52" t="inlineStr"/>
      <c r="L52" s="4" t="n">
        <v>235000</v>
      </c>
      <c r="M52" s="3" t="inlineStr"/>
      <c r="N52" t="inlineStr">
        <is>
          <t>10</t>
        </is>
      </c>
    </row>
    <row r="53">
      <c r="A53" s="2" t="inlineStr">
        <is>
          <t>10</t>
        </is>
      </c>
      <c r="B53" t="inlineStr">
        <is>
          <t>SIVIERO EMPREENDIMENTOS IMOBILIÁRIOS LTDA.</t>
        </is>
      </c>
      <c r="C53" t="inlineStr">
        <is>
          <t>89.472.195/0001-86</t>
        </is>
      </c>
      <c r="D53" t="inlineStr">
        <is>
          <t>Lote em loteamento</t>
        </is>
      </c>
      <c r="E53" s="2" t="inlineStr"/>
      <c r="F53" t="inlineStr">
        <is>
          <t>10. LOTEAMENTO INDUSTRIAL PEDRA LISA</t>
        </is>
      </c>
      <c r="G53" s="2" t="inlineStr">
        <is>
          <t>001</t>
        </is>
      </c>
      <c r="H53" s="2" t="inlineStr">
        <is>
          <t>02</t>
        </is>
      </c>
      <c r="I53" s="3" t="inlineStr"/>
      <c r="J53" s="2" t="inlineStr"/>
      <c r="K53" t="inlineStr"/>
      <c r="L53" s="4" t="n">
        <v>274000</v>
      </c>
      <c r="M53" s="3" t="inlineStr"/>
      <c r="N53" t="inlineStr">
        <is>
          <t>10-11</t>
        </is>
      </c>
    </row>
    <row r="54">
      <c r="A54" s="2" t="inlineStr">
        <is>
          <t>10</t>
        </is>
      </c>
      <c r="B54" t="inlineStr">
        <is>
          <t>SIVIERO EMPREENDIMENTOS IMOBILIÁRIOS LTDA.</t>
        </is>
      </c>
      <c r="C54" t="inlineStr">
        <is>
          <t>89.472.195/0001-86</t>
        </is>
      </c>
      <c r="D54" t="inlineStr">
        <is>
          <t>Lote em loteamento</t>
        </is>
      </c>
      <c r="E54" s="2" t="inlineStr"/>
      <c r="F54" t="inlineStr">
        <is>
          <t>10. LOTEAMENTO INDUSTRIAL PEDRA LISA</t>
        </is>
      </c>
      <c r="G54" s="2" t="inlineStr">
        <is>
          <t>002</t>
        </is>
      </c>
      <c r="H54" s="2" t="inlineStr">
        <is>
          <t>02</t>
        </is>
      </c>
      <c r="I54" s="3" t="inlineStr"/>
      <c r="J54" s="2" t="inlineStr"/>
      <c r="K54" t="inlineStr"/>
      <c r="L54" s="4" t="n">
        <v>274000</v>
      </c>
      <c r="M54" s="3" t="inlineStr"/>
      <c r="N54" t="inlineStr">
        <is>
          <t>10-11</t>
        </is>
      </c>
    </row>
    <row r="55">
      <c r="A55" s="2" t="inlineStr">
        <is>
          <t>10</t>
        </is>
      </c>
      <c r="B55" t="inlineStr">
        <is>
          <t>SIVIERO EMPREENDIMENTOS IMOBILIÁRIOS LTDA.</t>
        </is>
      </c>
      <c r="C55" t="inlineStr">
        <is>
          <t>89.472.195/0001-86</t>
        </is>
      </c>
      <c r="D55" t="inlineStr">
        <is>
          <t>Lote em loteamento</t>
        </is>
      </c>
      <c r="E55" s="2" t="inlineStr"/>
      <c r="F55" t="inlineStr">
        <is>
          <t>10. LOTEAMENTO INDUSTRIAL PEDRA LISA</t>
        </is>
      </c>
      <c r="G55" s="2" t="inlineStr">
        <is>
          <t>003</t>
        </is>
      </c>
      <c r="H55" s="2" t="inlineStr">
        <is>
          <t>02</t>
        </is>
      </c>
      <c r="I55" s="3" t="inlineStr"/>
      <c r="J55" s="2" t="inlineStr"/>
      <c r="K55" t="inlineStr"/>
      <c r="L55" s="4" t="n">
        <v>274000</v>
      </c>
      <c r="M55" s="3" t="inlineStr"/>
      <c r="N55" t="inlineStr">
        <is>
          <t>10-11</t>
        </is>
      </c>
    </row>
    <row r="56">
      <c r="A56" s="2" t="inlineStr">
        <is>
          <t>10</t>
        </is>
      </c>
      <c r="B56" t="inlineStr">
        <is>
          <t>SIVIERO EMPREENDIMENTOS IMOBILIÁRIOS LTDA.</t>
        </is>
      </c>
      <c r="C56" t="inlineStr">
        <is>
          <t>89.472.195/0001-86</t>
        </is>
      </c>
      <c r="D56" t="inlineStr">
        <is>
          <t>Lote em loteamento</t>
        </is>
      </c>
      <c r="E56" s="2" t="inlineStr"/>
      <c r="F56" t="inlineStr">
        <is>
          <t>10. LOTEAMENTO INDUSTRIAL PEDRA LISA</t>
        </is>
      </c>
      <c r="G56" s="2" t="inlineStr">
        <is>
          <t>004</t>
        </is>
      </c>
      <c r="H56" s="2" t="inlineStr">
        <is>
          <t>02</t>
        </is>
      </c>
      <c r="I56" s="3" t="inlineStr"/>
      <c r="J56" s="2" t="inlineStr"/>
      <c r="K56" t="inlineStr"/>
      <c r="L56" s="4" t="n">
        <v>277000</v>
      </c>
      <c r="M56" s="3" t="inlineStr"/>
      <c r="N56" t="inlineStr">
        <is>
          <t>10-11</t>
        </is>
      </c>
    </row>
    <row r="57">
      <c r="A57" s="2" t="inlineStr">
        <is>
          <t>10</t>
        </is>
      </c>
      <c r="B57" t="inlineStr">
        <is>
          <t>SIVIERO EMPREENDIMENTOS IMOBILIÁRIOS LTDA.</t>
        </is>
      </c>
      <c r="C57" t="inlineStr">
        <is>
          <t>89.472.195/0001-86</t>
        </is>
      </c>
      <c r="D57" t="inlineStr">
        <is>
          <t>Lote em loteamento</t>
        </is>
      </c>
      <c r="E57" s="2" t="inlineStr"/>
      <c r="F57" t="inlineStr">
        <is>
          <t>10. LOTEAMENTO INDUSTRIAL PEDRA LISA</t>
        </is>
      </c>
      <c r="G57" s="2" t="inlineStr">
        <is>
          <t>006</t>
        </is>
      </c>
      <c r="H57" s="2" t="inlineStr">
        <is>
          <t>02</t>
        </is>
      </c>
      <c r="I57" s="3" t="inlineStr"/>
      <c r="J57" s="2" t="inlineStr"/>
      <c r="K57" t="inlineStr"/>
      <c r="L57" s="4" t="n">
        <v>293000</v>
      </c>
      <c r="M57" s="3" t="inlineStr"/>
      <c r="N57" t="inlineStr">
        <is>
          <t>10-11</t>
        </is>
      </c>
    </row>
    <row r="58">
      <c r="A58" s="2" t="inlineStr">
        <is>
          <t>10</t>
        </is>
      </c>
      <c r="B58" t="inlineStr">
        <is>
          <t>SIVIERO EMPREENDIMENTOS IMOBILIÁRIOS LTDA.</t>
        </is>
      </c>
      <c r="C58" t="inlineStr">
        <is>
          <t>89.472.195/0001-86</t>
        </is>
      </c>
      <c r="D58" t="inlineStr">
        <is>
          <t>Lote em loteamento</t>
        </is>
      </c>
      <c r="E58" s="2" t="inlineStr"/>
      <c r="F58" t="inlineStr">
        <is>
          <t>10. LOTEAMENTO INDUSTRIAL PEDRA LISA</t>
        </is>
      </c>
      <c r="G58" s="2" t="inlineStr">
        <is>
          <t>006</t>
        </is>
      </c>
      <c r="H58" s="2" t="inlineStr">
        <is>
          <t>04</t>
        </is>
      </c>
      <c r="I58" s="3" t="inlineStr"/>
      <c r="J58" s="2" t="inlineStr"/>
      <c r="K58" t="inlineStr"/>
      <c r="L58" s="4" t="n">
        <v>301000</v>
      </c>
      <c r="M58" s="3" t="inlineStr"/>
      <c r="N58" t="inlineStr">
        <is>
          <t>10-11</t>
        </is>
      </c>
    </row>
    <row r="59">
      <c r="A59" s="2" t="inlineStr">
        <is>
          <t>10</t>
        </is>
      </c>
      <c r="B59" t="inlineStr">
        <is>
          <t>SIVIERO EMPREENDIMENTOS IMOBILIÁRIOS LTDA.</t>
        </is>
      </c>
      <c r="C59" t="inlineStr">
        <is>
          <t>89.472.195/0001-86</t>
        </is>
      </c>
      <c r="D59" t="inlineStr">
        <is>
          <t>Lote em loteamento</t>
        </is>
      </c>
      <c r="E59" s="2" t="inlineStr"/>
      <c r="F59" t="inlineStr">
        <is>
          <t>10. LOTEAMENTO INDUSTRIAL PEDRA LISA</t>
        </is>
      </c>
      <c r="G59" s="2" t="inlineStr">
        <is>
          <t>001</t>
        </is>
      </c>
      <c r="H59" s="2" t="inlineStr">
        <is>
          <t>05</t>
        </is>
      </c>
      <c r="I59" s="3" t="inlineStr"/>
      <c r="J59" s="2" t="inlineStr"/>
      <c r="K59" t="inlineStr"/>
      <c r="L59" s="4" t="n">
        <v>301000</v>
      </c>
      <c r="M59" s="3" t="inlineStr"/>
      <c r="N59" t="inlineStr">
        <is>
          <t>10-11</t>
        </is>
      </c>
    </row>
    <row r="60">
      <c r="A60" s="2" t="inlineStr">
        <is>
          <t>10</t>
        </is>
      </c>
      <c r="B60" t="inlineStr">
        <is>
          <t>SIVIERO EMPREENDIMENTOS IMOBILIÁRIOS LTDA.</t>
        </is>
      </c>
      <c r="C60" t="inlineStr">
        <is>
          <t>89.472.195/0001-86</t>
        </is>
      </c>
      <c r="D60" t="inlineStr">
        <is>
          <t>Lote em loteamento</t>
        </is>
      </c>
      <c r="E60" s="2" t="inlineStr"/>
      <c r="F60" t="inlineStr">
        <is>
          <t>10. LOTEAMENTO INDUSTRIAL PEDRA LISA</t>
        </is>
      </c>
      <c r="G60" s="2" t="inlineStr">
        <is>
          <t>008</t>
        </is>
      </c>
      <c r="H60" s="2" t="inlineStr">
        <is>
          <t>05</t>
        </is>
      </c>
      <c r="I60" s="3" t="inlineStr"/>
      <c r="J60" s="2" t="inlineStr"/>
      <c r="K60" t="inlineStr"/>
      <c r="L60" s="4" t="n">
        <v>301000</v>
      </c>
      <c r="M60" s="3" t="inlineStr"/>
      <c r="N60" t="inlineStr">
        <is>
          <t>10-11</t>
        </is>
      </c>
    </row>
    <row r="61">
      <c r="A61" s="2" t="inlineStr">
        <is>
          <t>10</t>
        </is>
      </c>
      <c r="B61" t="inlineStr">
        <is>
          <t>SIVIERO EMPREENDIMENTOS IMOBILIÁRIOS LTDA.</t>
        </is>
      </c>
      <c r="C61" t="inlineStr">
        <is>
          <t>89.472.195/0001-86</t>
        </is>
      </c>
      <c r="D61" t="inlineStr">
        <is>
          <t>Lote em loteamento</t>
        </is>
      </c>
      <c r="E61" s="2" t="inlineStr"/>
      <c r="F61" t="inlineStr">
        <is>
          <t>12. LOTEAMENTO BALDASSO</t>
        </is>
      </c>
      <c r="G61" s="2" t="inlineStr">
        <is>
          <t>046</t>
        </is>
      </c>
      <c r="H61" s="2" t="inlineStr">
        <is>
          <t>49</t>
        </is>
      </c>
      <c r="I61" s="3" t="inlineStr"/>
      <c r="J61" s="2" t="inlineStr"/>
      <c r="K61" t="inlineStr"/>
      <c r="L61" s="4" t="n">
        <v>272000</v>
      </c>
      <c r="M61" s="3" t="inlineStr"/>
      <c r="N61" t="inlineStr">
        <is>
          <t>11</t>
        </is>
      </c>
    </row>
    <row r="62">
      <c r="A62" s="2" t="inlineStr">
        <is>
          <t>10</t>
        </is>
      </c>
      <c r="B62" t="inlineStr">
        <is>
          <t>SIVIERO EMPREENDIMENTOS IMOBILIÁRIOS LTDA.</t>
        </is>
      </c>
      <c r="C62" t="inlineStr">
        <is>
          <t>89.472.195/0001-86</t>
        </is>
      </c>
      <c r="D62" t="inlineStr">
        <is>
          <t>Lote em loteamento</t>
        </is>
      </c>
      <c r="E62" s="2" t="inlineStr"/>
      <c r="F62" t="inlineStr">
        <is>
          <t>13. LOTEAMENTO COLINA DO BASALTO</t>
        </is>
      </c>
      <c r="G62" s="2" t="inlineStr">
        <is>
          <t>005</t>
        </is>
      </c>
      <c r="H62" s="2" t="inlineStr">
        <is>
          <t>1</t>
        </is>
      </c>
      <c r="I62" s="3" t="inlineStr"/>
      <c r="J62" s="2" t="inlineStr"/>
      <c r="K62" t="inlineStr"/>
      <c r="L62" s="4" t="n">
        <v>167000</v>
      </c>
      <c r="M62" s="3" t="inlineStr"/>
      <c r="N62" t="inlineStr">
        <is>
          <t>11</t>
        </is>
      </c>
    </row>
    <row r="63">
      <c r="A63" s="2" t="inlineStr">
        <is>
          <t>10</t>
        </is>
      </c>
      <c r="B63" t="inlineStr">
        <is>
          <t>SIVIERO EMPREENDIMENTOS IMOBILIÁRIOS LTDA.</t>
        </is>
      </c>
      <c r="C63" t="inlineStr">
        <is>
          <t>89.472.195/0001-86</t>
        </is>
      </c>
      <c r="D63" t="inlineStr">
        <is>
          <t>Lote em loteamento</t>
        </is>
      </c>
      <c r="E63" s="2" t="inlineStr"/>
      <c r="F63" t="inlineStr">
        <is>
          <t>13. LOTEAMENTO COLINA DO BASALTO</t>
        </is>
      </c>
      <c r="G63" s="2" t="inlineStr">
        <is>
          <t>010</t>
        </is>
      </c>
      <c r="H63" s="2" t="inlineStr">
        <is>
          <t>2</t>
        </is>
      </c>
      <c r="I63" s="3" t="inlineStr"/>
      <c r="J63" s="2" t="inlineStr"/>
      <c r="K63" t="inlineStr"/>
      <c r="L63" s="4" t="n">
        <v>167000</v>
      </c>
      <c r="M63" s="3" t="inlineStr"/>
      <c r="N63" t="inlineStr">
        <is>
          <t>11</t>
        </is>
      </c>
    </row>
    <row r="64">
      <c r="A64" s="2" t="inlineStr">
        <is>
          <t>10</t>
        </is>
      </c>
      <c r="B64" t="inlineStr">
        <is>
          <t>SIVIERO EMPREENDIMENTOS IMOBILIÁRIOS LTDA.</t>
        </is>
      </c>
      <c r="C64" t="inlineStr">
        <is>
          <t>89.472.195/0001-86</t>
        </is>
      </c>
      <c r="D64" t="inlineStr">
        <is>
          <t>Lote em loteamento</t>
        </is>
      </c>
      <c r="E64" s="2" t="inlineStr"/>
      <c r="F64" t="inlineStr">
        <is>
          <t>13. LOTEAMENTO COLINA DO BASALTO</t>
        </is>
      </c>
      <c r="G64" s="2" t="inlineStr">
        <is>
          <t>015</t>
        </is>
      </c>
      <c r="H64" s="2" t="inlineStr">
        <is>
          <t>2</t>
        </is>
      </c>
      <c r="I64" s="3" t="inlineStr"/>
      <c r="J64" s="2" t="inlineStr"/>
      <c r="K64" t="inlineStr"/>
      <c r="L64" s="4" t="n">
        <v>188000</v>
      </c>
      <c r="M64" s="3" t="inlineStr"/>
      <c r="N64" t="inlineStr">
        <is>
          <t>11</t>
        </is>
      </c>
    </row>
    <row r="65">
      <c r="A65" s="2" t="inlineStr">
        <is>
          <t>10</t>
        </is>
      </c>
      <c r="B65" t="inlineStr">
        <is>
          <t>SIVIERO EMPREENDIMENTOS IMOBILIÁRIOS LTDA.</t>
        </is>
      </c>
      <c r="C65" t="inlineStr">
        <is>
          <t>89.472.195/0001-86</t>
        </is>
      </c>
      <c r="D65" t="inlineStr">
        <is>
          <t>Lote em loteamento</t>
        </is>
      </c>
      <c r="E65" s="2" t="inlineStr"/>
      <c r="F65" t="inlineStr">
        <is>
          <t>13. LOTEAMENTO COLINA DO BASALTO</t>
        </is>
      </c>
      <c r="G65" s="2" t="inlineStr">
        <is>
          <t>023</t>
        </is>
      </c>
      <c r="H65" s="2" t="inlineStr">
        <is>
          <t>5</t>
        </is>
      </c>
      <c r="I65" s="3" t="inlineStr"/>
      <c r="J65" s="2" t="inlineStr"/>
      <c r="K65" t="inlineStr"/>
      <c r="L65" s="4" t="n">
        <v>131000</v>
      </c>
      <c r="M65" s="3" t="inlineStr"/>
      <c r="N65" t="inlineStr">
        <is>
          <t>11</t>
        </is>
      </c>
    </row>
    <row r="66">
      <c r="A66" s="2" t="inlineStr">
        <is>
          <t>10</t>
        </is>
      </c>
      <c r="B66" t="inlineStr">
        <is>
          <t>SIVIERO EMPREENDIMENTOS IMOBILIÁRIOS LTDA.</t>
        </is>
      </c>
      <c r="C66" t="inlineStr">
        <is>
          <t>89.472.195/0001-86</t>
        </is>
      </c>
      <c r="D66" t="inlineStr">
        <is>
          <t>Lote em loteamento</t>
        </is>
      </c>
      <c r="E66" s="2" t="inlineStr"/>
      <c r="F66" t="inlineStr">
        <is>
          <t>13. LOTEAMENTO COLINA DO BASALTO</t>
        </is>
      </c>
      <c r="G66" s="2" t="inlineStr">
        <is>
          <t>006</t>
        </is>
      </c>
      <c r="H66" s="2" t="inlineStr">
        <is>
          <t>7</t>
        </is>
      </c>
      <c r="I66" s="3" t="inlineStr"/>
      <c r="J66" s="2" t="inlineStr"/>
      <c r="K66" t="inlineStr"/>
      <c r="L66" s="4" t="n">
        <v>125000</v>
      </c>
      <c r="M66" s="3" t="inlineStr"/>
      <c r="N66" t="inlineStr">
        <is>
          <t>11</t>
        </is>
      </c>
    </row>
    <row r="67">
      <c r="A67" s="2" t="inlineStr">
        <is>
          <t>10</t>
        </is>
      </c>
      <c r="B67" t="inlineStr">
        <is>
          <t>SIVIERO EMPREENDIMENTOS IMOBILIÁRIOS LTDA.</t>
        </is>
      </c>
      <c r="C67" t="inlineStr">
        <is>
          <t>89.472.195/0001-86</t>
        </is>
      </c>
      <c r="D67" t="inlineStr">
        <is>
          <t>Lote em loteamento</t>
        </is>
      </c>
      <c r="E67" s="2" t="inlineStr"/>
      <c r="F67" t="inlineStr">
        <is>
          <t>14. LOTEAMENTO CARNEVALLI</t>
        </is>
      </c>
      <c r="G67" s="2" t="inlineStr">
        <is>
          <t>001</t>
        </is>
      </c>
      <c r="H67" s="2" t="inlineStr">
        <is>
          <t>F</t>
        </is>
      </c>
      <c r="I67" s="3" t="inlineStr"/>
      <c r="J67" s="2" t="inlineStr"/>
      <c r="K67" t="inlineStr"/>
      <c r="L67" s="4" t="n">
        <v>241000</v>
      </c>
      <c r="M67" s="3" t="inlineStr"/>
      <c r="N67" t="inlineStr">
        <is>
          <t>11</t>
        </is>
      </c>
    </row>
    <row r="68">
      <c r="A68" s="2" t="inlineStr">
        <is>
          <t>10</t>
        </is>
      </c>
      <c r="B68" t="inlineStr">
        <is>
          <t>SIVIERO EMPREENDIMENTOS IMOBILIÁRIOS LTDA.</t>
        </is>
      </c>
      <c r="C68" t="inlineStr">
        <is>
          <t>89.472.195/0001-86</t>
        </is>
      </c>
      <c r="D68" t="inlineStr">
        <is>
          <t>Lote em loteamento</t>
        </is>
      </c>
      <c r="E68" s="2" t="inlineStr"/>
      <c r="F68" t="inlineStr">
        <is>
          <t>18. LOTEAMENTO LAGO NEGRO</t>
        </is>
      </c>
      <c r="G68" s="2" t="inlineStr">
        <is>
          <t>001</t>
        </is>
      </c>
      <c r="H68" s="2" t="inlineStr">
        <is>
          <t>01</t>
        </is>
      </c>
      <c r="I68" s="3" t="inlineStr"/>
      <c r="J68" s="2" t="inlineStr"/>
      <c r="K68" t="inlineStr"/>
      <c r="L68" s="4" t="n">
        <v>1100000</v>
      </c>
      <c r="M68" s="3" t="inlineStr"/>
      <c r="N68" t="inlineStr">
        <is>
          <t>11</t>
        </is>
      </c>
    </row>
    <row r="69">
      <c r="A69" s="2" t="inlineStr">
        <is>
          <t>10</t>
        </is>
      </c>
      <c r="B69" t="inlineStr">
        <is>
          <t>SIVIERO EMPREENDIMENTOS IMOBILIÁRIOS LTDA.</t>
        </is>
      </c>
      <c r="C69" t="inlineStr">
        <is>
          <t>89.472.195/0001-86</t>
        </is>
      </c>
      <c r="D69" t="inlineStr">
        <is>
          <t>Lote em loteamento</t>
        </is>
      </c>
      <c r="E69" s="2" t="inlineStr"/>
      <c r="F69" t="inlineStr">
        <is>
          <t>20. LOTEAMENTO SAN MARINO</t>
        </is>
      </c>
      <c r="G69" s="2" t="inlineStr">
        <is>
          <t>001</t>
        </is>
      </c>
      <c r="H69" s="2" t="inlineStr">
        <is>
          <t>1673</t>
        </is>
      </c>
      <c r="I69" s="3" t="inlineStr"/>
      <c r="J69" s="2" t="inlineStr"/>
      <c r="K69" t="inlineStr"/>
      <c r="L69" s="4" t="n">
        <v>264000</v>
      </c>
      <c r="M69" s="3" t="inlineStr"/>
      <c r="N69" t="inlineStr">
        <is>
          <t>11</t>
        </is>
      </c>
    </row>
    <row r="70">
      <c r="A70" s="2" t="inlineStr">
        <is>
          <t>10</t>
        </is>
      </c>
      <c r="B70" t="inlineStr">
        <is>
          <t>SIVIERO EMPREENDIMENTOS IMOBILIÁRIOS LTDA.</t>
        </is>
      </c>
      <c r="C70" t="inlineStr">
        <is>
          <t>89.472.195/0001-86</t>
        </is>
      </c>
      <c r="D70" t="inlineStr">
        <is>
          <t>Lote em loteamento</t>
        </is>
      </c>
      <c r="E70" s="2" t="inlineStr"/>
      <c r="F70" t="inlineStr">
        <is>
          <t>20. LOTEAMENTO SAN MARINO</t>
        </is>
      </c>
      <c r="G70" s="2" t="inlineStr">
        <is>
          <t>003</t>
        </is>
      </c>
      <c r="H70" s="2" t="inlineStr">
        <is>
          <t>1676</t>
        </is>
      </c>
      <c r="I70" s="3" t="inlineStr"/>
      <c r="J70" s="2" t="inlineStr"/>
      <c r="K70" t="inlineStr"/>
      <c r="L70" s="4" t="n">
        <v>253000</v>
      </c>
      <c r="M70" s="3" t="inlineStr"/>
      <c r="N70" t="inlineStr">
        <is>
          <t>11</t>
        </is>
      </c>
    </row>
    <row r="71">
      <c r="A71" s="2" t="inlineStr">
        <is>
          <t>10</t>
        </is>
      </c>
      <c r="B71" t="inlineStr">
        <is>
          <t>SIVIERO EMPREENDIMENTOS IMOBILIÁRIOS LTDA.</t>
        </is>
      </c>
      <c r="C71" t="inlineStr">
        <is>
          <t>89.472.195/0001-86</t>
        </is>
      </c>
      <c r="D71" t="inlineStr">
        <is>
          <t>Lote em loteamento</t>
        </is>
      </c>
      <c r="E71" s="2" t="inlineStr"/>
      <c r="F71" t="inlineStr">
        <is>
          <t>21. LOTEAMENTO FIRMINIO DALZÓCHIO</t>
        </is>
      </c>
      <c r="G71" s="2" t="inlineStr">
        <is>
          <t>O13</t>
        </is>
      </c>
      <c r="H71" s="2" t="inlineStr">
        <is>
          <t>0907</t>
        </is>
      </c>
      <c r="I71" s="3" t="inlineStr"/>
      <c r="J71" s="2" t="inlineStr"/>
      <c r="K71" t="inlineStr"/>
      <c r="L71" s="4" t="n">
        <v>360000</v>
      </c>
      <c r="M71" s="3" t="inlineStr">
        <is>
          <t>Lote transcrito como "O13" no PDF (provavelmente 013).</t>
        </is>
      </c>
      <c r="N71" t="inlineStr">
        <is>
          <t>11</t>
        </is>
      </c>
    </row>
    <row r="72">
      <c r="A72" s="2" t="inlineStr">
        <is>
          <t>10</t>
        </is>
      </c>
      <c r="B72" t="inlineStr">
        <is>
          <t>SIVIERO EMPREENDIMENTOS IMOBILIÁRIOS LTDA.</t>
        </is>
      </c>
      <c r="C72" t="inlineStr">
        <is>
          <t>89.472.195/0001-86</t>
        </is>
      </c>
      <c r="D72" t="inlineStr">
        <is>
          <t>Lote em loteamento</t>
        </is>
      </c>
      <c r="E72" s="2" t="inlineStr"/>
      <c r="F72" t="inlineStr">
        <is>
          <t>21. LOTEAMENTO FIRMINIO DALZÓCHIO</t>
        </is>
      </c>
      <c r="G72" s="2" t="inlineStr">
        <is>
          <t>003</t>
        </is>
      </c>
      <c r="H72" s="2" t="inlineStr">
        <is>
          <t>1046</t>
        </is>
      </c>
      <c r="I72" s="3" t="inlineStr"/>
      <c r="J72" s="2" t="inlineStr"/>
      <c r="K72" t="inlineStr"/>
      <c r="L72" s="4" t="n">
        <v>385000</v>
      </c>
      <c r="M72" s="3" t="inlineStr"/>
      <c r="N72" t="inlineStr">
        <is>
          <t>11</t>
        </is>
      </c>
    </row>
    <row r="73">
      <c r="A73" s="2" t="inlineStr">
        <is>
          <t>10</t>
        </is>
      </c>
      <c r="B73" t="inlineStr">
        <is>
          <t>SIVIERO EMPREENDIMENTOS IMOBILIÁRIOS LTDA.</t>
        </is>
      </c>
      <c r="C73" t="inlineStr">
        <is>
          <t>89.472.195/0001-86</t>
        </is>
      </c>
      <c r="D73" t="inlineStr">
        <is>
          <t>Lote em loteamento</t>
        </is>
      </c>
      <c r="E73" s="2" t="inlineStr"/>
      <c r="F73" t="inlineStr">
        <is>
          <t>24. LOTEAMENTO INDUSTRIAL VICENTINO</t>
        </is>
      </c>
      <c r="G73" s="2" t="inlineStr">
        <is>
          <t>007</t>
        </is>
      </c>
      <c r="H73" s="2" t="inlineStr">
        <is>
          <t>1303</t>
        </is>
      </c>
      <c r="I73" s="3" t="inlineStr"/>
      <c r="J73" s="2" t="inlineStr"/>
      <c r="K73" t="inlineStr"/>
      <c r="L73" s="4" t="n">
        <v>1355000</v>
      </c>
      <c r="M73" s="3" t="inlineStr"/>
      <c r="N73" t="inlineStr">
        <is>
          <t>11</t>
        </is>
      </c>
    </row>
    <row r="74">
      <c r="A74" s="2" t="inlineStr">
        <is>
          <t>10</t>
        </is>
      </c>
      <c r="B74" t="inlineStr">
        <is>
          <t>SIVIERO EMPREENDIMENTOS IMOBILIÁRIOS LTDA.</t>
        </is>
      </c>
      <c r="C74" t="inlineStr">
        <is>
          <t>89.472.195/0001-86</t>
        </is>
      </c>
      <c r="D74" t="inlineStr">
        <is>
          <t>Lote em loteamento</t>
        </is>
      </c>
      <c r="E74" s="2" t="inlineStr"/>
      <c r="F74" t="inlineStr">
        <is>
          <t>25. LOTEAMENTO RESIDENCIAL JARDIM ITALIA I, II, III</t>
        </is>
      </c>
      <c r="G74" s="2" t="inlineStr">
        <is>
          <t>001</t>
        </is>
      </c>
      <c r="H74" s="2" t="inlineStr">
        <is>
          <t>1736</t>
        </is>
      </c>
      <c r="I74" s="3" t="inlineStr"/>
      <c r="J74" s="2" t="inlineStr"/>
      <c r="K74" t="inlineStr"/>
      <c r="L74" s="4" t="n">
        <v>198000</v>
      </c>
      <c r="M74" s="3" t="inlineStr"/>
      <c r="N74" t="inlineStr">
        <is>
          <t>11-12</t>
        </is>
      </c>
    </row>
    <row r="75">
      <c r="A75" s="2" t="inlineStr">
        <is>
          <t>10</t>
        </is>
      </c>
      <c r="B75" t="inlineStr">
        <is>
          <t>SIVIERO EMPREENDIMENTOS IMOBILIÁRIOS LTDA.</t>
        </is>
      </c>
      <c r="C75" t="inlineStr">
        <is>
          <t>89.472.195/0001-86</t>
        </is>
      </c>
      <c r="D75" t="inlineStr">
        <is>
          <t>Lote em loteamento</t>
        </is>
      </c>
      <c r="E75" s="2" t="inlineStr"/>
      <c r="F75" t="inlineStr">
        <is>
          <t>25. LOTEAMENTO RESIDENCIAL JARDIM ITALIA I, II, III</t>
        </is>
      </c>
      <c r="G75" s="2" t="inlineStr">
        <is>
          <t>009</t>
        </is>
      </c>
      <c r="H75" s="2" t="inlineStr">
        <is>
          <t>1736</t>
        </is>
      </c>
      <c r="I75" s="3" t="inlineStr"/>
      <c r="J75" s="2" t="inlineStr"/>
      <c r="K75" t="inlineStr"/>
      <c r="L75" s="4" t="n">
        <v>220000</v>
      </c>
      <c r="M75" s="3" t="inlineStr"/>
      <c r="N75" t="inlineStr">
        <is>
          <t>11-12</t>
        </is>
      </c>
    </row>
    <row r="76">
      <c r="A76" s="2" t="inlineStr">
        <is>
          <t>10</t>
        </is>
      </c>
      <c r="B76" t="inlineStr">
        <is>
          <t>SIVIERO EMPREENDIMENTOS IMOBILIÁRIOS LTDA.</t>
        </is>
      </c>
      <c r="C76" t="inlineStr">
        <is>
          <t>89.472.195/0001-86</t>
        </is>
      </c>
      <c r="D76" t="inlineStr">
        <is>
          <t>Lote em loteamento</t>
        </is>
      </c>
      <c r="E76" s="2" t="inlineStr"/>
      <c r="F76" t="inlineStr">
        <is>
          <t>25. LOTEAMENTO RESIDENCIAL JARDIM ITALIA I, II, III</t>
        </is>
      </c>
      <c r="G76" s="2" t="inlineStr">
        <is>
          <t>007</t>
        </is>
      </c>
      <c r="H76" s="2" t="inlineStr">
        <is>
          <t>1738</t>
        </is>
      </c>
      <c r="I76" s="3" t="inlineStr"/>
      <c r="J76" s="2" t="inlineStr"/>
      <c r="K76" t="inlineStr"/>
      <c r="L76" s="4" t="n">
        <v>253000</v>
      </c>
      <c r="M76" s="3" t="inlineStr"/>
      <c r="N76" t="inlineStr">
        <is>
          <t>11-12</t>
        </is>
      </c>
    </row>
    <row r="77">
      <c r="A77" s="2" t="inlineStr">
        <is>
          <t>10</t>
        </is>
      </c>
      <c r="B77" t="inlineStr">
        <is>
          <t>SIVIERO EMPREENDIMENTOS IMOBILIÁRIOS LTDA.</t>
        </is>
      </c>
      <c r="C77" t="inlineStr">
        <is>
          <t>89.472.195/0001-86</t>
        </is>
      </c>
      <c r="D77" t="inlineStr">
        <is>
          <t>Lote em loteamento</t>
        </is>
      </c>
      <c r="E77" s="2" t="inlineStr"/>
      <c r="F77" t="inlineStr">
        <is>
          <t>25. LOTEAMENTO RESIDENCIAL JARDIM ITALIA I, II, III</t>
        </is>
      </c>
      <c r="G77" s="2" t="inlineStr">
        <is>
          <t>002</t>
        </is>
      </c>
      <c r="H77" s="2" t="inlineStr">
        <is>
          <t>1739</t>
        </is>
      </c>
      <c r="I77" s="3" t="inlineStr"/>
      <c r="J77" s="2" t="inlineStr"/>
      <c r="K77" t="inlineStr"/>
      <c r="L77" s="4" t="n">
        <v>209000</v>
      </c>
      <c r="M77" s="3" t="inlineStr"/>
      <c r="N77" t="inlineStr">
        <is>
          <t>11-12</t>
        </is>
      </c>
    </row>
    <row r="78">
      <c r="A78" s="2" t="inlineStr">
        <is>
          <t>10</t>
        </is>
      </c>
      <c r="B78" t="inlineStr">
        <is>
          <t>SIVIERO EMPREENDIMENTOS IMOBILIÁRIOS LTDA.</t>
        </is>
      </c>
      <c r="C78" t="inlineStr">
        <is>
          <t>89.472.195/0001-86</t>
        </is>
      </c>
      <c r="D78" t="inlineStr">
        <is>
          <t>Lote em loteamento</t>
        </is>
      </c>
      <c r="E78" s="2" t="inlineStr"/>
      <c r="F78" t="inlineStr">
        <is>
          <t>25. LOTEAMENTO RESIDENCIAL JARDIM ITALIA I, II, III</t>
        </is>
      </c>
      <c r="G78" s="2" t="inlineStr">
        <is>
          <t>001</t>
        </is>
      </c>
      <c r="H78" s="2" t="inlineStr">
        <is>
          <t>1740</t>
        </is>
      </c>
      <c r="I78" s="3" t="inlineStr"/>
      <c r="J78" s="2" t="inlineStr"/>
      <c r="K78" t="inlineStr"/>
      <c r="L78" s="4" t="n">
        <v>220000</v>
      </c>
      <c r="M78" s="3" t="inlineStr"/>
      <c r="N78" t="inlineStr">
        <is>
          <t>11-12</t>
        </is>
      </c>
    </row>
    <row r="79">
      <c r="A79" s="2" t="inlineStr">
        <is>
          <t>10</t>
        </is>
      </c>
      <c r="B79" t="inlineStr">
        <is>
          <t>SIVIERO EMPREENDIMENTOS IMOBILIÁRIOS LTDA.</t>
        </is>
      </c>
      <c r="C79" t="inlineStr">
        <is>
          <t>89.472.195/0001-86</t>
        </is>
      </c>
      <c r="D79" t="inlineStr">
        <is>
          <t>Lote em loteamento</t>
        </is>
      </c>
      <c r="E79" s="2" t="inlineStr"/>
      <c r="F79" t="inlineStr">
        <is>
          <t>25. LOTEAMENTO RESIDENCIAL JARDIM ITALIA I, II, III</t>
        </is>
      </c>
      <c r="G79" s="2" t="inlineStr">
        <is>
          <t>006</t>
        </is>
      </c>
      <c r="H79" s="2" t="inlineStr">
        <is>
          <t>1744</t>
        </is>
      </c>
      <c r="I79" s="3" t="inlineStr"/>
      <c r="J79" s="2" t="inlineStr"/>
      <c r="K79" t="inlineStr"/>
      <c r="L79" s="4" t="n">
        <v>198000</v>
      </c>
      <c r="M79" s="3" t="inlineStr"/>
      <c r="N79" t="inlineStr">
        <is>
          <t>11-12</t>
        </is>
      </c>
    </row>
    <row r="80">
      <c r="A80" s="2" t="inlineStr">
        <is>
          <t>10</t>
        </is>
      </c>
      <c r="B80" t="inlineStr">
        <is>
          <t>SIVIERO EMPREENDIMENTOS IMOBILIÁRIOS LTDA.</t>
        </is>
      </c>
      <c r="C80" t="inlineStr">
        <is>
          <t>89.472.195/0001-86</t>
        </is>
      </c>
      <c r="D80" t="inlineStr">
        <is>
          <t>Lote em loteamento</t>
        </is>
      </c>
      <c r="E80" s="2" t="inlineStr"/>
      <c r="F80" t="inlineStr">
        <is>
          <t>25. LOTEAMENTO RESIDENCIAL JARDIM ITALIA I, II, III</t>
        </is>
      </c>
      <c r="G80" s="2" t="inlineStr">
        <is>
          <t>010</t>
        </is>
      </c>
      <c r="H80" s="2" t="inlineStr">
        <is>
          <t>1744</t>
        </is>
      </c>
      <c r="I80" s="3" t="inlineStr"/>
      <c r="J80" s="2" t="inlineStr"/>
      <c r="K80" t="inlineStr"/>
      <c r="L80" s="4" t="n">
        <v>209000</v>
      </c>
      <c r="M80" s="3" t="inlineStr"/>
      <c r="N80" t="inlineStr">
        <is>
          <t>11-12</t>
        </is>
      </c>
    </row>
    <row r="81">
      <c r="A81" s="2" t="inlineStr">
        <is>
          <t>10</t>
        </is>
      </c>
      <c r="B81" t="inlineStr">
        <is>
          <t>SIVIERO EMPREENDIMENTOS IMOBILIÁRIOS LTDA.</t>
        </is>
      </c>
      <c r="C81" t="inlineStr">
        <is>
          <t>89.472.195/0001-86</t>
        </is>
      </c>
      <c r="D81" t="inlineStr">
        <is>
          <t>Lote em loteamento</t>
        </is>
      </c>
      <c r="E81" s="2" t="inlineStr"/>
      <c r="F81" t="inlineStr">
        <is>
          <t>25. LOTEAMENTO RESIDENCIAL JARDIM ITALIA I, II, III</t>
        </is>
      </c>
      <c r="G81" s="2" t="inlineStr">
        <is>
          <t>006</t>
        </is>
      </c>
      <c r="H81" s="2" t="inlineStr">
        <is>
          <t>1746</t>
        </is>
      </c>
      <c r="I81" s="3" t="inlineStr"/>
      <c r="J81" s="2" t="inlineStr"/>
      <c r="K81" t="inlineStr"/>
      <c r="L81" s="4" t="n">
        <v>198000</v>
      </c>
      <c r="M81" s="3" t="inlineStr"/>
      <c r="N81" t="inlineStr">
        <is>
          <t>11-12</t>
        </is>
      </c>
    </row>
    <row r="82">
      <c r="A82" s="2" t="inlineStr">
        <is>
          <t>10</t>
        </is>
      </c>
      <c r="B82" t="inlineStr">
        <is>
          <t>SIVIERO EMPREENDIMENTOS IMOBILIÁRIOS LTDA.</t>
        </is>
      </c>
      <c r="C82" t="inlineStr">
        <is>
          <t>89.472.195/0001-86</t>
        </is>
      </c>
      <c r="D82" t="inlineStr">
        <is>
          <t>Lote em loteamento</t>
        </is>
      </c>
      <c r="E82" s="2" t="inlineStr"/>
      <c r="F82" t="inlineStr">
        <is>
          <t>25. LOTEAMENTO RESIDENCIAL JARDIM ITALIA I, II, III</t>
        </is>
      </c>
      <c r="G82" s="2" t="inlineStr">
        <is>
          <t>019</t>
        </is>
      </c>
      <c r="H82" s="2" t="inlineStr">
        <is>
          <t>1746</t>
        </is>
      </c>
      <c r="I82" s="3" t="inlineStr"/>
      <c r="J82" s="2" t="inlineStr"/>
      <c r="K82" t="inlineStr"/>
      <c r="L82" s="4" t="n">
        <v>209000</v>
      </c>
      <c r="M82" s="3" t="inlineStr"/>
      <c r="N82" t="inlineStr">
        <is>
          <t>11-12</t>
        </is>
      </c>
    </row>
    <row r="83">
      <c r="A83" s="2" t="inlineStr">
        <is>
          <t>10</t>
        </is>
      </c>
      <c r="B83" t="inlineStr">
        <is>
          <t>SIVIERO EMPREENDIMENTOS IMOBILIÁRIOS LTDA.</t>
        </is>
      </c>
      <c r="C83" t="inlineStr">
        <is>
          <t>89.472.195/0001-86</t>
        </is>
      </c>
      <c r="D83" t="inlineStr">
        <is>
          <t>Lote em loteamento</t>
        </is>
      </c>
      <c r="E83" s="2" t="inlineStr"/>
      <c r="F83" t="inlineStr">
        <is>
          <t>25. LOTEAMENTO RESIDENCIAL JARDIM ITALIA I, II, III</t>
        </is>
      </c>
      <c r="G83" s="2" t="inlineStr">
        <is>
          <t>001</t>
        </is>
      </c>
      <c r="H83" s="2" t="inlineStr">
        <is>
          <t>1750</t>
        </is>
      </c>
      <c r="I83" s="3" t="inlineStr"/>
      <c r="J83" s="2" t="inlineStr"/>
      <c r="K83" t="inlineStr"/>
      <c r="L83" s="4" t="n">
        <v>236000</v>
      </c>
      <c r="M83" s="3" t="inlineStr"/>
      <c r="N83" t="inlineStr">
        <is>
          <t>11-12</t>
        </is>
      </c>
    </row>
    <row r="84">
      <c r="A84" s="2" t="inlineStr">
        <is>
          <t>10</t>
        </is>
      </c>
      <c r="B84" t="inlineStr">
        <is>
          <t>SIVIERO EMPREENDIMENTOS IMOBILIÁRIOS LTDA.</t>
        </is>
      </c>
      <c r="C84" t="inlineStr">
        <is>
          <t>89.472.195/0001-86</t>
        </is>
      </c>
      <c r="D84" t="inlineStr">
        <is>
          <t>Lote em loteamento</t>
        </is>
      </c>
      <c r="E84" s="2" t="inlineStr"/>
      <c r="F84" t="inlineStr">
        <is>
          <t>26. LOTEAMENTO ALTOS DA JULIETA I, II</t>
        </is>
      </c>
      <c r="G84" s="2" t="inlineStr">
        <is>
          <t>006</t>
        </is>
      </c>
      <c r="H84" s="2" t="inlineStr">
        <is>
          <t>1722</t>
        </is>
      </c>
      <c r="I84" s="3" t="inlineStr"/>
      <c r="J84" s="2" t="inlineStr"/>
      <c r="K84" t="inlineStr"/>
      <c r="L84" s="4" t="n">
        <v>159000</v>
      </c>
      <c r="M84" s="3" t="inlineStr"/>
      <c r="N84" t="inlineStr">
        <is>
          <t>12</t>
        </is>
      </c>
    </row>
    <row r="85">
      <c r="A85" s="2" t="inlineStr">
        <is>
          <t>10</t>
        </is>
      </c>
      <c r="B85" t="inlineStr">
        <is>
          <t>SIVIERO EMPREENDIMENTOS IMOBILIÁRIOS LTDA.</t>
        </is>
      </c>
      <c r="C85" t="inlineStr">
        <is>
          <t>89.472.195/0001-86</t>
        </is>
      </c>
      <c r="D85" t="inlineStr">
        <is>
          <t>Lote em loteamento</t>
        </is>
      </c>
      <c r="E85" s="2" t="inlineStr"/>
      <c r="F85" t="inlineStr">
        <is>
          <t>26. LOTEAMENTO ALTOS DA JULIETA I, II</t>
        </is>
      </c>
      <c r="G85" s="2" t="inlineStr">
        <is>
          <t>001</t>
        </is>
      </c>
      <c r="H85" s="2" t="inlineStr">
        <is>
          <t>1727</t>
        </is>
      </c>
      <c r="I85" s="3" t="inlineStr"/>
      <c r="J85" s="2" t="inlineStr"/>
      <c r="K85" t="inlineStr"/>
      <c r="L85" s="4" t="n">
        <v>160000</v>
      </c>
      <c r="M85" s="3" t="inlineStr"/>
      <c r="N85" t="inlineStr">
        <is>
          <t>12</t>
        </is>
      </c>
    </row>
    <row r="86">
      <c r="A86" s="2" t="inlineStr">
        <is>
          <t>10</t>
        </is>
      </c>
      <c r="B86" t="inlineStr">
        <is>
          <t>SIVIERO EMPREENDIMENTOS IMOBILIÁRIOS LTDA.</t>
        </is>
      </c>
      <c r="C86" t="inlineStr">
        <is>
          <t>89.472.195/0001-86</t>
        </is>
      </c>
      <c r="D86" t="inlineStr">
        <is>
          <t>Lote em loteamento</t>
        </is>
      </c>
      <c r="E86" s="2" t="inlineStr"/>
      <c r="F86" t="inlineStr">
        <is>
          <t>26. LOTEAMENTO ALTOS DA JULIETA I, II</t>
        </is>
      </c>
      <c r="G86" s="2" t="inlineStr">
        <is>
          <t>001</t>
        </is>
      </c>
      <c r="H86" s="2" t="inlineStr">
        <is>
          <t>1728</t>
        </is>
      </c>
      <c r="I86" s="3" t="inlineStr"/>
      <c r="J86" s="2" t="inlineStr"/>
      <c r="K86" t="inlineStr"/>
      <c r="L86" s="4" t="n">
        <v>160000</v>
      </c>
      <c r="M86" s="3" t="inlineStr"/>
      <c r="N86" t="inlineStr">
        <is>
          <t>12</t>
        </is>
      </c>
    </row>
    <row r="87">
      <c r="A87" s="2" t="inlineStr">
        <is>
          <t>10</t>
        </is>
      </c>
      <c r="B87" t="inlineStr">
        <is>
          <t>SIVIERO EMPREENDIMENTOS IMOBILIÁRIOS LTDA.</t>
        </is>
      </c>
      <c r="C87" t="inlineStr">
        <is>
          <t>89.472.195/0001-86</t>
        </is>
      </c>
      <c r="D87" t="inlineStr">
        <is>
          <t>Lote em loteamento</t>
        </is>
      </c>
      <c r="E87" s="2" t="inlineStr"/>
      <c r="F87" t="inlineStr">
        <is>
          <t>26. LOTEAMENTO ALTOS DA JULIETA I, II</t>
        </is>
      </c>
      <c r="G87" s="2" t="inlineStr">
        <is>
          <t>006</t>
        </is>
      </c>
      <c r="H87" s="2" t="inlineStr">
        <is>
          <t>1731</t>
        </is>
      </c>
      <c r="I87" s="3" t="inlineStr"/>
      <c r="J87" s="2" t="inlineStr"/>
      <c r="K87" t="inlineStr"/>
      <c r="L87" s="4" t="n">
        <v>148000</v>
      </c>
      <c r="M87" s="3" t="inlineStr"/>
      <c r="N87" t="inlineStr">
        <is>
          <t>12</t>
        </is>
      </c>
    </row>
    <row r="88">
      <c r="A88" s="2" t="inlineStr">
        <is>
          <t>10</t>
        </is>
      </c>
      <c r="B88" t="inlineStr">
        <is>
          <t>SIVIERO EMPREENDIMENTOS IMOBILIÁRIOS LTDA.</t>
        </is>
      </c>
      <c r="C88" t="inlineStr">
        <is>
          <t>89.472.195/0001-86</t>
        </is>
      </c>
      <c r="D88" t="inlineStr">
        <is>
          <t>Lote em loteamento</t>
        </is>
      </c>
      <c r="E88" s="2" t="inlineStr"/>
      <c r="F88" t="inlineStr">
        <is>
          <t>27. LOTEAMENTO MONTE VÊNETO I, II</t>
        </is>
      </c>
      <c r="G88" s="2" t="inlineStr">
        <is>
          <t>006</t>
        </is>
      </c>
      <c r="H88" s="2" t="inlineStr">
        <is>
          <t>02</t>
        </is>
      </c>
      <c r="I88" s="3" t="inlineStr"/>
      <c r="J88" s="2" t="inlineStr"/>
      <c r="K88" t="inlineStr"/>
      <c r="L88" s="4" t="n">
        <v>88000</v>
      </c>
      <c r="M88" s="3" t="inlineStr"/>
      <c r="N88" t="inlineStr">
        <is>
          <t>12</t>
        </is>
      </c>
    </row>
    <row r="89">
      <c r="A89" s="2" t="inlineStr">
        <is>
          <t>10</t>
        </is>
      </c>
      <c r="B89" t="inlineStr">
        <is>
          <t>SIVIERO EMPREENDIMENTOS IMOBILIÁRIOS LTDA.</t>
        </is>
      </c>
      <c r="C89" t="inlineStr">
        <is>
          <t>89.472.195/0001-86</t>
        </is>
      </c>
      <c r="D89" t="inlineStr">
        <is>
          <t>Lote em loteamento</t>
        </is>
      </c>
      <c r="E89" s="2" t="inlineStr"/>
      <c r="F89" t="inlineStr">
        <is>
          <t>27. LOTEAMENTO MONTE VÊNETO I, II</t>
        </is>
      </c>
      <c r="G89" s="2" t="inlineStr">
        <is>
          <t>004</t>
        </is>
      </c>
      <c r="H89" s="2" t="inlineStr">
        <is>
          <t>05</t>
        </is>
      </c>
      <c r="I89" s="3" t="inlineStr"/>
      <c r="J89" s="2" t="inlineStr"/>
      <c r="K89" t="inlineStr"/>
      <c r="L89" s="4" t="n">
        <v>99000</v>
      </c>
      <c r="M89" s="3" t="inlineStr"/>
      <c r="N89" t="inlineStr">
        <is>
          <t>12</t>
        </is>
      </c>
    </row>
    <row r="90">
      <c r="A90" s="2" t="inlineStr">
        <is>
          <t>10</t>
        </is>
      </c>
      <c r="B90" t="inlineStr">
        <is>
          <t>SIVIERO EMPREENDIMENTOS IMOBILIÁRIOS LTDA.</t>
        </is>
      </c>
      <c r="C90" t="inlineStr">
        <is>
          <t>89.472.195/0001-86</t>
        </is>
      </c>
      <c r="D90" t="inlineStr">
        <is>
          <t>Lote em loteamento</t>
        </is>
      </c>
      <c r="E90" s="2" t="inlineStr"/>
      <c r="F90" t="inlineStr">
        <is>
          <t>27. LOTEAMENTO MONTE VÊNETO I, II</t>
        </is>
      </c>
      <c r="G90" s="2" t="inlineStr">
        <is>
          <t>008</t>
        </is>
      </c>
      <c r="H90" s="2" t="inlineStr">
        <is>
          <t>06</t>
        </is>
      </c>
      <c r="I90" s="3" t="inlineStr"/>
      <c r="J90" s="2" t="inlineStr"/>
      <c r="K90" t="inlineStr"/>
      <c r="L90" s="4" t="n">
        <v>106000</v>
      </c>
      <c r="M90" s="3" t="inlineStr"/>
      <c r="N90" t="inlineStr">
        <is>
          <t>12</t>
        </is>
      </c>
    </row>
    <row r="91">
      <c r="A91" s="2" t="inlineStr">
        <is>
          <t>10</t>
        </is>
      </c>
      <c r="B91" t="inlineStr">
        <is>
          <t>SIVIERO EMPREENDIMENTOS IMOBILIÁRIOS LTDA.</t>
        </is>
      </c>
      <c r="C91" t="inlineStr">
        <is>
          <t>89.472.195/0001-86</t>
        </is>
      </c>
      <c r="D91" t="inlineStr">
        <is>
          <t>Lote em loteamento</t>
        </is>
      </c>
      <c r="E91" s="2" t="inlineStr"/>
      <c r="F91" t="inlineStr">
        <is>
          <t>27. LOTEAMENTO MONTE VÊNETO I, II</t>
        </is>
      </c>
      <c r="G91" s="2" t="inlineStr">
        <is>
          <t>012</t>
        </is>
      </c>
      <c r="H91" s="2" t="inlineStr">
        <is>
          <t>10</t>
        </is>
      </c>
      <c r="I91" s="3" t="inlineStr"/>
      <c r="J91" s="2" t="inlineStr"/>
      <c r="K91" t="inlineStr"/>
      <c r="L91" s="4" t="n">
        <v>82000</v>
      </c>
      <c r="M91" s="3" t="inlineStr"/>
      <c r="N91" t="inlineStr">
        <is>
          <t>12</t>
        </is>
      </c>
    </row>
    <row r="92">
      <c r="A92" s="2" t="inlineStr">
        <is>
          <t>10</t>
        </is>
      </c>
      <c r="B92" t="inlineStr">
        <is>
          <t>SIVIERO EMPREENDIMENTOS IMOBILIÁRIOS LTDA.</t>
        </is>
      </c>
      <c r="C92" t="inlineStr">
        <is>
          <t>89.472.195/0001-86</t>
        </is>
      </c>
      <c r="D92" t="inlineStr">
        <is>
          <t>Lote em loteamento</t>
        </is>
      </c>
      <c r="E92" s="2" t="inlineStr"/>
      <c r="F92" t="inlineStr">
        <is>
          <t>27. LOTEAMENTO MONTE VÊNETO I, II</t>
        </is>
      </c>
      <c r="G92" s="2" t="inlineStr">
        <is>
          <t>013</t>
        </is>
      </c>
      <c r="H92" s="2" t="inlineStr">
        <is>
          <t>10</t>
        </is>
      </c>
      <c r="I92" s="3" t="inlineStr"/>
      <c r="J92" s="2" t="inlineStr"/>
      <c r="K92" t="inlineStr"/>
      <c r="L92" s="4" t="n">
        <v>88000</v>
      </c>
      <c r="M92" s="3" t="inlineStr"/>
      <c r="N92" t="inlineStr">
        <is>
          <t>12</t>
        </is>
      </c>
    </row>
    <row r="93">
      <c r="A93" s="2" t="inlineStr">
        <is>
          <t>10</t>
        </is>
      </c>
      <c r="B93" t="inlineStr">
        <is>
          <t>SIVIERO EMPREENDIMENTOS IMOBILIÁRIOS LTDA.</t>
        </is>
      </c>
      <c r="C93" t="inlineStr">
        <is>
          <t>89.472.195/0001-86</t>
        </is>
      </c>
      <c r="D93" t="inlineStr">
        <is>
          <t>Lote em loteamento</t>
        </is>
      </c>
      <c r="E93" s="2" t="inlineStr"/>
      <c r="F93" t="inlineStr">
        <is>
          <t>27. LOTEAMENTO MONTE VÊNETO I, II</t>
        </is>
      </c>
      <c r="G93" s="2" t="inlineStr">
        <is>
          <t>001</t>
        </is>
      </c>
      <c r="H93" s="2" t="inlineStr">
        <is>
          <t>11</t>
        </is>
      </c>
      <c r="I93" s="3" t="inlineStr"/>
      <c r="J93" s="2" t="inlineStr"/>
      <c r="K93" t="inlineStr"/>
      <c r="L93" s="4" t="n">
        <v>88000</v>
      </c>
      <c r="M93" s="3" t="inlineStr"/>
      <c r="N93" t="inlineStr">
        <is>
          <t>12</t>
        </is>
      </c>
    </row>
    <row r="94">
      <c r="A94" s="2" t="inlineStr">
        <is>
          <t>10</t>
        </is>
      </c>
      <c r="B94" t="inlineStr">
        <is>
          <t>SIVIERO EMPREENDIMENTOS IMOBILIÁRIOS LTDA.</t>
        </is>
      </c>
      <c r="C94" t="inlineStr">
        <is>
          <t>89.472.195/0001-86</t>
        </is>
      </c>
      <c r="D94" t="inlineStr">
        <is>
          <t>Lote em loteamento</t>
        </is>
      </c>
      <c r="E94" s="2" t="inlineStr"/>
      <c r="F94" t="inlineStr">
        <is>
          <t>27. LOTEAMENTO MONTE VÊNETO I, II</t>
        </is>
      </c>
      <c r="G94" s="2" t="inlineStr">
        <is>
          <t>002</t>
        </is>
      </c>
      <c r="H94" s="2" t="inlineStr">
        <is>
          <t>11</t>
        </is>
      </c>
      <c r="I94" s="3" t="inlineStr"/>
      <c r="J94" s="2" t="inlineStr"/>
      <c r="K94" t="inlineStr"/>
      <c r="L94" s="4" t="n">
        <v>84000</v>
      </c>
      <c r="M94" s="3" t="inlineStr"/>
      <c r="N94" t="inlineStr">
        <is>
          <t>12</t>
        </is>
      </c>
    </row>
    <row r="95">
      <c r="A95" s="2" t="inlineStr">
        <is>
          <t>10</t>
        </is>
      </c>
      <c r="B95" t="inlineStr">
        <is>
          <t>SIVIERO EMPREENDIMENTOS IMOBILIÁRIOS LTDA.</t>
        </is>
      </c>
      <c r="C95" t="inlineStr">
        <is>
          <t>89.472.195/0001-86</t>
        </is>
      </c>
      <c r="D95" t="inlineStr">
        <is>
          <t>Lote em loteamento</t>
        </is>
      </c>
      <c r="E95" s="2" t="inlineStr"/>
      <c r="F95" t="inlineStr">
        <is>
          <t>27. LOTEAMENTO MONTE VÊNETO I, II</t>
        </is>
      </c>
      <c r="G95" s="2" t="inlineStr">
        <is>
          <t>005</t>
        </is>
      </c>
      <c r="H95" s="2" t="inlineStr">
        <is>
          <t>12</t>
        </is>
      </c>
      <c r="I95" s="3" t="inlineStr"/>
      <c r="J95" s="2" t="inlineStr"/>
      <c r="K95" t="inlineStr"/>
      <c r="L95" s="4" t="n">
        <v>82000</v>
      </c>
      <c r="M95" s="3" t="inlineStr"/>
      <c r="N95" t="inlineStr">
        <is>
          <t>12</t>
        </is>
      </c>
    </row>
    <row r="96">
      <c r="A96" s="2" t="inlineStr">
        <is>
          <t>10</t>
        </is>
      </c>
      <c r="B96" t="inlineStr">
        <is>
          <t>SIVIERO EMPREENDIMENTOS IMOBILIÁRIOS LTDA.</t>
        </is>
      </c>
      <c r="C96" t="inlineStr">
        <is>
          <t>89.472.195/0001-86</t>
        </is>
      </c>
      <c r="D96" t="inlineStr">
        <is>
          <t>Lote em loteamento</t>
        </is>
      </c>
      <c r="E96" s="2" t="inlineStr"/>
      <c r="F96" t="inlineStr">
        <is>
          <t>27. LOTEAMENTO MONTE VÊNETO I, II</t>
        </is>
      </c>
      <c r="G96" s="2" t="inlineStr">
        <is>
          <t>009</t>
        </is>
      </c>
      <c r="H96" s="2" t="inlineStr">
        <is>
          <t>12</t>
        </is>
      </c>
      <c r="I96" s="3" t="inlineStr"/>
      <c r="J96" s="2" t="inlineStr"/>
      <c r="K96" t="inlineStr"/>
      <c r="L96" s="4" t="n">
        <v>82000</v>
      </c>
      <c r="M96" s="3" t="inlineStr"/>
      <c r="N96" t="inlineStr">
        <is>
          <t>12</t>
        </is>
      </c>
    </row>
    <row r="97">
      <c r="A97" s="2" t="inlineStr">
        <is>
          <t>10</t>
        </is>
      </c>
      <c r="B97" t="inlineStr">
        <is>
          <t>SIVIERO EMPREENDIMENTOS IMOBILIÁRIOS LTDA.</t>
        </is>
      </c>
      <c r="C97" t="inlineStr">
        <is>
          <t>89.472.195/0001-86</t>
        </is>
      </c>
      <c r="D97" t="inlineStr">
        <is>
          <t>Lote em loteamento</t>
        </is>
      </c>
      <c r="E97" s="2" t="inlineStr"/>
      <c r="F97" t="inlineStr">
        <is>
          <t>27. LOTEAMENTO MONTE VÊNETO I, II</t>
        </is>
      </c>
      <c r="G97" s="2" t="inlineStr">
        <is>
          <t>007</t>
        </is>
      </c>
      <c r="H97" s="2" t="inlineStr">
        <is>
          <t>14</t>
        </is>
      </c>
      <c r="I97" s="3" t="inlineStr"/>
      <c r="J97" s="2" t="inlineStr"/>
      <c r="K97" t="inlineStr"/>
      <c r="L97" s="4" t="n">
        <v>77000</v>
      </c>
      <c r="M97" s="3" t="inlineStr"/>
      <c r="N97" t="inlineStr">
        <is>
          <t>12</t>
        </is>
      </c>
    </row>
    <row r="98">
      <c r="A98" s="2" t="inlineStr">
        <is>
          <t>10</t>
        </is>
      </c>
      <c r="B98" t="inlineStr">
        <is>
          <t>SIVIERO EMPREENDIMENTOS IMOBILIÁRIOS LTDA.</t>
        </is>
      </c>
      <c r="C98" t="inlineStr">
        <is>
          <t>89.472.195/0001-86</t>
        </is>
      </c>
      <c r="D98" t="inlineStr">
        <is>
          <t>Lote em loteamento</t>
        </is>
      </c>
      <c r="E98" s="2" t="inlineStr"/>
      <c r="F98" t="inlineStr">
        <is>
          <t>29. LOTEAMENTO ALTOS DA GRAÇA I</t>
        </is>
      </c>
      <c r="G98" s="2" t="inlineStr">
        <is>
          <t>007</t>
        </is>
      </c>
      <c r="H98" s="2" t="inlineStr">
        <is>
          <t>A - 6364</t>
        </is>
      </c>
      <c r="I98" s="3" t="inlineStr"/>
      <c r="J98" s="2" t="inlineStr"/>
      <c r="K98" t="inlineStr"/>
      <c r="L98" s="4" t="n">
        <v>305000</v>
      </c>
      <c r="M98" s="3" t="inlineStr"/>
      <c r="N98" t="inlineStr">
        <is>
          <t>12</t>
        </is>
      </c>
    </row>
    <row r="99">
      <c r="A99" s="2" t="inlineStr">
        <is>
          <t>10</t>
        </is>
      </c>
      <c r="B99" t="inlineStr">
        <is>
          <t>SIVIERO EMPREENDIMENTOS IMOBILIÁRIOS LTDA.</t>
        </is>
      </c>
      <c r="C99" t="inlineStr">
        <is>
          <t>89.472.195/0001-86</t>
        </is>
      </c>
      <c r="D99" t="inlineStr">
        <is>
          <t>Lote em loteamento</t>
        </is>
      </c>
      <c r="E99" s="2" t="inlineStr"/>
      <c r="F99" t="inlineStr">
        <is>
          <t>29. LOTEAMENTO ALTOS DA GRAÇA I</t>
        </is>
      </c>
      <c r="G99" s="2" t="inlineStr">
        <is>
          <t>016</t>
        </is>
      </c>
      <c r="H99" s="2" t="inlineStr">
        <is>
          <t>C - 6366</t>
        </is>
      </c>
      <c r="I99" s="3" t="inlineStr"/>
      <c r="J99" s="2" t="inlineStr"/>
      <c r="K99" t="inlineStr"/>
      <c r="L99" s="4" t="n">
        <v>414000</v>
      </c>
      <c r="M99" s="3" t="inlineStr"/>
      <c r="N99" t="inlineStr">
        <is>
          <t>12</t>
        </is>
      </c>
    </row>
    <row r="100">
      <c r="A100" s="2" t="inlineStr">
        <is>
          <t>10</t>
        </is>
      </c>
      <c r="B100" t="inlineStr">
        <is>
          <t>SIVIERO EMPREENDIMENTOS IMOBILIÁRIOS LTDA.</t>
        </is>
      </c>
      <c r="C100" t="inlineStr">
        <is>
          <t>89.472.195/0001-86</t>
        </is>
      </c>
      <c r="D100" t="inlineStr">
        <is>
          <t>Lote em loteamento</t>
        </is>
      </c>
      <c r="E100" s="2" t="inlineStr"/>
      <c r="F100" t="inlineStr">
        <is>
          <t>29. LOTEAMENTO ALTOS DA GRAÇA I</t>
        </is>
      </c>
      <c r="G100" s="2" t="inlineStr">
        <is>
          <t>017</t>
        </is>
      </c>
      <c r="H100" s="2" t="inlineStr">
        <is>
          <t>C - 6366</t>
        </is>
      </c>
      <c r="I100" s="3" t="inlineStr"/>
      <c r="J100" s="2" t="inlineStr"/>
      <c r="K100" t="inlineStr"/>
      <c r="L100" s="4" t="n">
        <v>416000</v>
      </c>
      <c r="M100" s="3" t="inlineStr"/>
      <c r="N100" t="inlineStr">
        <is>
          <t>12</t>
        </is>
      </c>
    </row>
    <row r="101">
      <c r="A101" s="2" t="inlineStr">
        <is>
          <t>10</t>
        </is>
      </c>
      <c r="B101" t="inlineStr">
        <is>
          <t>SIVIERO EMPREENDIMENTOS IMOBILIÁRIOS LTDA.</t>
        </is>
      </c>
      <c r="C101" t="inlineStr">
        <is>
          <t>89.472.195/0001-86</t>
        </is>
      </c>
      <c r="D101" t="inlineStr">
        <is>
          <t>Lote em loteamento</t>
        </is>
      </c>
      <c r="E101" s="2" t="inlineStr"/>
      <c r="F101" t="inlineStr">
        <is>
          <t>29. LOTEAMENTO ALTOS DA GRAÇA I</t>
        </is>
      </c>
      <c r="G101" s="2" t="inlineStr">
        <is>
          <t>014</t>
        </is>
      </c>
      <c r="H101" s="2" t="inlineStr">
        <is>
          <t>G - 6370</t>
        </is>
      </c>
      <c r="I101" s="3" t="inlineStr"/>
      <c r="J101" s="2" t="inlineStr"/>
      <c r="K101" t="inlineStr"/>
      <c r="L101" s="4" t="n">
        <v>148000</v>
      </c>
      <c r="M101" s="3" t="inlineStr"/>
      <c r="N101" t="inlineStr">
        <is>
          <t>12</t>
        </is>
      </c>
    </row>
    <row r="102">
      <c r="A102" s="2" t="inlineStr">
        <is>
          <t>10</t>
        </is>
      </c>
      <c r="B102" t="inlineStr">
        <is>
          <t>SIVIERO EMPREENDIMENTOS IMOBILIÁRIOS LTDA.</t>
        </is>
      </c>
      <c r="C102" t="inlineStr">
        <is>
          <t>89.472.195/0001-86</t>
        </is>
      </c>
      <c r="D102" t="inlineStr">
        <is>
          <t>Lote em loteamento</t>
        </is>
      </c>
      <c r="E102" s="2" t="inlineStr"/>
      <c r="F102" t="inlineStr">
        <is>
          <t>29. LOTEAMENTO ALTOS DA GRAÇA I</t>
        </is>
      </c>
      <c r="G102" s="2" t="inlineStr">
        <is>
          <t>011</t>
        </is>
      </c>
      <c r="H102" s="2" t="inlineStr">
        <is>
          <t>H - 6371</t>
        </is>
      </c>
      <c r="I102" s="3" t="inlineStr"/>
      <c r="J102" s="2" t="inlineStr"/>
      <c r="K102" t="inlineStr"/>
      <c r="L102" s="4" t="n">
        <v>141000</v>
      </c>
      <c r="M102" s="3" t="inlineStr"/>
      <c r="N102" t="inlineStr">
        <is>
          <t>12</t>
        </is>
      </c>
    </row>
    <row r="103">
      <c r="A103" s="2" t="inlineStr">
        <is>
          <t>10</t>
        </is>
      </c>
      <c r="B103" t="inlineStr">
        <is>
          <t>SIVIERO EMPREENDIMENTOS IMOBILIÁRIOS LTDA.</t>
        </is>
      </c>
      <c r="C103" t="inlineStr">
        <is>
          <t>89.472.195/0001-86</t>
        </is>
      </c>
      <c r="D103" t="inlineStr">
        <is>
          <t>Lote em loteamento</t>
        </is>
      </c>
      <c r="E103" s="2" t="inlineStr"/>
      <c r="F103" t="inlineStr">
        <is>
          <t>30. LOTEAMENTO FALAVIGNA</t>
        </is>
      </c>
      <c r="G103" s="2" t="inlineStr">
        <is>
          <t>023</t>
        </is>
      </c>
      <c r="H103" s="2" t="inlineStr">
        <is>
          <t>172</t>
        </is>
      </c>
      <c r="I103" s="3" t="inlineStr"/>
      <c r="J103" s="2" t="inlineStr"/>
      <c r="K103" t="inlineStr"/>
      <c r="L103" s="4" t="n">
        <v>934000</v>
      </c>
      <c r="M103" s="3" t="inlineStr"/>
      <c r="N103" t="inlineStr">
        <is>
          <t>12</t>
        </is>
      </c>
    </row>
    <row r="104">
      <c r="A104" s="2" t="inlineStr">
        <is>
          <t>10</t>
        </is>
      </c>
      <c r="B104" t="inlineStr">
        <is>
          <t>SIVIERO EMPREENDIMENTOS IMOBILIÁRIOS LTDA.</t>
        </is>
      </c>
      <c r="C104" t="inlineStr">
        <is>
          <t>89.472.195/0001-86</t>
        </is>
      </c>
      <c r="D104" t="inlineStr">
        <is>
          <t>Lote em loteamento</t>
        </is>
      </c>
      <c r="E104" s="2" t="inlineStr"/>
      <c r="F104" t="inlineStr">
        <is>
          <t>30. LOTEAMENTO FALAVIGNA</t>
        </is>
      </c>
      <c r="G104" s="2" t="inlineStr">
        <is>
          <t>022</t>
        </is>
      </c>
      <c r="H104" s="2" t="inlineStr">
        <is>
          <t>174</t>
        </is>
      </c>
      <c r="I104" s="3" t="inlineStr"/>
      <c r="J104" s="2" t="inlineStr"/>
      <c r="K104" t="inlineStr"/>
      <c r="L104" s="4" t="n">
        <v>581000</v>
      </c>
      <c r="M104" s="3" t="inlineStr"/>
      <c r="N104" t="inlineStr">
        <is>
          <t>12</t>
        </is>
      </c>
    </row>
    <row r="105">
      <c r="A105" s="2" t="inlineStr">
        <is>
          <t>10</t>
        </is>
      </c>
      <c r="B105" t="inlineStr">
        <is>
          <t>SIVIERO EMPREENDIMENTOS IMOBILIÁRIOS LTDA.</t>
        </is>
      </c>
      <c r="C105" t="inlineStr">
        <is>
          <t>89.472.195/0001-86</t>
        </is>
      </c>
      <c r="D105" t="inlineStr">
        <is>
          <t>Lote em loteamento</t>
        </is>
      </c>
      <c r="E105" s="2" t="inlineStr"/>
      <c r="F105" t="inlineStr">
        <is>
          <t>30. LOTEAMENTO FALAVIGNA</t>
        </is>
      </c>
      <c r="G105" s="2" t="inlineStr">
        <is>
          <t>028</t>
        </is>
      </c>
      <c r="H105" s="2" t="inlineStr">
        <is>
          <t>175</t>
        </is>
      </c>
      <c r="I105" s="3" t="inlineStr"/>
      <c r="J105" s="2" t="inlineStr"/>
      <c r="K105" t="inlineStr"/>
      <c r="L105" s="4" t="n">
        <v>532000</v>
      </c>
      <c r="M105" s="3" t="inlineStr"/>
      <c r="N105" t="inlineStr">
        <is>
          <t>12</t>
        </is>
      </c>
    </row>
    <row r="106">
      <c r="A106" s="2" t="inlineStr">
        <is>
          <t>10</t>
        </is>
      </c>
      <c r="B106" t="inlineStr">
        <is>
          <t>SIVIERO EMPREENDIMENTOS IMOBILIÁRIOS LTDA.</t>
        </is>
      </c>
      <c r="C106" t="inlineStr">
        <is>
          <t>89.472.195/0001-86</t>
        </is>
      </c>
      <c r="D106" t="inlineStr">
        <is>
          <t>Lote em loteamento</t>
        </is>
      </c>
      <c r="E106" s="2" t="inlineStr"/>
      <c r="F106" t="inlineStr">
        <is>
          <t>30. LOTEAMENTO FALAVIGNA</t>
        </is>
      </c>
      <c r="G106" s="2" t="inlineStr">
        <is>
          <t>029</t>
        </is>
      </c>
      <c r="H106" s="2" t="inlineStr">
        <is>
          <t>322</t>
        </is>
      </c>
      <c r="I106" s="3" t="inlineStr"/>
      <c r="J106" s="2" t="inlineStr"/>
      <c r="K106" t="inlineStr"/>
      <c r="L106" s="4" t="n">
        <v>758000</v>
      </c>
      <c r="M106" s="3" t="inlineStr"/>
      <c r="N106" t="inlineStr">
        <is>
          <t>12</t>
        </is>
      </c>
    </row>
    <row r="107">
      <c r="A107" s="2" t="inlineStr">
        <is>
          <t>10</t>
        </is>
      </c>
      <c r="B107" t="inlineStr">
        <is>
          <t>SIVIERO EMPREENDIMENTOS IMOBILIÁRIOS LTDA.</t>
        </is>
      </c>
      <c r="C107" t="inlineStr">
        <is>
          <t>89.472.195/0001-86</t>
        </is>
      </c>
      <c r="D107" t="inlineStr">
        <is>
          <t>Lote em loteamento</t>
        </is>
      </c>
      <c r="E107" s="2" t="inlineStr"/>
      <c r="F107" t="inlineStr">
        <is>
          <t>30. LOTEAMENTO FALAVIGNA</t>
        </is>
      </c>
      <c r="G107" s="2" t="inlineStr">
        <is>
          <t>017</t>
        </is>
      </c>
      <c r="H107" s="2" t="inlineStr">
        <is>
          <t>876</t>
        </is>
      </c>
      <c r="I107" s="3" t="inlineStr"/>
      <c r="J107" s="2" t="inlineStr"/>
      <c r="K107" t="inlineStr"/>
      <c r="L107" s="4" t="n">
        <v>576000</v>
      </c>
      <c r="M107" s="3" t="inlineStr"/>
      <c r="N107" t="inlineStr">
        <is>
          <t>12</t>
        </is>
      </c>
    </row>
    <row r="108">
      <c r="A108" s="2" t="inlineStr">
        <is>
          <t>10</t>
        </is>
      </c>
      <c r="B108" t="inlineStr">
        <is>
          <t>SIVIERO EMPREENDIMENTOS IMOBILIÁRIOS LTDA.</t>
        </is>
      </c>
      <c r="C108" t="inlineStr">
        <is>
          <t>89.472.195/0001-86</t>
        </is>
      </c>
      <c r="D108" t="inlineStr">
        <is>
          <t>Lote em loteamento</t>
        </is>
      </c>
      <c r="E108" s="2" t="inlineStr"/>
      <c r="F108" t="inlineStr">
        <is>
          <t>30. LOTEAMENTO FALAVIGNA</t>
        </is>
      </c>
      <c r="G108" s="2" t="inlineStr">
        <is>
          <t>004</t>
        </is>
      </c>
      <c r="H108" s="2" t="inlineStr">
        <is>
          <t>878</t>
        </is>
      </c>
      <c r="I108" s="3" t="inlineStr"/>
      <c r="J108" s="2" t="inlineStr"/>
      <c r="K108" t="inlineStr"/>
      <c r="L108" s="4" t="n">
        <v>595000</v>
      </c>
      <c r="M108" s="3" t="inlineStr"/>
      <c r="N108" t="inlineStr">
        <is>
          <t>12</t>
        </is>
      </c>
    </row>
    <row r="109">
      <c r="A109" s="2" t="inlineStr">
        <is>
          <t>10</t>
        </is>
      </c>
      <c r="B109" t="inlineStr">
        <is>
          <t>SIVIERO EMPREENDIMENTOS IMOBILIÁRIOS LTDA.</t>
        </is>
      </c>
      <c r="C109" t="inlineStr">
        <is>
          <t>89.472.195/0001-86</t>
        </is>
      </c>
      <c r="D109" t="inlineStr">
        <is>
          <t>Lote em loteamento</t>
        </is>
      </c>
      <c r="E109" s="2" t="inlineStr"/>
      <c r="F109" t="inlineStr">
        <is>
          <t>30. LOTEAMENTO FALAVIGNA</t>
        </is>
      </c>
      <c r="G109" s="2" t="inlineStr">
        <is>
          <t>005</t>
        </is>
      </c>
      <c r="H109" s="2" t="inlineStr">
        <is>
          <t>878</t>
        </is>
      </c>
      <c r="I109" s="3" t="inlineStr"/>
      <c r="J109" s="2" t="inlineStr"/>
      <c r="K109" t="inlineStr"/>
      <c r="L109" s="4" t="n">
        <v>595000</v>
      </c>
      <c r="M109" s="3" t="inlineStr"/>
      <c r="N109" t="inlineStr">
        <is>
          <t>12</t>
        </is>
      </c>
    </row>
    <row r="111">
      <c r="K111" s="5" t="inlineStr">
        <is>
          <t>TOTAL</t>
        </is>
      </c>
      <c r="L111" s="6">
        <f>SUBTOTAL(9,L2:L109)</f>
        <v/>
      </c>
    </row>
  </sheetData>
  <autoFilter ref="A1:N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12" customWidth="1" min="4" max="4"/>
    <col width="20" customWidth="1" min="5" max="5"/>
  </cols>
  <sheetData>
    <row r="1">
      <c r="A1" s="1" t="inlineStr">
        <is>
          <t>Nº empresa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Qtd. ativos</t>
        </is>
      </c>
      <c r="E1" s="1" t="inlineStr">
        <is>
          <t>Valor (R$)</t>
        </is>
      </c>
    </row>
    <row r="2">
      <c r="A2" s="2" t="inlineStr">
        <is>
          <t>05</t>
        </is>
      </c>
      <c r="B2" t="inlineStr">
        <is>
          <t>HOTEL PRINCESA DOS VALES LTDA.</t>
        </is>
      </c>
      <c r="C2" t="inlineStr">
        <is>
          <t>Imóvel rural</t>
        </is>
      </c>
      <c r="D2">
        <f>COUNTIFS('Ativos selecionados'!$A$2:$A$109,A2,'Ativos selecionados'!$D$2:$D$109,C2)</f>
        <v/>
      </c>
      <c r="E2" s="4">
        <f>SUMIFS('Ativos selecionados'!$L$2:$L$109,'Ativos selecionados'!$A$2:$A$109,A2,'Ativos selecionados'!$D$2:$D$109,C2)</f>
        <v/>
      </c>
    </row>
    <row r="3">
      <c r="A3" s="2" t="inlineStr">
        <is>
          <t>05</t>
        </is>
      </c>
      <c r="B3" t="inlineStr">
        <is>
          <t>HOTEL PRINCESA DOS VALES LTDA.</t>
        </is>
      </c>
      <c r="C3" t="inlineStr">
        <is>
          <t>Veículo</t>
        </is>
      </c>
      <c r="D3">
        <f>COUNTIFS('Ativos selecionados'!$A$2:$A$109,A3,'Ativos selecionados'!$D$2:$D$109,C3)</f>
        <v/>
      </c>
      <c r="E3" s="4">
        <f>SUMIFS('Ativos selecionados'!$L$2:$L$109,'Ativos selecionados'!$A$2:$A$109,A3,'Ativos selecionados'!$D$2:$D$109,C3)</f>
        <v/>
      </c>
    </row>
    <row r="4">
      <c r="A4" s="2" t="inlineStr">
        <is>
          <t>06</t>
        </is>
      </c>
      <c r="B4" t="inlineStr">
        <is>
          <t>HOTEL ARAÇÁ LTDA.</t>
        </is>
      </c>
      <c r="C4" t="inlineStr">
        <is>
          <t>Lote urbano</t>
        </is>
      </c>
      <c r="D4">
        <f>COUNTIFS('Ativos selecionados'!$A$2:$A$109,A4,'Ativos selecionados'!$D$2:$D$109,C4)</f>
        <v/>
      </c>
      <c r="E4" s="4">
        <f>SUMIFS('Ativos selecionados'!$L$2:$L$109,'Ativos selecionados'!$A$2:$A$109,A4,'Ativos selecionados'!$D$2:$D$109,C4)</f>
        <v/>
      </c>
    </row>
    <row r="5">
      <c r="A5" s="2" t="inlineStr">
        <is>
          <t>07</t>
        </is>
      </c>
      <c r="B5" t="inlineStr">
        <is>
          <t>RÁDIO COMUNIDADE PRINCESA DOS VALES FM LTDA.</t>
        </is>
      </c>
      <c r="C5" t="inlineStr">
        <is>
          <t>Veículo</t>
        </is>
      </c>
      <c r="D5">
        <f>COUNTIFS('Ativos selecionados'!$A$2:$A$109,A5,'Ativos selecionados'!$D$2:$D$109,C5)</f>
        <v/>
      </c>
      <c r="E5" s="4">
        <f>SUMIFS('Ativos selecionados'!$L$2:$L$109,'Ativos selecionados'!$A$2:$A$109,A5,'Ativos selecionados'!$D$2:$D$109,C5)</f>
        <v/>
      </c>
    </row>
    <row r="6">
      <c r="A6" s="2" t="inlineStr">
        <is>
          <t>10</t>
        </is>
      </c>
      <c r="B6" t="inlineStr">
        <is>
          <t>SIVIERO EMPREENDIMENTOS IMOBILIÁRIOS LTDA.</t>
        </is>
      </c>
      <c r="C6" t="inlineStr">
        <is>
          <t>Veículo</t>
        </is>
      </c>
      <c r="D6">
        <f>COUNTIFS('Ativos selecionados'!$A$2:$A$109,A6,'Ativos selecionados'!$D$2:$D$109,C6)</f>
        <v/>
      </c>
      <c r="E6" s="4">
        <f>SUMIFS('Ativos selecionados'!$L$2:$L$109,'Ativos selecionados'!$A$2:$A$109,A6,'Ativos selecionados'!$D$2:$D$109,C6)</f>
        <v/>
      </c>
    </row>
    <row r="7">
      <c r="A7" s="2" t="inlineStr">
        <is>
          <t>10</t>
        </is>
      </c>
      <c r="B7" t="inlineStr">
        <is>
          <t>SIVIERO EMPREENDIMENTOS IMOBILIÁRIOS LTDA.</t>
        </is>
      </c>
      <c r="C7" t="inlineStr">
        <is>
          <t>Lote urbano</t>
        </is>
      </c>
      <c r="D7">
        <f>COUNTIFS('Ativos selecionados'!$A$2:$A$109,A7,'Ativos selecionados'!$D$2:$D$109,C7)</f>
        <v/>
      </c>
      <c r="E7" s="4">
        <f>SUMIFS('Ativos selecionados'!$L$2:$L$109,'Ativos selecionados'!$A$2:$A$109,A7,'Ativos selecionados'!$D$2:$D$109,C7)</f>
        <v/>
      </c>
    </row>
    <row r="8">
      <c r="A8" s="2" t="inlineStr">
        <is>
          <t>10</t>
        </is>
      </c>
      <c r="B8" t="inlineStr">
        <is>
          <t>SIVIERO EMPREENDIMENTOS IMOBILIÁRIOS LTDA.</t>
        </is>
      </c>
      <c r="C8" t="inlineStr">
        <is>
          <t>Área urbana</t>
        </is>
      </c>
      <c r="D8">
        <f>COUNTIFS('Ativos selecionados'!$A$2:$A$109,A8,'Ativos selecionados'!$D$2:$D$109,C8)</f>
        <v/>
      </c>
      <c r="E8" s="4">
        <f>SUMIFS('Ativos selecionados'!$L$2:$L$109,'Ativos selecionados'!$A$2:$A$109,A8,'Ativos selecionados'!$D$2:$D$109,C8)</f>
        <v/>
      </c>
    </row>
    <row r="9">
      <c r="A9" s="2" t="inlineStr">
        <is>
          <t>10</t>
        </is>
      </c>
      <c r="B9" t="inlineStr">
        <is>
          <t>SIVIERO EMPREENDIMENTOS IMOBILIÁRIOS LTDA.</t>
        </is>
      </c>
      <c r="C9" t="inlineStr">
        <is>
          <t>Lote em loteamento</t>
        </is>
      </c>
      <c r="D9">
        <f>COUNTIFS('Ativos selecionados'!$A$2:$A$109,A9,'Ativos selecionados'!$D$2:$D$109,C9)</f>
        <v/>
      </c>
      <c r="E9" s="4">
        <f>SUMIFS('Ativos selecionados'!$L$2:$L$109,'Ativos selecionados'!$A$2:$A$109,A9,'Ativos selecionados'!$D$2:$D$109,C9)</f>
        <v/>
      </c>
    </row>
    <row r="11">
      <c r="C11" s="5" t="inlineStr">
        <is>
          <t>TOTAL GERAL</t>
        </is>
      </c>
      <c r="D11" s="5">
        <f>SUM(D2:D9)</f>
        <v/>
      </c>
      <c r="E11" s="6">
        <f>SUM(E2:E9)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46" customWidth="1" min="3" max="3"/>
    <col width="60" customWidth="1" min="4" max="4"/>
    <col width="18" customWidth="1" min="5" max="5"/>
  </cols>
  <sheetData>
    <row r="1">
      <c r="A1" s="1" t="inlineStr">
        <is>
          <t>Empresa</t>
        </is>
      </c>
      <c r="B1" s="1" t="inlineStr">
        <is>
          <t>Item</t>
        </is>
      </c>
      <c r="C1" s="1" t="inlineStr">
        <is>
          <t>Componente</t>
        </is>
      </c>
      <c r="D1" s="1" t="inlineStr">
        <is>
          <t>Base de cálculo (como no PDF)</t>
        </is>
      </c>
      <c r="E1" s="1" t="inlineStr">
        <is>
          <t>Valor (R$)</t>
        </is>
      </c>
    </row>
    <row r="2">
      <c r="A2" s="2" t="inlineStr">
        <is>
          <t>05</t>
        </is>
      </c>
      <c r="B2" s="2" t="inlineStr">
        <is>
          <t>04</t>
        </is>
      </c>
      <c r="C2" t="inlineStr">
        <is>
          <t>Área de terras</t>
        </is>
      </c>
      <c r="D2" t="inlineStr">
        <is>
          <t>9,4 ha × R$ 450.000,00/ha</t>
        </is>
      </c>
      <c r="E2" s="4" t="n">
        <v>4230000</v>
      </c>
    </row>
    <row r="3">
      <c r="A3" s="2" t="inlineStr">
        <is>
          <t>05</t>
        </is>
      </c>
      <c r="B3" s="2" t="inlineStr">
        <is>
          <t>04</t>
        </is>
      </c>
      <c r="C3" t="inlineStr">
        <is>
          <t>Pavilhão – obra civil</t>
        </is>
      </c>
      <c r="D3" t="inlineStr">
        <is>
          <t>891,00 m² × R$ 746,00 (CUB ago/2017)</t>
        </is>
      </c>
      <c r="E3" s="4" t="n">
        <v>664686</v>
      </c>
    </row>
    <row r="4">
      <c r="A4" s="2" t="inlineStr">
        <is>
          <t>05</t>
        </is>
      </c>
      <c r="B4" s="2" t="inlineStr">
        <is>
          <t>04</t>
        </is>
      </c>
      <c r="C4" t="inlineStr">
        <is>
          <t>Benfeitoria – Quiosque</t>
        </is>
      </c>
      <c r="D4" t="inlineStr"/>
      <c r="E4" s="4" t="n">
        <v>150000</v>
      </c>
    </row>
    <row r="5">
      <c r="A5" s="2" t="inlineStr">
        <is>
          <t>05</t>
        </is>
      </c>
      <c r="B5" s="2" t="inlineStr">
        <is>
          <t>04</t>
        </is>
      </c>
      <c r="C5" t="inlineStr">
        <is>
          <t>Casa de alvenaria (fundos da Sede)</t>
        </is>
      </c>
      <c r="D5" t="inlineStr">
        <is>
          <t>área construída em branco no PDF</t>
        </is>
      </c>
      <c r="E5" s="4" t="n">
        <v>250000</v>
      </c>
    </row>
    <row r="6">
      <c r="A6" s="2" t="inlineStr">
        <is>
          <t>05</t>
        </is>
      </c>
      <c r="B6" s="2" t="inlineStr">
        <is>
          <t>04</t>
        </is>
      </c>
      <c r="C6" t="inlineStr">
        <is>
          <t>Obras feitas e infraestrutura</t>
        </is>
      </c>
      <c r="D6" t="inlineStr">
        <is>
          <t>25% × R$ 1.064.686,00</t>
        </is>
      </c>
      <c r="E6" s="4" t="n">
        <v>266171.5</v>
      </c>
    </row>
    <row r="7">
      <c r="A7" s="2" t="inlineStr">
        <is>
          <t>05</t>
        </is>
      </c>
      <c r="B7" s="2" t="inlineStr">
        <is>
          <t>04</t>
        </is>
      </c>
      <c r="C7" s="5" t="inlineStr">
        <is>
          <t>Soma dos componentes</t>
        </is>
      </c>
      <c r="D7" t="inlineStr"/>
      <c r="E7" s="6">
        <f>SUM(E2:E6)</f>
        <v/>
      </c>
    </row>
    <row r="8">
      <c r="A8" s="2" t="inlineStr">
        <is>
          <t>05</t>
        </is>
      </c>
      <c r="B8" s="2" t="inlineStr">
        <is>
          <t>04</t>
        </is>
      </c>
      <c r="C8" s="5" t="inlineStr">
        <is>
          <t>Valor total no PDF</t>
        </is>
      </c>
      <c r="D8" t="inlineStr"/>
      <c r="E8" s="6" t="n">
        <v>5560857.5</v>
      </c>
    </row>
    <row r="9">
      <c r="A9" s="2" t="inlineStr">
        <is>
          <t>05</t>
        </is>
      </c>
      <c r="B9" s="2" t="inlineStr">
        <is>
          <t>04</t>
        </is>
      </c>
      <c r="C9" s="5" t="inlineStr">
        <is>
          <t>Diferença (PDF − soma)</t>
        </is>
      </c>
      <c r="D9" t="inlineStr"/>
      <c r="E9" s="6">
        <f>E8-E7</f>
        <v/>
      </c>
    </row>
    <row r="10">
      <c r="A10" s="2" t="n"/>
      <c r="B10" s="2" t="n"/>
      <c r="E10" s="4" t="n"/>
    </row>
    <row r="11">
      <c r="A11" s="2" t="inlineStr">
        <is>
          <t>05</t>
        </is>
      </c>
      <c r="B11" s="2" t="inlineStr">
        <is>
          <t>05</t>
        </is>
      </c>
      <c r="C11" t="inlineStr">
        <is>
          <t>Área Dona Rita – parte produtiva (35%)</t>
        </is>
      </c>
      <c r="D11" t="inlineStr">
        <is>
          <t>100,0 ha × R$ 110.000,00</t>
        </is>
      </c>
      <c r="E11" s="4" t="n">
        <v>11000000</v>
      </c>
    </row>
    <row r="12">
      <c r="A12" s="2" t="inlineStr">
        <is>
          <t>05</t>
        </is>
      </c>
      <c r="B12" s="2" t="inlineStr">
        <is>
          <t>05</t>
        </is>
      </c>
      <c r="C12" t="inlineStr">
        <is>
          <t>Área Dona Rita – parte não produtiva (65%)</t>
        </is>
      </c>
      <c r="D12" t="inlineStr">
        <is>
          <t>186,0 ha × R$ 110.000,00</t>
        </is>
      </c>
      <c r="E12" s="4" t="n">
        <v>20460000</v>
      </c>
    </row>
    <row r="13">
      <c r="A13" s="2" t="inlineStr">
        <is>
          <t>05</t>
        </is>
      </c>
      <c r="B13" s="2" t="inlineStr">
        <is>
          <t>05</t>
        </is>
      </c>
      <c r="C13" t="inlineStr">
        <is>
          <t>Área Zancheta – parte produtiva (80%)</t>
        </is>
      </c>
      <c r="D13" t="inlineStr">
        <is>
          <t>45,6 ha × R$ 110.000,00</t>
        </is>
      </c>
      <c r="E13" s="4" t="n">
        <v>5016000</v>
      </c>
    </row>
    <row r="14">
      <c r="A14" s="2" t="inlineStr">
        <is>
          <t>05</t>
        </is>
      </c>
      <c r="B14" s="2" t="inlineStr">
        <is>
          <t>05</t>
        </is>
      </c>
      <c r="C14" t="inlineStr">
        <is>
          <t>Área Zancheta – parte não produtiva (20%)</t>
        </is>
      </c>
      <c r="D14" t="inlineStr">
        <is>
          <t>11,4 ha × R$ 110.000,00</t>
        </is>
      </c>
      <c r="E14" s="4" t="n">
        <v>1254000</v>
      </c>
    </row>
    <row r="15">
      <c r="A15" s="2" t="inlineStr">
        <is>
          <t>05</t>
        </is>
      </c>
      <c r="B15" s="2" t="inlineStr">
        <is>
          <t>05</t>
        </is>
      </c>
      <c r="C15" t="inlineStr">
        <is>
          <t>Área Jane/João Paulo – parte produtiva (100%)</t>
        </is>
      </c>
      <c r="D15" t="inlineStr">
        <is>
          <t>148,0 ha − 83,47 ha vendidos = 64,53 ha × R$ 110.000,00</t>
        </is>
      </c>
      <c r="E15" s="4" t="n">
        <v>7098300</v>
      </c>
    </row>
    <row r="16">
      <c r="A16" s="2" t="inlineStr">
        <is>
          <t>05</t>
        </is>
      </c>
      <c r="B16" s="2" t="inlineStr">
        <is>
          <t>05</t>
        </is>
      </c>
      <c r="C16" s="5" t="inlineStr">
        <is>
          <t>Soma dos componentes</t>
        </is>
      </c>
      <c r="D16" t="inlineStr"/>
      <c r="E16" s="6">
        <f>SUM(E10:E15)</f>
        <v/>
      </c>
    </row>
    <row r="17">
      <c r="A17" s="2" t="inlineStr">
        <is>
          <t>05</t>
        </is>
      </c>
      <c r="B17" s="2" t="inlineStr">
        <is>
          <t>05</t>
        </is>
      </c>
      <c r="C17" s="5" t="inlineStr">
        <is>
          <t>Valor total no PDF</t>
        </is>
      </c>
      <c r="D17" t="inlineStr"/>
      <c r="E17" s="6" t="n">
        <v>44828300</v>
      </c>
    </row>
    <row r="18">
      <c r="A18" s="2" t="inlineStr">
        <is>
          <t>05</t>
        </is>
      </c>
      <c r="B18" s="2" t="inlineStr">
        <is>
          <t>05</t>
        </is>
      </c>
      <c r="C18" s="5" t="inlineStr">
        <is>
          <t>Diferença (PDF − soma)</t>
        </is>
      </c>
      <c r="D18" t="inlineStr"/>
      <c r="E18" s="6">
        <f>E17-E16</f>
        <v/>
      </c>
    </row>
    <row r="19">
      <c r="A19" s="2" t="n"/>
      <c r="B19" s="2" t="n"/>
      <c r="E19" s="4" t="n"/>
    </row>
    <row r="20">
      <c r="A20" s="2" t="inlineStr">
        <is>
          <t>10</t>
        </is>
      </c>
      <c r="B20" s="2" t="inlineStr">
        <is>
          <t>04</t>
        </is>
      </c>
      <c r="C20" t="inlineStr">
        <is>
          <t>Terreno BR 470 (Oleoplan)</t>
        </is>
      </c>
      <c r="D20" t="inlineStr">
        <is>
          <t>4.792,03 m² × R$ 2.000,00/m²</t>
        </is>
      </c>
      <c r="E20" s="4" t="n">
        <v>9584060</v>
      </c>
    </row>
    <row r="21">
      <c r="A21" s="2" t="inlineStr">
        <is>
          <t>10</t>
        </is>
      </c>
      <c r="B21" s="2" t="inlineStr">
        <is>
          <t>04</t>
        </is>
      </c>
      <c r="C21" t="inlineStr">
        <is>
          <t>Pavilhões – obra civil (30% agregado)</t>
        </is>
      </c>
      <c r="D21" t="inlineStr">
        <is>
          <t>30% × (4.170,00 m² × R$ 746,60 = R$ 3.113.322,00)</t>
        </is>
      </c>
      <c r="E21" s="4" t="n">
        <v>933996.6</v>
      </c>
    </row>
    <row r="22">
      <c r="A22" s="2" t="inlineStr">
        <is>
          <t>10</t>
        </is>
      </c>
      <c r="B22" s="2" t="inlineStr">
        <is>
          <t>04</t>
        </is>
      </c>
      <c r="C22" s="5" t="inlineStr">
        <is>
          <t>Soma dos componentes</t>
        </is>
      </c>
      <c r="D22" t="inlineStr"/>
      <c r="E22" s="6">
        <f>SUM(E19:E21)</f>
        <v/>
      </c>
    </row>
    <row r="23">
      <c r="A23" s="2" t="inlineStr">
        <is>
          <t>10</t>
        </is>
      </c>
      <c r="B23" s="2" t="inlineStr">
        <is>
          <t>04</t>
        </is>
      </c>
      <c r="C23" s="5" t="inlineStr">
        <is>
          <t>Valor total no PDF</t>
        </is>
      </c>
      <c r="D23" t="inlineStr"/>
      <c r="E23" s="6" t="n">
        <v>10631378.6</v>
      </c>
    </row>
    <row r="24">
      <c r="A24" s="2" t="inlineStr">
        <is>
          <t>10</t>
        </is>
      </c>
      <c r="B24" s="2" t="inlineStr">
        <is>
          <t>04</t>
        </is>
      </c>
      <c r="C24" s="5" t="inlineStr">
        <is>
          <t>Diferença (PDF − soma)</t>
        </is>
      </c>
      <c r="D24" t="inlineStr"/>
      <c r="E24" s="6">
        <f>E23-E22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2026-10-26T19:53:34Z</dcterms:created>
  <dcterms:modified xmlns:dcterms="http://purl.org/dc/terms/" xmlns:xsi="http://www.w3.org/2001/XMLSchema-instance" xsi:type="dcterms:W3CDTF">2026-10-26T19:53:34Z</dcterms:modified>
</cp:coreProperties>
</file>