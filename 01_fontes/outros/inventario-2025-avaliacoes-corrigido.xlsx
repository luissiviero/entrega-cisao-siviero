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Vendas e créditos" sheetId="4" state="visible" r:id="rId4"/>
    <sheet xmlns:r="http://schemas.openxmlformats.org/officeDocument/2006/relationships" name="Acertos e acordos" sheetId="5" state="visible" r:id="rId5"/>
    <sheet xmlns:r="http://schemas.openxmlformats.org/officeDocument/2006/relationships" name="Contratos Boff" sheetId="6" state="visible" r:id="rId6"/>
    <sheet xmlns:r="http://schemas.openxmlformats.org/officeDocument/2006/relationships" name="Passivos e contingências" sheetId="7" state="visible" r:id="rId7"/>
    <sheet xmlns:r="http://schemas.openxmlformats.org/officeDocument/2006/relationships" name="Correções e pendências" sheetId="8" state="visible" r:id="rId8"/>
  </sheets>
  <definedNames>
    <definedName name="_xlnm._FilterDatabase" localSheetId="0" hidden="1">'Ativos'!$A$4:$O$151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0" fontId="4" fillId="3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164" fontId="6" fillId="6" borderId="1" applyAlignment="1" pivotButton="0" quotePrefix="0" xfId="0">
      <alignment vertical="top" wrapText="1"/>
    </xf>
    <xf numFmtId="0" fontId="6" fillId="0" borderId="0" pivotButton="0" quotePrefix="0" xfId="0"/>
    <xf numFmtId="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4" fontId="6" fillId="6" borderId="1" applyAlignment="1" pivotButton="0" quotePrefix="0" xfId="0">
      <alignment vertical="top" wrapText="1"/>
    </xf>
    <xf numFmtId="164" fontId="4" fillId="3" borderId="0" pivotButton="0" quotePrefix="0" xfId="0"/>
    <xf numFmtId="3" fontId="4" fillId="0" borderId="1" applyAlignment="1" pivotButton="0" quotePrefix="0" xfId="0">
      <alignment vertical="top" wrapText="1"/>
    </xf>
    <xf numFmtId="3" fontId="6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Conferência 26/10/2026</author>
  </authors>
  <commentList>
    <comment ref="H51" authorId="0" shapeId="0">
      <text>
        <t>PENDENTE: o estudo lista a Matrícula 00.760 duas vezes (48,0 ha e 100,0 ha); as áreas só somam 491,0 ha com a duplicata. Confirmar com o autor qual é a matrícula correta.</t>
      </text>
    </comment>
    <comment ref="I51" authorId="0" shapeId="0">
      <text>
        <t>PENDENTE: o estudo avalia 407,53 ha (491,0 - 83,47 vendidos à Família Rigo). O .docx da pasta 2025 indica 686,75 ha - 190,00 (Rigo) - 85,32 (Pellegrini) = 411,43 ha remanescentes. Hipótese: 407,53 + 4,0 ha do item 06 (Mat. 11.090) = 411,53 ha. Confirmar qual base vale.</t>
      </text>
    </comment>
    <comment ref="K51" authorId="0" shapeId="0">
      <text>
        <t>PENDENTE: valor do estudo mantido (407,53 ha x R$ 110.000,00). Se a base for 411,43 ha, o valor muda. Ver comentário em I51.</t>
      </text>
    </comment>
    <comment ref="K59" authorId="0" shapeId="0">
      <text>
        <t>PENDENTE: o estudo declara R$ 10.631.378,60, mas as parcelas que ele descreve somam R$ 13.631.378,60 (diferença de R$ 3.000.000,00). Valor declarado mantido. Ver aba Composição, linhas 60 a 66.</t>
      </text>
    </comment>
  </commentList>
</comments>
</file>

<file path=xl/comments/comment2.xml><?xml version="1.0" encoding="utf-8"?>
<comments xmlns="http://schemas.openxmlformats.org/spreadsheetml/2006/main">
  <authors>
    <author>Conferência 26/10/2026</author>
  </authors>
  <commentList>
    <comment ref="E66" authorId="0" shapeId="0">
      <text>
        <t>PENDENTE: diferença de R$ 3.000.000,00 entre parcelas e total declarado no estudo. Confirmar com o autor.</t>
      </text>
    </comment>
  </commentList>
</comments>
</file>

<file path=xl/comments/comment3.xml><?xml version="1.0" encoding="utf-8"?>
<comments xmlns="http://schemas.openxmlformats.org/spreadsheetml/2006/main">
  <authors>
    <author>Conferência 26/10/2026</author>
  </authors>
  <commentList>
    <comment ref="D16" authorId="0" shapeId="0">
      <text>
        <t>Valor transcrito do inventário 08. Os itens 03 + 04 + 05 somam R$ 1.020.000,00; a diferença de R$ 115.000,00 não está explicada no documento.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8" customWidth="1" min="4" max="4"/>
    <col width="60" customWidth="1" min="5" max="5"/>
    <col width="10" customWidth="1" min="6" max="6"/>
    <col width="8" customWidth="1" min="7" max="7"/>
    <col width="26" customWidth="1" min="8" max="8"/>
    <col width="22" customWidth="1" min="9" max="9"/>
    <col width="18" customWidth="1" min="10" max="10"/>
    <col width="18" customWidth="1" min="11" max="11"/>
    <col width="9" customWidth="1" min="12" max="12"/>
    <col width="18" customWidth="1" min="13" max="13"/>
    <col width="34" customWidth="1" min="14" max="14"/>
    <col width="50" customWidth="1" min="15" max="15"/>
  </cols>
  <sheetData>
    <row r="1">
      <c r="A1" s="1" t="inlineStr">
        <is>
          <t>Inventários de 31.12.2024 - bens com avaliação de valor</t>
        </is>
      </c>
    </row>
    <row r="2">
      <c r="A2" s="2" t="inlineStr">
        <is>
          <t>Fonte: pasta 2025/inventário-2025 (coluna J) e inventário-estudo-rafael.pdf (coluna K). Valores em azul transcritos dos documentos. Coluna L (amarela) = participação da Valter conforme cada inventário (1/6 nos itens só do estudo); editável. Quinhão = J x L, ou K x L nos itens que só constam no estudo (a partir da linha marcada em verde).</t>
        </is>
      </c>
    </row>
    <row r="3">
      <c r="A3" s="2" t="inlineStr">
        <is>
          <t>Versão corrigida em 26/10/2026. Correções aplicadas e pendências: ver aba 'Correções e pendências'. Células com comentário dependem de confirmação.</t>
        </is>
      </c>
    </row>
    <row r="4">
      <c r="A4" s="3" t="inlineStr">
        <is>
          <t>Nº</t>
        </is>
      </c>
      <c r="B4" s="3" t="inlineStr">
        <is>
          <t>Empresa</t>
        </is>
      </c>
      <c r="C4" s="3" t="inlineStr">
        <is>
          <t>Categoria</t>
        </is>
      </c>
      <c r="D4" s="3" t="inlineStr">
        <is>
          <t>Item no inv.</t>
        </is>
      </c>
      <c r="E4" s="3" t="inlineStr">
        <is>
          <t>Descrição</t>
        </is>
      </c>
      <c r="F4" s="3" t="inlineStr">
        <is>
          <t>Lote</t>
        </is>
      </c>
      <c r="G4" s="3" t="inlineStr">
        <is>
          <t>Quadra</t>
        </is>
      </c>
      <c r="H4" s="3" t="inlineStr">
        <is>
          <t>Matrícula</t>
        </is>
      </c>
      <c r="I4" s="3" t="inlineStr">
        <is>
          <t>Área</t>
        </is>
      </c>
      <c r="J4" s="3" t="inlineStr">
        <is>
          <t>Valor avaliado (R$)</t>
        </is>
      </c>
      <c r="K4" s="3" t="inlineStr">
        <is>
          <t>Valor no estudo Rafael (R$)</t>
        </is>
      </c>
      <c r="L4" s="3" t="inlineStr">
        <is>
          <t>% Valter</t>
        </is>
      </c>
      <c r="M4" s="3" t="inlineStr">
        <is>
          <t>Quinhão Valter (R$)</t>
        </is>
      </c>
      <c r="N4" s="3" t="inlineStr">
        <is>
          <t>Arquivo</t>
        </is>
      </c>
      <c r="O4" s="3" t="inlineStr">
        <is>
          <t>Observações</t>
        </is>
      </c>
    </row>
    <row r="5">
      <c r="A5" s="4" t="n">
        <v>1</v>
      </c>
      <c r="B5" s="4" t="inlineStr">
        <is>
          <t>04 - Ceval Terraplenagem e Escavações Ltda.</t>
        </is>
      </c>
      <c r="C5" s="4" t="inlineStr">
        <is>
          <t>Veículo / máquina</t>
        </is>
      </c>
      <c r="D5" s="4" t="inlineStr">
        <is>
          <t>01</t>
        </is>
      </c>
      <c r="E5" s="4" t="inlineStr">
        <is>
          <t>Escavadeira hidráulica Caterpillar 320 D, ano 2009 / modelo 2010 (NF 4946)</t>
        </is>
      </c>
      <c r="F5" s="4" t="inlineStr"/>
      <c r="G5" s="4" t="inlineStr"/>
      <c r="H5" s="4" t="inlineStr"/>
      <c r="I5" s="4" t="inlineStr"/>
      <c r="J5" s="5" t="n">
        <v>200000</v>
      </c>
      <c r="K5" s="5" t="n"/>
      <c r="L5" s="6">
        <f>1/6</f>
        <v/>
      </c>
      <c r="M5" s="7">
        <f>J5*L5</f>
        <v/>
      </c>
      <c r="N5" s="4" t="inlineStr">
        <is>
          <t>04. Inventário 31.12.2024 - Ceval Terraplenagem</t>
        </is>
      </c>
      <c r="O5" s="4" t="inlineStr">
        <is>
          <t>Avaliada na data da compra.</t>
        </is>
      </c>
    </row>
    <row r="6">
      <c r="A6" s="4" t="n">
        <v>2</v>
      </c>
      <c r="B6" s="4" t="inlineStr">
        <is>
          <t>04 - Ceval Terraplenagem e Escavações Ltda.</t>
        </is>
      </c>
      <c r="C6" s="4" t="inlineStr">
        <is>
          <t>Veículo / máquina</t>
        </is>
      </c>
      <c r="D6" s="4" t="inlineStr">
        <is>
          <t>02</t>
        </is>
      </c>
      <c r="E6" s="4" t="inlineStr">
        <is>
          <t>Retroescavadeira Case MA 580 L, ano/modelo 2001, placa IKI 4325, chassi JHF0048344</t>
        </is>
      </c>
      <c r="F6" s="4" t="inlineStr"/>
      <c r="G6" s="4" t="inlineStr"/>
      <c r="H6" s="4" t="inlineStr"/>
      <c r="I6" s="4" t="inlineStr"/>
      <c r="J6" s="5" t="n">
        <v>70000</v>
      </c>
      <c r="K6" s="5" t="n"/>
      <c r="L6" s="6">
        <f>1/6</f>
        <v/>
      </c>
      <c r="M6" s="7">
        <f>J6*L6</f>
        <v/>
      </c>
      <c r="N6" s="4" t="inlineStr">
        <is>
          <t>04. Inventário 31.12.2024 - Ceval Terraplenagem</t>
        </is>
      </c>
      <c r="O6" s="4" t="inlineStr"/>
    </row>
    <row r="7">
      <c r="A7" s="4" t="n">
        <v>3</v>
      </c>
      <c r="B7" s="4" t="inlineStr">
        <is>
          <t>04 - Ceval Terraplenagem e Escavações Ltda.</t>
        </is>
      </c>
      <c r="C7" s="4" t="inlineStr">
        <is>
          <t>Veículo / máquina</t>
        </is>
      </c>
      <c r="D7" s="4" t="inlineStr">
        <is>
          <t>03</t>
        </is>
      </c>
      <c r="E7" s="4" t="inlineStr">
        <is>
          <t>Caminhão caçamba Mercedes-Benz LK 1313, diesel, 1982, vermelho, placa IHM 0033, Renavam 54294247-0</t>
        </is>
      </c>
      <c r="F7" s="4" t="inlineStr"/>
      <c r="G7" s="4" t="inlineStr"/>
      <c r="H7" s="4" t="inlineStr"/>
      <c r="I7" s="4" t="inlineStr"/>
      <c r="J7" s="5" t="n">
        <v>45000</v>
      </c>
      <c r="K7" s="5" t="n"/>
      <c r="L7" s="6">
        <f>1/6</f>
        <v/>
      </c>
      <c r="M7" s="7">
        <f>J7*L7</f>
        <v/>
      </c>
      <c r="N7" s="4" t="inlineStr">
        <is>
          <t>04. Inventário 31.12.2024 - Ceval Terraplenagem</t>
        </is>
      </c>
      <c r="O7" s="4" t="inlineStr">
        <is>
          <t>Avaliado na data da compra.</t>
        </is>
      </c>
    </row>
    <row r="8">
      <c r="A8" s="4" t="n">
        <v>4</v>
      </c>
      <c r="B8" s="4" t="inlineStr">
        <is>
          <t>06 - Hotel Araçá Ltda.</t>
        </is>
      </c>
      <c r="C8" s="4" t="inlineStr">
        <is>
          <t>Imóvel urbano</t>
        </is>
      </c>
      <c r="D8" s="4" t="inlineStr">
        <is>
          <t>01</t>
        </is>
      </c>
      <c r="E8" s="4" t="inlineStr">
        <is>
          <t>HOTEL ARAÇÁ - 18 terrenos na Quadra 37 (12 matrículas) com prédio de 4 andares, 144 apartamentos, restaurante, convenções, piscinas etc., Rua Miguel Main Felo, 333, Praia do Araçá, Capão da Canoa-RS</t>
        </is>
      </c>
      <c r="F8" s="4" t="inlineStr">
        <is>
          <t>01-12, 18-22 + nesga</t>
        </is>
      </c>
      <c r="G8" s="4" t="inlineStr">
        <is>
          <t>37</t>
        </is>
      </c>
      <c r="H8" s="4" t="inlineStr">
        <is>
          <t>34.768, 34.769, 34.770, 34.771, 6.411, 29.855, 24.584, 24.585, 33.101, 29.856, 0672, 34.772</t>
        </is>
      </c>
      <c r="I8" s="4" t="inlineStr">
        <is>
          <t>6.900,00 m² terreno; 10.500,00 m² construídos</t>
        </is>
      </c>
      <c r="J8" s="5" t="n">
        <v>49606823.2</v>
      </c>
      <c r="K8" s="5" t="n"/>
      <c r="L8" s="6">
        <f>1/6</f>
        <v/>
      </c>
      <c r="M8" s="7">
        <f>J8*L8</f>
        <v/>
      </c>
      <c r="N8" s="4" t="inlineStr">
        <is>
          <t>06. Inventário 31.12.2024 - Hotel Araçá</t>
        </is>
      </c>
      <c r="O8" s="4" t="inlineStr">
        <is>
          <t>Composição na aba 'Composição'. Inventário estima redução de ~R$ 2.000.000,00 (4%) para regularização; INSS da obra ~R$ 1.601.357,90.</t>
        </is>
      </c>
    </row>
    <row r="9">
      <c r="A9" s="4" t="n">
        <v>5</v>
      </c>
      <c r="B9" s="4" t="inlineStr">
        <is>
          <t>06 - Hotel Araçá Ltda.</t>
        </is>
      </c>
      <c r="C9" s="4" t="inlineStr">
        <is>
          <t>Imóvel urbano</t>
        </is>
      </c>
      <c r="D9" s="4" t="inlineStr">
        <is>
          <t>02</t>
        </is>
      </c>
      <c r="E9" s="4" t="inlineStr">
        <is>
          <t>Lote urbano nº 03 - Quadra 19 - Casa da Praça, Capão da Canoa-RS</t>
        </is>
      </c>
      <c r="F9" s="4" t="inlineStr">
        <is>
          <t>03</t>
        </is>
      </c>
      <c r="G9" s="4" t="inlineStr">
        <is>
          <t>19</t>
        </is>
      </c>
      <c r="H9" s="4" t="inlineStr">
        <is>
          <t>77.832 (antiga 37.549)</t>
        </is>
      </c>
      <c r="I9" s="4" t="inlineStr">
        <is>
          <t>450,00 m²</t>
        </is>
      </c>
      <c r="J9" s="5" t="n">
        <v>400000</v>
      </c>
      <c r="K9" s="5" t="n">
        <v>400000</v>
      </c>
      <c r="L9" s="6">
        <f>1/6</f>
        <v/>
      </c>
      <c r="M9" s="7">
        <f>J9*L9</f>
        <v/>
      </c>
      <c r="N9" s="4" t="inlineStr">
        <is>
          <t>06. Inventário 31.12.2024 - Hotel Araçá</t>
        </is>
      </c>
      <c r="O9" s="4" t="inlineStr">
        <is>
          <t>Inscrição 360.0019.003.000; Código 038998. Também no estudo Rafael (item 02, p. 6), mesmo valor.</t>
        </is>
      </c>
    </row>
    <row r="10">
      <c r="A10" s="4" t="n">
        <v>6</v>
      </c>
      <c r="B10" s="4" t="inlineStr">
        <is>
          <t>06 - Hotel Araçá Ltda.</t>
        </is>
      </c>
      <c r="C10" s="4" t="inlineStr">
        <is>
          <t>Imóvel urbano</t>
        </is>
      </c>
      <c r="D10" s="4" t="inlineStr">
        <is>
          <t>03</t>
        </is>
      </c>
      <c r="E10" s="4" t="inlineStr">
        <is>
          <t>Lote urbano nº 16 - Quadra 37 - Fundos do Hotel, Capão da Canoa-RS</t>
        </is>
      </c>
      <c r="F10" s="4" t="inlineStr">
        <is>
          <t>16</t>
        </is>
      </c>
      <c r="G10" s="4" t="inlineStr">
        <is>
          <t>37</t>
        </is>
      </c>
      <c r="H10" s="4" t="inlineStr">
        <is>
          <t>64.782</t>
        </is>
      </c>
      <c r="I10" s="4" t="inlineStr">
        <is>
          <t>360,00 m²</t>
        </is>
      </c>
      <c r="J10" s="5" t="n">
        <v>360000</v>
      </c>
      <c r="K10" s="5" t="n"/>
      <c r="L10" s="6">
        <f>1/6</f>
        <v/>
      </c>
      <c r="M10" s="7">
        <f>J10*L10</f>
        <v/>
      </c>
      <c r="N10" s="4" t="inlineStr">
        <is>
          <t>06. Inventário 31.12.2024 - Hotel Araçá</t>
        </is>
      </c>
      <c r="O10" s="4" t="inlineStr">
        <is>
          <t>Inscrição 360.0037.016.000; Código 039395.</t>
        </is>
      </c>
    </row>
    <row r="11">
      <c r="A11" s="4" t="n">
        <v>7</v>
      </c>
      <c r="B11" s="4" t="inlineStr">
        <is>
          <t>06 - Hotel Araçá Ltda.</t>
        </is>
      </c>
      <c r="C11" s="4" t="inlineStr">
        <is>
          <t>Imóvel urbano</t>
        </is>
      </c>
      <c r="D11" s="4" t="inlineStr">
        <is>
          <t>04</t>
        </is>
      </c>
      <c r="E11" s="4" t="inlineStr">
        <is>
          <t>Lote urbano nº 23 - Quadra 37 - Fundos do Hotel, Capão da Canoa-RS</t>
        </is>
      </c>
      <c r="F11" s="4" t="inlineStr">
        <is>
          <t>23</t>
        </is>
      </c>
      <c r="G11" s="4" t="inlineStr">
        <is>
          <t>37</t>
        </is>
      </c>
      <c r="H11" s="4" t="inlineStr">
        <is>
          <t>26.373</t>
        </is>
      </c>
      <c r="I11" s="4" t="inlineStr">
        <is>
          <t>360,00 m²</t>
        </is>
      </c>
      <c r="J11" s="5" t="n">
        <v>360000</v>
      </c>
      <c r="K11" s="5" t="n"/>
      <c r="L11" s="6">
        <f>1/6</f>
        <v/>
      </c>
      <c r="M11" s="7">
        <f>J11*L11</f>
        <v/>
      </c>
      <c r="N11" s="4" t="inlineStr">
        <is>
          <t>06. Inventário 31.12.2024 - Hotel Araçá</t>
        </is>
      </c>
      <c r="O11" s="4" t="inlineStr">
        <is>
          <t>Inscrição 360.0071.023.000; Código 039839.</t>
        </is>
      </c>
    </row>
    <row r="12">
      <c r="A12" s="4" t="n">
        <v>8</v>
      </c>
      <c r="B12" s="4" t="inlineStr">
        <is>
          <t>06 - Hotel Araçá Ltda.</t>
        </is>
      </c>
      <c r="C12" s="4" t="inlineStr">
        <is>
          <t>Imóvel urbano</t>
        </is>
      </c>
      <c r="D12" s="4" t="inlineStr">
        <is>
          <t>05</t>
        </is>
      </c>
      <c r="E12" s="4" t="inlineStr">
        <is>
          <t>Lote urbano nº 24 - Quadra 37 - Fundos do Hotel, Capão da Canoa-RS</t>
        </is>
      </c>
      <c r="F12" s="4" t="inlineStr">
        <is>
          <t>24</t>
        </is>
      </c>
      <c r="G12" s="4" t="inlineStr">
        <is>
          <t>37</t>
        </is>
      </c>
      <c r="H12" s="4" t="inlineStr">
        <is>
          <t>26.374</t>
        </is>
      </c>
      <c r="I12" s="4" t="inlineStr">
        <is>
          <t>307,80 m²</t>
        </is>
      </c>
      <c r="J12" s="5" t="n">
        <v>360000</v>
      </c>
      <c r="K12" s="5" t="n"/>
      <c r="L12" s="6">
        <f>1/6</f>
        <v/>
      </c>
      <c r="M12" s="7">
        <f>J12*L12</f>
        <v/>
      </c>
      <c r="N12" s="4" t="inlineStr">
        <is>
          <t>06. Inventário 31.12.2024 - Hotel Araçá</t>
        </is>
      </c>
      <c r="O12" s="4" t="inlineStr">
        <is>
          <t>Inscrição 360.0071.024.000; Código 039840.</t>
        </is>
      </c>
    </row>
    <row r="13">
      <c r="A13" s="4" t="n">
        <v>9</v>
      </c>
      <c r="B13" s="4" t="inlineStr">
        <is>
          <t>06 - Hotel Araçá Ltda.</t>
        </is>
      </c>
      <c r="C13" s="4" t="inlineStr">
        <is>
          <t>Imóvel urbano</t>
        </is>
      </c>
      <c r="D13" s="4" t="inlineStr">
        <is>
          <t>06</t>
        </is>
      </c>
      <c r="E13" s="4" t="inlineStr">
        <is>
          <t>Lote urbano nº 25 - Quadra 37 - Fundos do Hotel, Capão da Canoa-RS</t>
        </is>
      </c>
      <c r="F13" s="4" t="inlineStr">
        <is>
          <t>25</t>
        </is>
      </c>
      <c r="G13" s="4" t="inlineStr">
        <is>
          <t>37</t>
        </is>
      </c>
      <c r="H13" s="4" t="inlineStr">
        <is>
          <t>26.375</t>
        </is>
      </c>
      <c r="I13" s="4" t="inlineStr">
        <is>
          <t>307,80 m²</t>
        </is>
      </c>
      <c r="J13" s="5" t="n">
        <v>360000</v>
      </c>
      <c r="K13" s="5" t="n"/>
      <c r="L13" s="6">
        <f>1/6</f>
        <v/>
      </c>
      <c r="M13" s="7">
        <f>J13*L13</f>
        <v/>
      </c>
      <c r="N13" s="4" t="inlineStr">
        <is>
          <t>06. Inventário 31.12.2024 - Hotel Araçá</t>
        </is>
      </c>
      <c r="O13" s="4" t="inlineStr">
        <is>
          <t>Inscrição 360.0071.025.000; Código 039841.</t>
        </is>
      </c>
    </row>
    <row r="14">
      <c r="A14" s="4" t="n">
        <v>10</v>
      </c>
      <c r="B14" s="4" t="inlineStr">
        <is>
          <t>06 - Hotel Araçá Ltda.</t>
        </is>
      </c>
      <c r="C14" s="4" t="inlineStr">
        <is>
          <t>Imóvel urbano</t>
        </is>
      </c>
      <c r="D14" s="4" t="inlineStr">
        <is>
          <t>07</t>
        </is>
      </c>
      <c r="E14" s="4" t="inlineStr">
        <is>
          <t>Lote urbano nº 26 - Quadra 37 - Fundos do Hotel, Capão da Canoa-RS</t>
        </is>
      </c>
      <c r="F14" s="4" t="inlineStr">
        <is>
          <t>26</t>
        </is>
      </c>
      <c r="G14" s="4" t="inlineStr">
        <is>
          <t>37</t>
        </is>
      </c>
      <c r="H14" s="4" t="inlineStr">
        <is>
          <t>26.376</t>
        </is>
      </c>
      <c r="I14" s="4" t="inlineStr">
        <is>
          <t>307,80 m²</t>
        </is>
      </c>
      <c r="J14" s="5" t="n">
        <v>360000</v>
      </c>
      <c r="K14" s="5" t="n"/>
      <c r="L14" s="6">
        <f>1/6</f>
        <v/>
      </c>
      <c r="M14" s="7">
        <f>J14*L14</f>
        <v/>
      </c>
      <c r="N14" s="4" t="inlineStr">
        <is>
          <t>06. Inventário 31.12.2024 - Hotel Araçá</t>
        </is>
      </c>
      <c r="O14" s="4" t="inlineStr">
        <is>
          <t>Inscrição 360.0071.026.000; Código 039842.</t>
        </is>
      </c>
    </row>
    <row r="15">
      <c r="A15" s="4" t="n">
        <v>11</v>
      </c>
      <c r="B15" s="4" t="inlineStr">
        <is>
          <t>06 - Hotel Araçá Ltda.</t>
        </is>
      </c>
      <c r="C15" s="4" t="inlineStr">
        <is>
          <t>Imóvel urbano</t>
        </is>
      </c>
      <c r="D15" s="4" t="inlineStr">
        <is>
          <t>08</t>
        </is>
      </c>
      <c r="E15" s="4" t="inlineStr">
        <is>
          <t>Lote urbano nº 27 - Quadra 37 - Fundos do Hotel, Capão da Canoa-RS</t>
        </is>
      </c>
      <c r="F15" s="4" t="inlineStr">
        <is>
          <t>27</t>
        </is>
      </c>
      <c r="G15" s="4" t="inlineStr">
        <is>
          <t>37</t>
        </is>
      </c>
      <c r="H15" s="4" t="inlineStr">
        <is>
          <t>26.377</t>
        </is>
      </c>
      <c r="I15" s="4" t="inlineStr">
        <is>
          <t>307,80 m²</t>
        </is>
      </c>
      <c r="J15" s="5" t="n">
        <v>360000</v>
      </c>
      <c r="K15" s="5" t="n"/>
      <c r="L15" s="6">
        <f>1/6</f>
        <v/>
      </c>
      <c r="M15" s="7">
        <f>J15*L15</f>
        <v/>
      </c>
      <c r="N15" s="4" t="inlineStr">
        <is>
          <t>06. Inventário 31.12.2024 - Hotel Araçá</t>
        </is>
      </c>
      <c r="O15" s="4" t="inlineStr">
        <is>
          <t>Inscrição 360.0071.027.000; Código 039843.</t>
        </is>
      </c>
    </row>
    <row r="16">
      <c r="A16" s="4" t="n">
        <v>12</v>
      </c>
      <c r="B16" s="4" t="inlineStr">
        <is>
          <t>06 - Hotel Araçá Ltda.</t>
        </is>
      </c>
      <c r="C16" s="4" t="inlineStr">
        <is>
          <t>Imóvel urbano</t>
        </is>
      </c>
      <c r="D16" s="4" t="inlineStr">
        <is>
          <t>09</t>
        </is>
      </c>
      <c r="E16" s="4" t="inlineStr">
        <is>
          <t>Lote urbano nº 28 - Quadra 37 - Fundos do Hotel, Capão da Canoa-RS</t>
        </is>
      </c>
      <c r="F16" s="4" t="inlineStr">
        <is>
          <t>28</t>
        </is>
      </c>
      <c r="G16" s="4" t="inlineStr">
        <is>
          <t>37</t>
        </is>
      </c>
      <c r="H16" s="4" t="inlineStr">
        <is>
          <t>26.378</t>
        </is>
      </c>
      <c r="I16" s="4" t="inlineStr">
        <is>
          <t>307,80 m²</t>
        </is>
      </c>
      <c r="J16" s="5" t="n">
        <v>360000</v>
      </c>
      <c r="K16" s="5" t="n"/>
      <c r="L16" s="6">
        <f>1/6</f>
        <v/>
      </c>
      <c r="M16" s="7">
        <f>J16*L16</f>
        <v/>
      </c>
      <c r="N16" s="4" t="inlineStr">
        <is>
          <t>06. Inventário 31.12.2024 - Hotel Araçá</t>
        </is>
      </c>
      <c r="O16" s="4" t="inlineStr">
        <is>
          <t>Inscrição 360.0071.028.000; Código 039844.</t>
        </is>
      </c>
    </row>
    <row r="17">
      <c r="A17" s="4" t="n">
        <v>13</v>
      </c>
      <c r="B17" s="4" t="inlineStr">
        <is>
          <t>06 - Hotel Araçá Ltda.</t>
        </is>
      </c>
      <c r="C17" s="4" t="inlineStr">
        <is>
          <t>Imóvel urbano</t>
        </is>
      </c>
      <c r="D17" s="4" t="inlineStr">
        <is>
          <t>10</t>
        </is>
      </c>
      <c r="E17" s="4" t="inlineStr">
        <is>
          <t>Lote urbano nº 29 - Quadra 37 - Fundos do Hotel, Capão da Canoa-RS</t>
        </is>
      </c>
      <c r="F17" s="4" t="inlineStr">
        <is>
          <t>29</t>
        </is>
      </c>
      <c r="G17" s="4" t="inlineStr">
        <is>
          <t>37</t>
        </is>
      </c>
      <c r="H17" s="4" t="inlineStr">
        <is>
          <t>26.379</t>
        </is>
      </c>
      <c r="I17" s="4" t="inlineStr">
        <is>
          <t>360,00 m²</t>
        </is>
      </c>
      <c r="J17" s="5" t="n">
        <v>360000</v>
      </c>
      <c r="K17" s="5" t="n"/>
      <c r="L17" s="6">
        <f>1/6</f>
        <v/>
      </c>
      <c r="M17" s="7">
        <f>J17*L17</f>
        <v/>
      </c>
      <c r="N17" s="4" t="inlineStr">
        <is>
          <t>06. Inventário 31.12.2024 - Hotel Araçá</t>
        </is>
      </c>
      <c r="O17" s="4" t="inlineStr">
        <is>
          <t>Inscrição 360.0071.029.000; Código 039845.</t>
        </is>
      </c>
    </row>
    <row r="18">
      <c r="A18" s="4" t="n">
        <v>14</v>
      </c>
      <c r="B18" s="4" t="inlineStr">
        <is>
          <t>06 - Hotel Araçá Ltda.</t>
        </is>
      </c>
      <c r="C18" s="4" t="inlineStr">
        <is>
          <t>Imóvel urbano</t>
        </is>
      </c>
      <c r="D18" s="4" t="inlineStr">
        <is>
          <t>11</t>
        </is>
      </c>
      <c r="E18" s="4" t="inlineStr">
        <is>
          <t>Lote urbano nº 09 - Quadra 38, próximo ao Hotel, Capão da Canoa-RS. Adquirido de Hugo Ferri</t>
        </is>
      </c>
      <c r="F18" s="4" t="inlineStr">
        <is>
          <t>09</t>
        </is>
      </c>
      <c r="G18" s="4" t="inlineStr">
        <is>
          <t>38</t>
        </is>
      </c>
      <c r="H18" s="4" t="inlineStr">
        <is>
          <t>37.846</t>
        </is>
      </c>
      <c r="I18" s="4" t="inlineStr">
        <is>
          <t>360,00 m²</t>
        </is>
      </c>
      <c r="J18" s="5" t="n">
        <v>390000</v>
      </c>
      <c r="K18" s="5" t="n">
        <v>390000</v>
      </c>
      <c r="L18" s="6">
        <f>1/6</f>
        <v/>
      </c>
      <c r="M18" s="7">
        <f>J18*L18</f>
        <v/>
      </c>
      <c r="N18" s="4" t="inlineStr">
        <is>
          <t>06. Inventário 31.12.2024 - Hotel Araçá</t>
        </is>
      </c>
      <c r="O18" s="4" t="inlineStr">
        <is>
          <t>Inscrição 360.0038.009.000; Código 039410. Também no estudo Rafael (item 11, p. 6), mesmo valor.</t>
        </is>
      </c>
    </row>
    <row r="19">
      <c r="A19" s="4" t="n">
        <v>15</v>
      </c>
      <c r="B19" s="4" t="inlineStr">
        <is>
          <t>06 - Hotel Araçá Ltda.</t>
        </is>
      </c>
      <c r="C19" s="4" t="inlineStr">
        <is>
          <t>Imóvel urbano</t>
        </is>
      </c>
      <c r="D19" s="4" t="inlineStr">
        <is>
          <t>12</t>
        </is>
      </c>
      <c r="E19" s="4" t="inlineStr">
        <is>
          <t>Lote urbano nº 10 - Quadra 38, próximo ao Hotel, Capão da Canoa-RS. Adquirido de Hugo Ferri</t>
        </is>
      </c>
      <c r="F19" s="4" t="inlineStr">
        <is>
          <t>10</t>
        </is>
      </c>
      <c r="G19" s="4" t="inlineStr">
        <is>
          <t>38</t>
        </is>
      </c>
      <c r="H19" s="4" t="inlineStr">
        <is>
          <t>11.990</t>
        </is>
      </c>
      <c r="I19" s="4" t="inlineStr">
        <is>
          <t>360,00 m²</t>
        </is>
      </c>
      <c r="J19" s="5" t="n">
        <v>390000</v>
      </c>
      <c r="K19" s="5" t="n">
        <v>390000</v>
      </c>
      <c r="L19" s="6">
        <f>1/6</f>
        <v/>
      </c>
      <c r="M19" s="7">
        <f>J19*L19</f>
        <v/>
      </c>
      <c r="N19" s="4" t="inlineStr">
        <is>
          <t>06. Inventário 31.12.2024 - Hotel Araçá</t>
        </is>
      </c>
      <c r="O19" s="4" t="inlineStr">
        <is>
          <t>Inscrição 360.0038.010.000; Código 039411. Também no estudo Rafael (item 12, p. 6), mesmo valor.</t>
        </is>
      </c>
    </row>
    <row r="20">
      <c r="A20" s="4" t="n">
        <v>16</v>
      </c>
      <c r="B20" s="4" t="inlineStr">
        <is>
          <t>06 - Hotel Araçá Ltda.</t>
        </is>
      </c>
      <c r="C20" s="4" t="inlineStr">
        <is>
          <t>Imóvel urbano</t>
        </is>
      </c>
      <c r="D20" s="4" t="inlineStr">
        <is>
          <t>13</t>
        </is>
      </c>
      <c r="E20" s="4" t="inlineStr">
        <is>
          <t>Lote urbano nº 11 - Quadra 38, próximo ao Hotel, Capão da Canoa-RS. Adquirido de Hugo Ferri</t>
        </is>
      </c>
      <c r="F20" s="4" t="inlineStr">
        <is>
          <t>11</t>
        </is>
      </c>
      <c r="G20" s="4" t="inlineStr">
        <is>
          <t>38</t>
        </is>
      </c>
      <c r="H20" s="4" t="inlineStr">
        <is>
          <t>43.389</t>
        </is>
      </c>
      <c r="I20" s="4" t="inlineStr">
        <is>
          <t>360,00 m²</t>
        </is>
      </c>
      <c r="J20" s="5" t="n">
        <v>390000</v>
      </c>
      <c r="K20" s="5" t="n"/>
      <c r="L20" s="6">
        <f>1/6</f>
        <v/>
      </c>
      <c r="M20" s="7">
        <f>J20*L20</f>
        <v/>
      </c>
      <c r="N20" s="4" t="inlineStr">
        <is>
          <t>06. Inventário 31.12.2024 - Hotel Araçá</t>
        </is>
      </c>
      <c r="O20" s="4" t="inlineStr">
        <is>
          <t>Inscrição 360.0038.011.000; Código 039412.</t>
        </is>
      </c>
    </row>
    <row r="21">
      <c r="A21" s="4" t="n">
        <v>17</v>
      </c>
      <c r="B21" s="4" t="inlineStr">
        <is>
          <t>06 - Hotel Araçá Ltda.</t>
        </is>
      </c>
      <c r="C21" s="4" t="inlineStr">
        <is>
          <t>Imóvel urbano</t>
        </is>
      </c>
      <c r="D21" s="4" t="inlineStr">
        <is>
          <t>14</t>
        </is>
      </c>
      <c r="E21" s="4" t="inlineStr">
        <is>
          <t>Lote urbano nº 12 - Quadra 38, próximo ao Hotel, Capão da Canoa-RS. Adquirido de Hugo Ferri</t>
        </is>
      </c>
      <c r="F21" s="4" t="inlineStr">
        <is>
          <t>12</t>
        </is>
      </c>
      <c r="G21" s="4" t="inlineStr">
        <is>
          <t>38</t>
        </is>
      </c>
      <c r="H21" s="4" t="inlineStr">
        <is>
          <t>29.803</t>
        </is>
      </c>
      <c r="I21" s="4" t="inlineStr">
        <is>
          <t>360,00 m²</t>
        </is>
      </c>
      <c r="J21" s="5" t="n">
        <v>390000</v>
      </c>
      <c r="K21" s="5" t="n"/>
      <c r="L21" s="6">
        <f>1/6</f>
        <v/>
      </c>
      <c r="M21" s="7">
        <f>J21*L21</f>
        <v/>
      </c>
      <c r="N21" s="4" t="inlineStr">
        <is>
          <t>06. Inventário 31.12.2024 - Hotel Araçá</t>
        </is>
      </c>
      <c r="O21" s="4" t="inlineStr">
        <is>
          <t>Inscrição 360.0038.012.000; Código 039413.</t>
        </is>
      </c>
    </row>
    <row r="22">
      <c r="A22" s="4" t="n">
        <v>18</v>
      </c>
      <c r="B22" s="4" t="inlineStr">
        <is>
          <t>06 - Hotel Araçá Ltda.</t>
        </is>
      </c>
      <c r="C22" s="4" t="inlineStr">
        <is>
          <t>Imóvel urbano</t>
        </is>
      </c>
      <c r="D22" s="4" t="inlineStr">
        <is>
          <t>15</t>
        </is>
      </c>
      <c r="E22" s="4" t="inlineStr">
        <is>
          <t>Lote urbano nº 13 - Quadra 38, próximo ao Hotel, Capão da Canoa-RS. Adquirido de Hugo Ferri</t>
        </is>
      </c>
      <c r="F22" s="4" t="inlineStr">
        <is>
          <t>13</t>
        </is>
      </c>
      <c r="G22" s="4" t="inlineStr">
        <is>
          <t>38</t>
        </is>
      </c>
      <c r="H22" s="4" t="inlineStr">
        <is>
          <t>30.294</t>
        </is>
      </c>
      <c r="I22" s="4" t="inlineStr">
        <is>
          <t>360,00 m²</t>
        </is>
      </c>
      <c r="J22" s="5" t="n">
        <v>390000</v>
      </c>
      <c r="K22" s="5" t="n"/>
      <c r="L22" s="6">
        <f>1/6</f>
        <v/>
      </c>
      <c r="M22" s="7">
        <f>J22*L22</f>
        <v/>
      </c>
      <c r="N22" s="4" t="inlineStr">
        <is>
          <t>06. Inventário 31.12.2024 - Hotel Araçá</t>
        </is>
      </c>
      <c r="O22" s="4" t="inlineStr">
        <is>
          <t>Inscrição 360.0038.013.000; Código 039414.</t>
        </is>
      </c>
    </row>
    <row r="23">
      <c r="A23" s="4" t="n">
        <v>19</v>
      </c>
      <c r="B23" s="4" t="inlineStr">
        <is>
          <t>06 - Hotel Araçá Ltda.</t>
        </is>
      </c>
      <c r="C23" s="4" t="inlineStr">
        <is>
          <t>Imóvel urbano</t>
        </is>
      </c>
      <c r="D23" s="4" t="inlineStr">
        <is>
          <t>16</t>
        </is>
      </c>
      <c r="E23" s="4" t="inlineStr">
        <is>
          <t>Lote urbano nº 14 - Quadra 38, próximo ao Hotel, Capão da Canoa-RS. Adquirido de Hugo Ferri</t>
        </is>
      </c>
      <c r="F23" s="4" t="inlineStr">
        <is>
          <t>14</t>
        </is>
      </c>
      <c r="G23" s="4" t="inlineStr">
        <is>
          <t>38</t>
        </is>
      </c>
      <c r="H23" s="4" t="inlineStr">
        <is>
          <t>29.802</t>
        </is>
      </c>
      <c r="I23" s="4" t="inlineStr">
        <is>
          <t>360,00 m²</t>
        </is>
      </c>
      <c r="J23" s="5" t="n">
        <v>390000</v>
      </c>
      <c r="K23" s="5" t="n"/>
      <c r="L23" s="6">
        <f>1/6</f>
        <v/>
      </c>
      <c r="M23" s="7">
        <f>J23*L23</f>
        <v/>
      </c>
      <c r="N23" s="4" t="inlineStr">
        <is>
          <t>06. Inventário 31.12.2024 - Hotel Araçá</t>
        </is>
      </c>
      <c r="O23" s="4" t="inlineStr">
        <is>
          <t>Inscrição 360.0038.014.000; Código 039415.</t>
        </is>
      </c>
    </row>
    <row r="24">
      <c r="A24" s="4" t="n">
        <v>20</v>
      </c>
      <c r="B24" s="4" t="inlineStr">
        <is>
          <t>06 - Hotel Araçá Ltda.</t>
        </is>
      </c>
      <c r="C24" s="4" t="inlineStr">
        <is>
          <t>Imóvel urbano</t>
        </is>
      </c>
      <c r="D24" s="4" t="inlineStr">
        <is>
          <t>17</t>
        </is>
      </c>
      <c r="E24" s="4" t="inlineStr">
        <is>
          <t>Lote urbano nº 15 - Quadra 38, próximo ao Hotel, Capão da Canoa-RS. Adquirido de Hugo Ferri</t>
        </is>
      </c>
      <c r="F24" s="4" t="inlineStr">
        <is>
          <t>15</t>
        </is>
      </c>
      <c r="G24" s="4" t="inlineStr">
        <is>
          <t>38</t>
        </is>
      </c>
      <c r="H24" s="4" t="inlineStr">
        <is>
          <t>33.003</t>
        </is>
      </c>
      <c r="I24" s="4" t="inlineStr">
        <is>
          <t>360,00 m²</t>
        </is>
      </c>
      <c r="J24" s="5" t="n">
        <v>390000</v>
      </c>
      <c r="K24" s="5" t="n"/>
      <c r="L24" s="6">
        <f>1/6</f>
        <v/>
      </c>
      <c r="M24" s="7">
        <f>J24*L24</f>
        <v/>
      </c>
      <c r="N24" s="4" t="inlineStr">
        <is>
          <t>06. Inventário 31.12.2024 - Hotel Araçá</t>
        </is>
      </c>
      <c r="O24" s="4" t="inlineStr">
        <is>
          <t>Inscrição 360.0038.015.000; Código 039416.</t>
        </is>
      </c>
    </row>
    <row r="25">
      <c r="A25" s="4" t="n">
        <v>21</v>
      </c>
      <c r="B25" s="4" t="inlineStr">
        <is>
          <t>06 - Hotel Araçá Ltda.</t>
        </is>
      </c>
      <c r="C25" s="4" t="inlineStr">
        <is>
          <t>Imóvel urbano</t>
        </is>
      </c>
      <c r="D25" s="4" t="inlineStr">
        <is>
          <t>18</t>
        </is>
      </c>
      <c r="E25" s="4" t="inlineStr">
        <is>
          <t>Lote urbano nº 27 - Quadra 38 - Lote Estacionamento do Bigode, Capão da Canoa-RS</t>
        </is>
      </c>
      <c r="F25" s="4" t="inlineStr">
        <is>
          <t>27</t>
        </is>
      </c>
      <c r="G25" s="4" t="inlineStr">
        <is>
          <t>38</t>
        </is>
      </c>
      <c r="H25" s="4" t="inlineStr">
        <is>
          <t>73.482</t>
        </is>
      </c>
      <c r="I25" s="4" t="inlineStr">
        <is>
          <t>360,00 m²</t>
        </is>
      </c>
      <c r="J25" s="5" t="n">
        <v>350000</v>
      </c>
      <c r="K25" s="5" t="n">
        <v>350000</v>
      </c>
      <c r="L25" s="6">
        <f>1/6</f>
        <v/>
      </c>
      <c r="M25" s="7">
        <f>J25*L25</f>
        <v/>
      </c>
      <c r="N25" s="4" t="inlineStr">
        <is>
          <t>06. Inventário 31.12.2024 - Hotel Araçá</t>
        </is>
      </c>
      <c r="O25" s="4" t="inlineStr">
        <is>
          <t>Inscrição 360.0038.027.000; Código 039426. Mesma matrícula do item 19. Também no estudo Rafael (item 18, p. 6-7), mesmo valor.</t>
        </is>
      </c>
    </row>
    <row r="26">
      <c r="A26" s="4" t="n">
        <v>22</v>
      </c>
      <c r="B26" s="4" t="inlineStr">
        <is>
          <t>06 - Hotel Araçá Ltda.</t>
        </is>
      </c>
      <c r="C26" s="4" t="inlineStr">
        <is>
          <t>Imóvel urbano</t>
        </is>
      </c>
      <c r="D26" s="4" t="inlineStr">
        <is>
          <t>19</t>
        </is>
      </c>
      <c r="E26" s="4" t="inlineStr">
        <is>
          <t>Lote urbano nº 28 - Quadra 38 - Lote Estacionamento do Bigode, Capão da Canoa-RS</t>
        </is>
      </c>
      <c r="F26" s="4" t="inlineStr">
        <is>
          <t>28</t>
        </is>
      </c>
      <c r="G26" s="4" t="inlineStr">
        <is>
          <t>38</t>
        </is>
      </c>
      <c r="H26" s="4" t="inlineStr">
        <is>
          <t>73.482</t>
        </is>
      </c>
      <c r="I26" s="4" t="inlineStr">
        <is>
          <t>360,00 m²</t>
        </is>
      </c>
      <c r="J26" s="5" t="n">
        <v>350000</v>
      </c>
      <c r="K26" s="5" t="n">
        <v>350000</v>
      </c>
      <c r="L26" s="6">
        <f>1/6</f>
        <v/>
      </c>
      <c r="M26" s="7">
        <f>J26*L26</f>
        <v/>
      </c>
      <c r="N26" s="4" t="inlineStr">
        <is>
          <t>06. Inventário 31.12.2024 - Hotel Araçá</t>
        </is>
      </c>
      <c r="O26" s="4" t="inlineStr">
        <is>
          <t>Inscrição 360.0038.028.000; Código 039427. Mesma matrícula do item 18. Também no estudo Rafael (item 19, p. 7), mesmo valor.</t>
        </is>
      </c>
    </row>
    <row r="27">
      <c r="A27" s="4" t="n">
        <v>23</v>
      </c>
      <c r="B27" s="4" t="inlineStr">
        <is>
          <t>06 - Hotel Araçá Ltda.</t>
        </is>
      </c>
      <c r="C27" s="4" t="inlineStr">
        <is>
          <t>Imóvel urbano</t>
        </is>
      </c>
      <c r="D27" s="4" t="inlineStr">
        <is>
          <t>20</t>
        </is>
      </c>
      <c r="E27" s="4" t="inlineStr">
        <is>
          <t>Lote nº 15, quadra 02, Condado de Capão, com casa de alvenaria de 158,18 m² e móveis, Capão da Canoa-RS</t>
        </is>
      </c>
      <c r="F27" s="4" t="inlineStr">
        <is>
          <t>15</t>
        </is>
      </c>
      <c r="G27" s="4" t="inlineStr">
        <is>
          <t>02</t>
        </is>
      </c>
      <c r="H27" s="4" t="inlineStr">
        <is>
          <t>69.488</t>
        </is>
      </c>
      <c r="I27" s="4" t="inlineStr">
        <is>
          <t>725,39 m²</t>
        </is>
      </c>
      <c r="J27" s="5" t="n">
        <v>1000000</v>
      </c>
      <c r="K27" s="5" t="n"/>
      <c r="L27" s="6">
        <f>1/6</f>
        <v/>
      </c>
      <c r="M27" s="7">
        <f>J27*L27</f>
        <v/>
      </c>
      <c r="N27" s="4" t="inlineStr">
        <is>
          <t>06. Inventário 31.12.2024 - Hotel Araçá</t>
        </is>
      </c>
      <c r="O27" s="4" t="inlineStr">
        <is>
          <t>Inscrição 645.0027.015.000; Código 076891. Adquirida em maio/2014 por R$ 750.000,00.</t>
        </is>
      </c>
    </row>
    <row r="28">
      <c r="A28" s="4" t="n">
        <v>24</v>
      </c>
      <c r="B28" s="4" t="inlineStr">
        <is>
          <t>06 - Hotel Araçá Ltda.</t>
        </is>
      </c>
      <c r="C28" s="4" t="inlineStr">
        <is>
          <t>Imóvel urbano</t>
        </is>
      </c>
      <c r="D28" s="4" t="inlineStr">
        <is>
          <t>21</t>
        </is>
      </c>
      <c r="E28" s="4" t="inlineStr">
        <is>
          <t>Lote urbano nº 15 - Quadra 37 - Lateral do Hotel, Capão da Canoa-RS</t>
        </is>
      </c>
      <c r="F28" s="4" t="inlineStr">
        <is>
          <t>15</t>
        </is>
      </c>
      <c r="G28" s="4" t="inlineStr">
        <is>
          <t>37</t>
        </is>
      </c>
      <c r="H28" s="4" t="inlineStr">
        <is>
          <t>86.669</t>
        </is>
      </c>
      <c r="I28" s="4" t="inlineStr">
        <is>
          <t>360,00 m²</t>
        </is>
      </c>
      <c r="J28" s="5" t="n">
        <v>380000</v>
      </c>
      <c r="K28" s="5" t="n"/>
      <c r="L28" s="6">
        <f>1/6</f>
        <v/>
      </c>
      <c r="M28" s="7">
        <f>J28*L28</f>
        <v/>
      </c>
      <c r="N28" s="4" t="inlineStr">
        <is>
          <t>06. Inventário 31.12.2024 - Hotel Araçá</t>
        </is>
      </c>
      <c r="O28" s="4" t="inlineStr">
        <is>
          <t>Inscrição 360.0037.015.000.000; Código 39394.</t>
        </is>
      </c>
    </row>
    <row r="29">
      <c r="A29" s="4" t="n">
        <v>25</v>
      </c>
      <c r="B29" s="4" t="inlineStr">
        <is>
          <t>06 - Hotel Araçá Ltda.</t>
        </is>
      </c>
      <c r="C29" s="4" t="inlineStr">
        <is>
          <t>Imóvel urbano</t>
        </is>
      </c>
      <c r="D29" s="4" t="inlineStr">
        <is>
          <t>22</t>
        </is>
      </c>
      <c r="E29" s="4" t="inlineStr">
        <is>
          <t>Lote urbano nº 17 - Quadra 37 - Lateral do Hotel, Capão da Canoa-RS</t>
        </is>
      </c>
      <c r="F29" s="4" t="inlineStr">
        <is>
          <t>17</t>
        </is>
      </c>
      <c r="G29" s="4" t="inlineStr">
        <is>
          <t>37</t>
        </is>
      </c>
      <c r="H29" s="4" t="inlineStr">
        <is>
          <t>124.906</t>
        </is>
      </c>
      <c r="I29" s="4" t="inlineStr">
        <is>
          <t>360,00 m²</t>
        </is>
      </c>
      <c r="J29" s="5" t="n">
        <v>380000</v>
      </c>
      <c r="K29" s="5" t="n"/>
      <c r="L29" s="6">
        <f>1/6</f>
        <v/>
      </c>
      <c r="M29" s="7">
        <f>J29*L29</f>
        <v/>
      </c>
      <c r="N29" s="4" t="inlineStr">
        <is>
          <t>06. Inventário 31.12.2024 - Hotel Araçá</t>
        </is>
      </c>
      <c r="O29" s="4" t="inlineStr">
        <is>
          <t>Inscrição 360.0037.017.000.000; Código 39396. Inventário indica registro na Comarca de Osório.</t>
        </is>
      </c>
    </row>
    <row r="30">
      <c r="A30" s="4" t="n">
        <v>26</v>
      </c>
      <c r="B30" s="4" t="inlineStr">
        <is>
          <t>07 - Rádio Comunidade Princesa dos Vales FM Ltda.</t>
        </is>
      </c>
      <c r="C30" s="4" t="inlineStr">
        <is>
          <t>Imóvel urbano</t>
        </is>
      </c>
      <c r="D30" s="4" t="inlineStr">
        <is>
          <t>01</t>
        </is>
      </c>
      <c r="E30" s="4" t="inlineStr">
        <is>
          <t>Sala comercial nº 311 - ESTÚDIO, Ed. Comendador José de Mello, Av. Osvaldo Aranha, 1395, Palugana, Veranópolis-RS</t>
        </is>
      </c>
      <c r="F30" s="4" t="inlineStr"/>
      <c r="G30" s="4" t="inlineStr"/>
      <c r="H30" s="4" t="inlineStr">
        <is>
          <t>11.382</t>
        </is>
      </c>
      <c r="I30" s="4" t="inlineStr">
        <is>
          <t>94,51 m²</t>
        </is>
      </c>
      <c r="J30" s="5" t="n">
        <v>210000</v>
      </c>
      <c r="K30" s="5" t="n"/>
      <c r="L30" s="6" t="n">
        <v>0.165</v>
      </c>
      <c r="M30" s="7">
        <f>J30*L30</f>
        <v/>
      </c>
      <c r="N30" s="4" t="inlineStr">
        <is>
          <t>07. Inventário 31.12.2024 - Rádio Comunidade Princesa dos Vales FM</t>
        </is>
      </c>
      <c r="O30" s="4" t="inlineStr">
        <is>
          <t>Adquirida por R$ 100.000,00.</t>
        </is>
      </c>
    </row>
    <row r="31">
      <c r="A31" s="4" t="n">
        <v>27</v>
      </c>
      <c r="B31" s="4" t="inlineStr">
        <is>
          <t>07 - Rádio Comunidade Princesa dos Vales FM Ltda.</t>
        </is>
      </c>
      <c r="C31" s="4" t="inlineStr">
        <is>
          <t>Móveis, equipamentos e concessão</t>
        </is>
      </c>
      <c r="D31" s="4" t="inlineStr">
        <is>
          <t>02</t>
        </is>
      </c>
      <c r="E31" s="4" t="inlineStr">
        <is>
          <t>Móveis, instalações e utensílios</t>
        </is>
      </c>
      <c r="F31" s="4" t="inlineStr"/>
      <c r="G31" s="4" t="inlineStr"/>
      <c r="H31" s="4" t="inlineStr"/>
      <c r="I31" s="4" t="inlineStr"/>
      <c r="J31" s="5" t="n">
        <v>150000</v>
      </c>
      <c r="K31" s="5" t="n"/>
      <c r="L31" s="6" t="n">
        <v>0.165</v>
      </c>
      <c r="M31" s="7">
        <f>J31*L31</f>
        <v/>
      </c>
      <c r="N31" s="4" t="inlineStr">
        <is>
          <t>07. Inventário 31.12.2024 - Rádio Comunidade Princesa dos Vales FM</t>
        </is>
      </c>
      <c r="O31" s="4" t="inlineStr"/>
    </row>
    <row r="32">
      <c r="A32" s="4" t="n">
        <v>28</v>
      </c>
      <c r="B32" s="4" t="inlineStr">
        <is>
          <t>07 - Rádio Comunidade Princesa dos Vales FM Ltda.</t>
        </is>
      </c>
      <c r="C32" s="4" t="inlineStr">
        <is>
          <t>Móveis, equipamentos e concessão</t>
        </is>
      </c>
      <c r="D32" s="4" t="inlineStr">
        <is>
          <t>03</t>
        </is>
      </c>
      <c r="E32" s="4" t="inlineStr">
        <is>
          <t>Equipamentos do estúdio (computadores, transmissão etc.) + canal FM 96.1 + concessão no Ministério das Comunicações e clientes</t>
        </is>
      </c>
      <c r="F32" s="4" t="inlineStr"/>
      <c r="G32" s="4" t="inlineStr"/>
      <c r="H32" s="4" t="inlineStr"/>
      <c r="I32" s="4" t="inlineStr"/>
      <c r="J32" s="5" t="n">
        <v>1900000</v>
      </c>
      <c r="K32" s="5" t="n"/>
      <c r="L32" s="6" t="n">
        <v>0.165</v>
      </c>
      <c r="M32" s="7">
        <f>J32*L32</f>
        <v/>
      </c>
      <c r="N32" s="4" t="inlineStr">
        <is>
          <t>07. Inventário 31.12.2024 - Rádio Comunidade Princesa dos Vales FM</t>
        </is>
      </c>
      <c r="O32" s="4" t="inlineStr">
        <is>
          <t>Valor do canal estimado com base em informações verbais de Élcio Siviero.</t>
        </is>
      </c>
    </row>
    <row r="33">
      <c r="A33" s="4" t="n">
        <v>29</v>
      </c>
      <c r="B33" s="4" t="inlineStr">
        <is>
          <t>07 - Rádio Comunidade Princesa dos Vales FM Ltda.</t>
        </is>
      </c>
      <c r="C33" s="4" t="inlineStr">
        <is>
          <t>Móveis, equipamentos e concessão</t>
        </is>
      </c>
      <c r="D33" s="4" t="inlineStr">
        <is>
          <t>04</t>
        </is>
      </c>
      <c r="E33" s="4" t="inlineStr">
        <is>
          <t>Antena de transmissão, casa de equipamentos e gerador (sem o imóvel)</t>
        </is>
      </c>
      <c r="F33" s="4" t="inlineStr"/>
      <c r="G33" s="4" t="inlineStr"/>
      <c r="H33" s="4" t="inlineStr"/>
      <c r="I33" s="4" t="inlineStr"/>
      <c r="J33" s="5" t="n">
        <v>300000</v>
      </c>
      <c r="K33" s="5" t="n"/>
      <c r="L33" s="6" t="n">
        <v>0.165</v>
      </c>
      <c r="M33" s="7">
        <f>J33*L33</f>
        <v/>
      </c>
      <c r="N33" s="4" t="inlineStr">
        <is>
          <t>07. Inventário 31.12.2024 - Rádio Comunidade Princesa dos Vales FM</t>
        </is>
      </c>
      <c r="O33" s="4" t="inlineStr">
        <is>
          <t>Antena está em terreno da Siviero Empreendimentos (Matrícula 3.751); há custo de deslocamento e de novo terreno.</t>
        </is>
      </c>
    </row>
    <row r="34">
      <c r="A34" s="4" t="n">
        <v>30</v>
      </c>
      <c r="B34" s="4" t="inlineStr">
        <is>
          <t>07 - Rádio Comunidade Princesa dos Vales FM Ltda.</t>
        </is>
      </c>
      <c r="C34" s="4" t="inlineStr">
        <is>
          <t>Imóvel urbano</t>
        </is>
      </c>
      <c r="D34" s="4" t="inlineStr">
        <is>
          <t>05</t>
        </is>
      </c>
      <c r="E34" s="4" t="inlineStr">
        <is>
          <t>Box de estacionamento, Ed. Comendador José de Mello, Av. Osvaldo Aranha, 1395, Veranópolis-RS</t>
        </is>
      </c>
      <c r="F34" s="4" t="inlineStr"/>
      <c r="G34" s="4" t="inlineStr"/>
      <c r="H34" s="4" t="inlineStr">
        <is>
          <t>11.324</t>
        </is>
      </c>
      <c r="I34" s="4" t="inlineStr">
        <is>
          <t>17,28 m²</t>
        </is>
      </c>
      <c r="J34" s="5" t="n">
        <v>40000</v>
      </c>
      <c r="K34" s="5" t="n"/>
      <c r="L34" s="6" t="n">
        <v>0.165</v>
      </c>
      <c r="M34" s="7">
        <f>J34*L34</f>
        <v/>
      </c>
      <c r="N34" s="4" t="inlineStr">
        <is>
          <t>07. Inventário 31.12.2024 - Rádio Comunidade Princesa dos Vales FM</t>
        </is>
      </c>
      <c r="O34" s="4" t="inlineStr"/>
    </row>
    <row r="35">
      <c r="A35" s="4" t="n">
        <v>31</v>
      </c>
      <c r="B35" s="4" t="inlineStr">
        <is>
          <t>07 - Rádio Comunidade Princesa dos Vales FM Ltda.</t>
        </is>
      </c>
      <c r="C35" s="4" t="inlineStr">
        <is>
          <t>Veículo / máquina</t>
        </is>
      </c>
      <c r="D35" s="4" t="inlineStr">
        <is>
          <t>06</t>
        </is>
      </c>
      <c r="E35" s="4" t="inlineStr">
        <is>
          <t>VW Fox, gasolina/álcool, 2011/2011, preto, placa IRO 2562</t>
        </is>
      </c>
      <c r="F35" s="4" t="inlineStr"/>
      <c r="G35" s="4" t="inlineStr"/>
      <c r="H35" s="4" t="inlineStr"/>
      <c r="I35" s="4" t="inlineStr"/>
      <c r="J35" s="5" t="n">
        <v>28000</v>
      </c>
      <c r="K35" s="5" t="n"/>
      <c r="L35" s="6" t="n">
        <v>0.165</v>
      </c>
      <c r="M35" s="7">
        <f>J35*L35</f>
        <v/>
      </c>
      <c r="N35" s="4" t="inlineStr">
        <is>
          <t>07. Inventário 31.12.2024 - Rádio Comunidade Princesa dos Vales FM</t>
        </is>
      </c>
      <c r="O35" s="4" t="inlineStr"/>
    </row>
    <row r="36">
      <c r="A36" s="4" t="n">
        <v>32</v>
      </c>
      <c r="B36" s="4" t="inlineStr">
        <is>
          <t>07 - Rádio Comunidade Princesa dos Vales FM Ltda.</t>
        </is>
      </c>
      <c r="C36" s="4" t="inlineStr">
        <is>
          <t>Veículo / máquina</t>
        </is>
      </c>
      <c r="D36" s="4" t="inlineStr">
        <is>
          <t>07</t>
        </is>
      </c>
      <c r="E36" s="4" t="inlineStr">
        <is>
          <t>Toyota Bandeirante, diesel, 1980/1980, verde, placa IHW 0285</t>
        </is>
      </c>
      <c r="F36" s="4" t="inlineStr"/>
      <c r="G36" s="4" t="inlineStr"/>
      <c r="H36" s="4" t="inlineStr"/>
      <c r="I36" s="4" t="inlineStr"/>
      <c r="J36" s="5" t="n">
        <v>70000</v>
      </c>
      <c r="K36" s="5" t="n">
        <v>70000</v>
      </c>
      <c r="L36" s="6" t="n">
        <v>0.165</v>
      </c>
      <c r="M36" s="7">
        <f>J36*L36</f>
        <v/>
      </c>
      <c r="N36" s="4" t="inlineStr">
        <is>
          <t>07. Inventário 31.12.2024 - Rádio Comunidade Princesa dos Vales FM</t>
        </is>
      </c>
      <c r="O36" s="4" t="inlineStr">
        <is>
          <t>Também no estudo Rafael (item s/nº, p. 7), mesmo valor.</t>
        </is>
      </c>
    </row>
    <row r="37">
      <c r="A37" s="4" t="n">
        <v>33</v>
      </c>
      <c r="B37" s="4" t="inlineStr">
        <is>
          <t>08 - Transportadora Irmãos Siviero Ltda.</t>
        </is>
      </c>
      <c r="C37" s="4" t="inlineStr">
        <is>
          <t>Imóvel urbano</t>
        </is>
      </c>
      <c r="D37" s="4" t="inlineStr">
        <is>
          <t>01</t>
        </is>
      </c>
      <c r="E37" s="4" t="inlineStr">
        <is>
          <t>Terreno urbano - OFICINA MECÂNICA, Rodovia BR 470, Km 175,4, Bairro São Pelegrino, Veranópolis-RS (fundos com a Abastecedora Siviero)</t>
        </is>
      </c>
      <c r="F37" s="4" t="inlineStr"/>
      <c r="G37" s="4" t="inlineStr"/>
      <c r="H37" s="4" t="inlineStr">
        <is>
          <t>3.753</t>
        </is>
      </c>
      <c r="I37" s="4" t="inlineStr">
        <is>
          <t>8.700,00 m²</t>
        </is>
      </c>
      <c r="J37" s="5" t="n">
        <v>8637186</v>
      </c>
      <c r="K37" s="5" t="n"/>
      <c r="L37" s="6">
        <f>1/6</f>
        <v/>
      </c>
      <c r="M37" s="7">
        <f>J37*L37</f>
        <v/>
      </c>
      <c r="N37" s="4" t="inlineStr">
        <is>
          <t>08. Inventário 31.12.2024 - Transportadora Irmãos Siviero</t>
        </is>
      </c>
      <c r="O37" s="4" t="inlineStr">
        <is>
          <t>8.700 m² x R$ 992,78/m². Ver aba 'Composição'.</t>
        </is>
      </c>
    </row>
    <row r="38">
      <c r="A38" s="4" t="n">
        <v>34</v>
      </c>
      <c r="B38" s="4" t="inlineStr">
        <is>
          <t>08 - Transportadora Irmãos Siviero Ltda.</t>
        </is>
      </c>
      <c r="C38" s="4" t="inlineStr">
        <is>
          <t>Benfeitoria / edificação</t>
        </is>
      </c>
      <c r="D38" s="4" t="inlineStr">
        <is>
          <t>02</t>
        </is>
      </c>
      <c r="E38" s="4" t="inlineStr">
        <is>
          <t>Pavilhão novo da oficina mecânica, em fase final de construção (sem mezanino)</t>
        </is>
      </c>
      <c r="F38" s="4" t="inlineStr"/>
      <c r="G38" s="4" t="inlineStr"/>
      <c r="H38" s="4" t="inlineStr"/>
      <c r="I38" s="4" t="inlineStr">
        <is>
          <t>1.298,00 m²</t>
        </is>
      </c>
      <c r="J38" s="5" t="n">
        <v>1427800</v>
      </c>
      <c r="K38" s="5" t="n"/>
      <c r="L38" s="6">
        <f>1/6</f>
        <v/>
      </c>
      <c r="M38" s="7">
        <f>J38*L38</f>
        <v/>
      </c>
      <c r="N38" s="4" t="inlineStr">
        <is>
          <t>08. Inventário 31.12.2024 - Transportadora Irmãos Siviero</t>
        </is>
      </c>
      <c r="O38" s="4" t="inlineStr">
        <is>
          <t>1.298 m² x R$ 1.100,00. Obra não regularizada (projeto, APPCI, INSS).</t>
        </is>
      </c>
    </row>
    <row r="39">
      <c r="A39" s="4" t="n">
        <v>35</v>
      </c>
      <c r="B39" s="4" t="inlineStr">
        <is>
          <t>08 - Transportadora Irmãos Siviero Ltda.</t>
        </is>
      </c>
      <c r="C39" s="4" t="inlineStr">
        <is>
          <t>Móveis, equipamentos e concessão</t>
        </is>
      </c>
      <c r="D39" s="4" t="inlineStr">
        <is>
          <t>03</t>
        </is>
      </c>
      <c r="E39" s="4" t="inlineStr">
        <is>
          <t>Equipamentos em geral da oficina (macacos, guindastes, ferramentas, estoque de peças, óleos, câmeras etc.)</t>
        </is>
      </c>
      <c r="F39" s="4" t="inlineStr"/>
      <c r="G39" s="4" t="inlineStr"/>
      <c r="H39" s="4" t="inlineStr"/>
      <c r="I39" s="4" t="inlineStr"/>
      <c r="J39" s="5" t="n">
        <v>500000</v>
      </c>
      <c r="K39" s="5" t="n"/>
      <c r="L39" s="6">
        <f>1/6</f>
        <v/>
      </c>
      <c r="M39" s="7">
        <f>J39*L39</f>
        <v/>
      </c>
      <c r="N39" s="4" t="inlineStr">
        <is>
          <t>08. Inventário 31.12.2024 - Transportadora Irmãos Siviero</t>
        </is>
      </c>
      <c r="O39" s="4" t="inlineStr"/>
    </row>
    <row r="40">
      <c r="A40" s="4" t="n">
        <v>36</v>
      </c>
      <c r="B40" s="4" t="inlineStr">
        <is>
          <t>08 - Transportadora Irmãos Siviero Ltda.</t>
        </is>
      </c>
      <c r="C40" s="4" t="inlineStr">
        <is>
          <t>Benfeitoria / edificação</t>
        </is>
      </c>
      <c r="D40" s="4" t="inlineStr">
        <is>
          <t>04</t>
        </is>
      </c>
      <c r="E40" s="4" t="inlineStr">
        <is>
          <t>Rampa de lavagem licenciada para caminhões e carros</t>
        </is>
      </c>
      <c r="F40" s="4" t="inlineStr"/>
      <c r="G40" s="4" t="inlineStr"/>
      <c r="H40" s="4" t="inlineStr"/>
      <c r="I40" s="4" t="inlineStr"/>
      <c r="J40" s="5" t="n">
        <v>300000</v>
      </c>
      <c r="K40" s="5" t="n"/>
      <c r="L40" s="6">
        <f>1/6</f>
        <v/>
      </c>
      <c r="M40" s="7">
        <f>J40*L40</f>
        <v/>
      </c>
      <c r="N40" s="4" t="inlineStr">
        <is>
          <t>08. Inventário 31.12.2024 - Transportadora Irmãos Siviero</t>
        </is>
      </c>
      <c r="O40" s="4" t="inlineStr">
        <is>
          <t>Obra não regularizada. Equipamentos são da locatária.</t>
        </is>
      </c>
    </row>
    <row r="41">
      <c r="A41" s="4" t="n">
        <v>37</v>
      </c>
      <c r="B41" s="4" t="inlineStr">
        <is>
          <t>08 - Transportadora Irmãos Siviero Ltda.</t>
        </is>
      </c>
      <c r="C41" s="4" t="inlineStr">
        <is>
          <t>Benfeitoria / edificação</t>
        </is>
      </c>
      <c r="D41" s="4" t="inlineStr">
        <is>
          <t>05</t>
        </is>
      </c>
      <c r="E41" s="4" t="inlineStr">
        <is>
          <t>Borracharia</t>
        </is>
      </c>
      <c r="F41" s="4" t="inlineStr"/>
      <c r="G41" s="4" t="inlineStr"/>
      <c r="H41" s="4" t="inlineStr"/>
      <c r="I41" s="4" t="inlineStr"/>
      <c r="J41" s="5" t="n">
        <v>220000</v>
      </c>
      <c r="K41" s="5" t="n"/>
      <c r="L41" s="6">
        <f>1/6</f>
        <v/>
      </c>
      <c r="M41" s="7">
        <f>J41*L41</f>
        <v/>
      </c>
      <c r="N41" s="4" t="inlineStr">
        <is>
          <t>08. Inventário 31.12.2024 - Transportadora Irmãos Siviero</t>
        </is>
      </c>
      <c r="O41" s="4" t="inlineStr">
        <is>
          <t>Obra não regularizada. Equipamentos são da locatária.</t>
        </is>
      </c>
    </row>
    <row r="42">
      <c r="A42" s="4" t="n">
        <v>38</v>
      </c>
      <c r="B42" s="4" t="inlineStr">
        <is>
          <t>08 - Transportadora Irmãos Siviero Ltda.</t>
        </is>
      </c>
      <c r="C42" s="4" t="inlineStr">
        <is>
          <t>Imóvel urbano</t>
        </is>
      </c>
      <c r="D42" s="4" t="inlineStr">
        <is>
          <t>06</t>
        </is>
      </c>
      <c r="E42" s="4" t="inlineStr">
        <is>
          <t>Sala comercial nº 01 (escritório das empresas), Ed. Luiz Siviero, Av. Pinheiro Machado, 710, Centro, Veranópolis-RS</t>
        </is>
      </c>
      <c r="F42" s="4" t="inlineStr"/>
      <c r="G42" s="4" t="inlineStr"/>
      <c r="H42" s="4" t="inlineStr">
        <is>
          <t>7.393</t>
        </is>
      </c>
      <c r="I42" s="4" t="inlineStr">
        <is>
          <t>243,30 m²</t>
        </is>
      </c>
      <c r="J42" s="5" t="n">
        <v>840000</v>
      </c>
      <c r="K42" s="5" t="n"/>
      <c r="L42" s="6">
        <f>1/6</f>
        <v/>
      </c>
      <c r="M42" s="7">
        <f>J42*L42</f>
        <v/>
      </c>
      <c r="N42" s="4" t="inlineStr">
        <is>
          <t>08. Inventário 31.12.2024 - Transportadora Irmãos Siviero</t>
        </is>
      </c>
      <c r="O42" s="4" t="inlineStr">
        <is>
          <t>Critério: CUB R$ 3.236,85/m² + instalações.</t>
        </is>
      </c>
    </row>
    <row r="43">
      <c r="A43" s="4" t="n">
        <v>39</v>
      </c>
      <c r="B43" s="4" t="inlineStr">
        <is>
          <t>08 - Transportadora Irmãos Siviero Ltda.</t>
        </is>
      </c>
      <c r="C43" s="4" t="inlineStr">
        <is>
          <t>Imóvel rural</t>
        </is>
      </c>
      <c r="D43" s="4" t="inlineStr">
        <is>
          <t>07</t>
        </is>
      </c>
      <c r="E43" s="4" t="inlineStr">
        <is>
          <t>Lotes rurais nº 63, 65, 66 e letra 'N', Linha Júlio de Castilhos, Capela de São Brás, Cotiporã-RS</t>
        </is>
      </c>
      <c r="F43" s="4" t="inlineStr"/>
      <c r="G43" s="4" t="inlineStr"/>
      <c r="H43" s="4" t="inlineStr">
        <is>
          <t>459, 460, 461 e 558</t>
        </is>
      </c>
      <c r="I43" s="4" t="inlineStr">
        <is>
          <t>69,8 ha</t>
        </is>
      </c>
      <c r="J43" s="5" t="n">
        <v>3500000</v>
      </c>
      <c r="K43" s="5" t="n"/>
      <c r="L43" s="6">
        <f>1/6</f>
        <v/>
      </c>
      <c r="M43" s="7">
        <f>J43*L43</f>
        <v/>
      </c>
      <c r="N43" s="4" t="inlineStr">
        <is>
          <t>08. Inventário 31.12.2024 - Transportadora Irmãos Siviero</t>
        </is>
      </c>
      <c r="O43" s="8" t="inlineStr">
        <is>
          <t>Critério R$ 50.000,00/ha (69,8 ha = R$ 3.490.000,00; inventário arredonda para R$ 3.500.000,00). CCIR 2.898.227-4.</t>
        </is>
      </c>
    </row>
    <row r="44">
      <c r="A44" s="4" t="n">
        <v>40</v>
      </c>
      <c r="B44" s="4" t="inlineStr">
        <is>
          <t>08 - Transportadora Irmãos Siviero Ltda.</t>
        </is>
      </c>
      <c r="C44" s="4" t="inlineStr">
        <is>
          <t>Imóvel rural</t>
        </is>
      </c>
      <c r="D44" s="4" t="inlineStr">
        <is>
          <t>08</t>
        </is>
      </c>
      <c r="E44" s="4" t="inlineStr">
        <is>
          <t>Parte do lote rural nº 63, Linha Dr. Júlio de Castilhos, Cotiporã-RS (adquirida de Tercílio Dal Más em 25/09/2008 por R$ 50.000,00)</t>
        </is>
      </c>
      <c r="F44" s="4" t="inlineStr"/>
      <c r="G44" s="4" t="inlineStr"/>
      <c r="H44" s="4" t="inlineStr">
        <is>
          <t>Registro 15.922</t>
        </is>
      </c>
      <c r="I44" s="4" t="inlineStr">
        <is>
          <t>4,5 ha</t>
        </is>
      </c>
      <c r="J44" s="5" t="n">
        <v>250000</v>
      </c>
      <c r="K44" s="5" t="n"/>
      <c r="L44" s="6">
        <f>1/6</f>
        <v/>
      </c>
      <c r="M44" s="7">
        <f>J44*L44</f>
        <v/>
      </c>
      <c r="N44" s="4" t="inlineStr">
        <is>
          <t>08. Inventário 31.12.2024 - Transportadora Irmãos Siviero</t>
        </is>
      </c>
      <c r="O44" s="8" t="inlineStr">
        <is>
          <t>Critério R$ 50.000,00/ha daria R$ 225.000,00; inventário registra R$ 250.000,00.</t>
        </is>
      </c>
    </row>
    <row r="45">
      <c r="A45" s="4" t="n">
        <v>41</v>
      </c>
      <c r="B45" s="4" t="inlineStr">
        <is>
          <t>08 - Transportadora Irmãos Siviero Ltda.</t>
        </is>
      </c>
      <c r="C45" s="4" t="inlineStr">
        <is>
          <t>Imóvel urbano</t>
        </is>
      </c>
      <c r="D45" s="4" t="inlineStr">
        <is>
          <t>09</t>
        </is>
      </c>
      <c r="E45" s="4" t="inlineStr">
        <is>
          <t>Apartamento residencial nº 401, Ed. Luiz Siviero, Av. Pinheiro Machado, 710, Centro, Veranópolis-RS</t>
        </is>
      </c>
      <c r="F45" s="4" t="inlineStr"/>
      <c r="G45" s="4" t="inlineStr"/>
      <c r="H45" s="4" t="inlineStr">
        <is>
          <t>7.400</t>
        </is>
      </c>
      <c r="I45" s="4" t="inlineStr">
        <is>
          <t>168,91 m² (privativa 127,05 m²)</t>
        </is>
      </c>
      <c r="J45" s="5" t="n">
        <v>360000</v>
      </c>
      <c r="K45" s="5" t="n"/>
      <c r="L45" s="6">
        <f>1/6</f>
        <v/>
      </c>
      <c r="M45" s="7">
        <f>J45*L45</f>
        <v/>
      </c>
      <c r="N45" s="4" t="inlineStr">
        <is>
          <t>08. Inventário 31.12.2024 - Transportadora Irmãos Siviero</t>
        </is>
      </c>
      <c r="O45" s="4" t="inlineStr"/>
    </row>
    <row r="46">
      <c r="A46" s="4" t="n">
        <v>42</v>
      </c>
      <c r="B46" s="4" t="inlineStr">
        <is>
          <t>08 - Transportadora Irmãos Siviero Ltda.</t>
        </is>
      </c>
      <c r="C46" s="4" t="inlineStr">
        <is>
          <t>Veículo / máquina</t>
        </is>
      </c>
      <c r="D46" s="4" t="inlineStr">
        <is>
          <t>10</t>
        </is>
      </c>
      <c r="E46" s="4" t="inlineStr">
        <is>
          <t>Caminhão Scania, placa IKR 2054, ano 2002 (trabalha para a JBS - Thiago Binda)</t>
        </is>
      </c>
      <c r="F46" s="4" t="inlineStr"/>
      <c r="G46" s="4" t="inlineStr"/>
      <c r="H46" s="4" t="inlineStr"/>
      <c r="I46" s="4" t="inlineStr"/>
      <c r="J46" s="5" t="n">
        <v>140000</v>
      </c>
      <c r="K46" s="5" t="n"/>
      <c r="L46" s="6">
        <f>1/6</f>
        <v/>
      </c>
      <c r="M46" s="7">
        <f>J46*L46</f>
        <v/>
      </c>
      <c r="N46" s="4" t="inlineStr">
        <is>
          <t>08. Inventário 31.12.2024 - Transportadora Irmãos Siviero</t>
        </is>
      </c>
      <c r="O46" s="4" t="inlineStr"/>
    </row>
    <row r="47">
      <c r="A47" s="4" t="n">
        <v>43</v>
      </c>
      <c r="B47" s="4" t="inlineStr">
        <is>
          <t>08 - Transportadora Irmãos Siviero Ltda.</t>
        </is>
      </c>
      <c r="C47" s="4" t="inlineStr">
        <is>
          <t>Veículo / máquina</t>
        </is>
      </c>
      <c r="D47" s="4" t="inlineStr">
        <is>
          <t>11</t>
        </is>
      </c>
      <c r="E47" s="4" t="inlineStr">
        <is>
          <t>Carreta Randon, placa IQB 0612, ano 2009</t>
        </is>
      </c>
      <c r="F47" s="4" t="inlineStr"/>
      <c r="G47" s="4" t="inlineStr"/>
      <c r="H47" s="4" t="inlineStr"/>
      <c r="I47" s="4" t="inlineStr"/>
      <c r="J47" s="5" t="n">
        <v>30000</v>
      </c>
      <c r="K47" s="5" t="n"/>
      <c r="L47" s="6">
        <f>1/6</f>
        <v/>
      </c>
      <c r="M47" s="7">
        <f>J47*L47</f>
        <v/>
      </c>
      <c r="N47" s="4" t="inlineStr">
        <is>
          <t>08. Inventário 31.12.2024 - Transportadora Irmãos Siviero</t>
        </is>
      </c>
      <c r="O47" s="4" t="inlineStr"/>
    </row>
    <row r="48">
      <c r="A48" s="4" t="n">
        <v>44</v>
      </c>
      <c r="B48" s="4" t="inlineStr">
        <is>
          <t>08 - Transportadora Irmãos Siviero Ltda.</t>
        </is>
      </c>
      <c r="C48" s="4" t="inlineStr">
        <is>
          <t>Veículo / máquina</t>
        </is>
      </c>
      <c r="D48" s="4" t="inlineStr">
        <is>
          <t>12</t>
        </is>
      </c>
      <c r="E48" s="4" t="inlineStr">
        <is>
          <t>Caminhão Scania, placa IJZ 5399, ano 2001 (trabalha para a SEI - prancha)</t>
        </is>
      </c>
      <c r="F48" s="4" t="inlineStr"/>
      <c r="G48" s="4" t="inlineStr"/>
      <c r="H48" s="4" t="inlineStr"/>
      <c r="I48" s="4" t="inlineStr"/>
      <c r="J48" s="5" t="n">
        <v>140000</v>
      </c>
      <c r="K48" s="5" t="n"/>
      <c r="L48" s="6">
        <f>1/6</f>
        <v/>
      </c>
      <c r="M48" s="7">
        <f>J48*L48</f>
        <v/>
      </c>
      <c r="N48" s="4" t="inlineStr">
        <is>
          <t>08. Inventário 31.12.2024 - Transportadora Irmãos Siviero</t>
        </is>
      </c>
      <c r="O48" s="4" t="inlineStr"/>
    </row>
    <row r="49">
      <c r="A49" s="4" t="n">
        <v>45</v>
      </c>
      <c r="B49" s="4" t="inlineStr">
        <is>
          <t>08 - Transportadora Irmãos Siviero Ltda.</t>
        </is>
      </c>
      <c r="C49" s="4" t="inlineStr">
        <is>
          <t>Veículo / máquina</t>
        </is>
      </c>
      <c r="D49" s="4" t="inlineStr">
        <is>
          <t>13</t>
        </is>
      </c>
      <c r="E49" s="4" t="inlineStr">
        <is>
          <t>Carreta Randon, placa IJZ 8207, ano 2001</t>
        </is>
      </c>
      <c r="F49" s="4" t="inlineStr"/>
      <c r="G49" s="4" t="inlineStr"/>
      <c r="H49" s="4" t="inlineStr"/>
      <c r="I49" s="4" t="inlineStr"/>
      <c r="J49" s="5" t="n">
        <v>30000</v>
      </c>
      <c r="K49" s="5" t="n"/>
      <c r="L49" s="6">
        <f>1/6</f>
        <v/>
      </c>
      <c r="M49" s="7">
        <f>J49*L49</f>
        <v/>
      </c>
      <c r="N49" s="4" t="inlineStr">
        <is>
          <t>08. Inventário 31.12.2024 - Transportadora Irmãos Siviero</t>
        </is>
      </c>
      <c r="O49" s="4" t="inlineStr"/>
    </row>
    <row r="50">
      <c r="A50" s="9" t="n">
        <v>46</v>
      </c>
      <c r="B50" s="4" t="inlineStr">
        <is>
          <t>05 - Hotel Princesa dos Vales Ltda.</t>
        </is>
      </c>
      <c r="C50" s="4" t="inlineStr">
        <is>
          <t>Imóvel rural</t>
        </is>
      </c>
      <c r="D50" s="4" t="inlineStr">
        <is>
          <t>04</t>
        </is>
      </c>
      <c r="E50" s="4" t="inlineStr">
        <is>
          <t>Terreno rural - SEDE CAMPESTRE (pavilhão, piscinas, casa, campos de futebol, lagos, alicerces de cabanas), Rua Luiz Siviero, Bairro Femaçã, Veranópolis-RS</t>
        </is>
      </c>
      <c r="F50" s="4" t="inlineStr"/>
      <c r="G50" s="4" t="inlineStr"/>
      <c r="H50" s="4" t="inlineStr">
        <is>
          <t>1.941 e 7.104</t>
        </is>
      </c>
      <c r="I50" s="4" t="inlineStr">
        <is>
          <t>9,4 ha</t>
        </is>
      </c>
      <c r="J50" s="5" t="n"/>
      <c r="K50" s="5" t="n">
        <v>5560857.5</v>
      </c>
      <c r="L50" s="6">
        <f>1/6</f>
        <v/>
      </c>
      <c r="M50" s="7">
        <f>K50*L50</f>
        <v/>
      </c>
      <c r="N50" s="4" t="inlineStr">
        <is>
          <t>inventário-estudo-rafael.pdf, p. 4-5</t>
        </is>
      </c>
      <c r="O50" s="4" t="inlineStr">
        <is>
          <t>Somente no estudo Rafael (não consta nos inventários 2025). Composição detalhada na aba 'Composição'. CCIR 2.481.947-6.</t>
        </is>
      </c>
    </row>
    <row r="51">
      <c r="A51" s="9" t="n">
        <v>47</v>
      </c>
      <c r="B51" s="4" t="inlineStr">
        <is>
          <t>05 - Hotel Princesa dos Vales Ltda.</t>
        </is>
      </c>
      <c r="C51" s="4" t="inlineStr">
        <is>
          <t>Imóvel rural</t>
        </is>
      </c>
      <c r="D51" s="4" t="inlineStr">
        <is>
          <t>05</t>
        </is>
      </c>
      <c r="E51" s="4" t="inlineStr">
        <is>
          <t>FAZENDA SÃO CRISPIN - Capela de São Sebastião, Distrito do Chimarrão, André da Rocha-RS</t>
        </is>
      </c>
      <c r="F51" s="4" t="inlineStr"/>
      <c r="G51" s="4" t="inlineStr"/>
      <c r="H51" s="4" t="inlineStr">
        <is>
          <t>14.221, 13.615, 13.650, 00.760, 11.462, 05.435, 09.959, 04.443, 12.473</t>
        </is>
      </c>
      <c r="I51" s="4" t="inlineStr">
        <is>
          <t>407,53 ha (de 491,0 ha)</t>
        </is>
      </c>
      <c r="J51" s="5" t="n"/>
      <c r="K51" s="5" t="n">
        <v>44828300</v>
      </c>
      <c r="L51" s="6">
        <f>1/6</f>
        <v/>
      </c>
      <c r="M51" s="7">
        <f>K51*L51</f>
        <v/>
      </c>
      <c r="N51" s="4" t="inlineStr">
        <is>
          <t>inventário-estudo-rafael.pdf, p. 5</t>
        </is>
      </c>
      <c r="O51" s="4" t="inlineStr">
        <is>
          <t>Somente no estudo Rafael (não consta nos inventários 2025). 83,47 ha da Matrícula 00.760 VENDIDOS à Família Rigo; avaliados 407,53 ha a R$ 110.000,00/ha. Composição na aba 'Composição'. CCIR 2.898.196-0.</t>
        </is>
      </c>
    </row>
    <row r="52">
      <c r="A52" s="9" t="n">
        <v>48</v>
      </c>
      <c r="B52" s="4" t="inlineStr">
        <is>
          <t>05 - Hotel Princesa dos Vales Ltda.</t>
        </is>
      </c>
      <c r="C52" s="4" t="inlineStr">
        <is>
          <t>Imóvel rural</t>
        </is>
      </c>
      <c r="D52" s="4" t="inlineStr">
        <is>
          <t>06</t>
        </is>
      </c>
      <c r="E52" s="4" t="inlineStr">
        <is>
          <t>FAZENDA SÃO CRISPIN - área dentro de um todo maior, adquirida de Dirceu Prestes e Lairton (contrato de compra e venda, dez/2015), André da Rocha-RS</t>
        </is>
      </c>
      <c r="F52" s="4" t="inlineStr"/>
      <c r="G52" s="4" t="inlineStr"/>
      <c r="H52" s="4" t="inlineStr">
        <is>
          <t>11.090</t>
        </is>
      </c>
      <c r="I52" s="4" t="inlineStr">
        <is>
          <t>4,0 ha</t>
        </is>
      </c>
      <c r="J52" s="5" t="n"/>
      <c r="K52" s="5" t="n">
        <v>440000</v>
      </c>
      <c r="L52" s="6">
        <f>1/6</f>
        <v/>
      </c>
      <c r="M52" s="7">
        <f>K52*L52</f>
        <v/>
      </c>
      <c r="N52" s="4" t="inlineStr">
        <is>
          <t>inventário-estudo-rafael.pdf, p. 5</t>
        </is>
      </c>
      <c r="O52" s="4" t="inlineStr">
        <is>
          <t>Somente no estudo Rafael (não consta nos inventários 2025). 4,0 ha x R$ 110.000,00/ha.</t>
        </is>
      </c>
    </row>
    <row r="53">
      <c r="A53" s="9" t="n">
        <v>49</v>
      </c>
      <c r="B53" s="4" t="inlineStr">
        <is>
          <t>05 - Hotel Princesa dos Vales Ltda.</t>
        </is>
      </c>
      <c r="C53" s="4" t="inlineStr">
        <is>
          <t>Veículo / máquina</t>
        </is>
      </c>
      <c r="D53" s="4" t="inlineStr">
        <is>
          <t>08</t>
        </is>
      </c>
      <c r="E53" s="4" t="inlineStr">
        <is>
          <t>Mercedinha MB 709 com boiadeiro, Mercedes-Benz, ano/modelo 1991, placa JTB 8585</t>
        </is>
      </c>
      <c r="F53" s="4" t="inlineStr"/>
      <c r="G53" s="4" t="inlineStr"/>
      <c r="H53" s="4" t="inlineStr"/>
      <c r="I53" s="4" t="inlineStr"/>
      <c r="J53" s="5" t="n"/>
      <c r="K53" s="5" t="n">
        <v>85000</v>
      </c>
      <c r="L53" s="6">
        <f>1/6</f>
        <v/>
      </c>
      <c r="M53" s="7">
        <f>K53*L53</f>
        <v/>
      </c>
      <c r="N53" s="4" t="inlineStr">
        <is>
          <t>inventário-estudo-rafael.pdf, p. 5-6</t>
        </is>
      </c>
      <c r="O53" s="4" t="inlineStr">
        <is>
          <t>Somente no estudo Rafael (não consta nos inventários 2025).</t>
        </is>
      </c>
    </row>
    <row r="54">
      <c r="A54" s="9" t="n">
        <v>50</v>
      </c>
      <c r="B54" s="4" t="inlineStr">
        <is>
          <t>Siviero Empreendimentos Imobiliários Ltda. (Empresa 10 no estudo)</t>
        </is>
      </c>
      <c r="C54" s="4" t="inlineStr">
        <is>
          <t>Veículo / máquina</t>
        </is>
      </c>
      <c r="D54" s="4" t="inlineStr">
        <is>
          <t>14</t>
        </is>
      </c>
      <c r="E54" s="4" t="inlineStr">
        <is>
          <t>Camionete Ford Ranger, prata, ano 2010, placa NPQ OI67</t>
        </is>
      </c>
      <c r="F54" s="4" t="inlineStr"/>
      <c r="G54" s="4" t="inlineStr"/>
      <c r="H54" s="4" t="inlineStr"/>
      <c r="I54" s="4" t="inlineStr"/>
      <c r="J54" s="5" t="n"/>
      <c r="K54" s="5" t="n">
        <v>67000</v>
      </c>
      <c r="L54" s="6">
        <f>1/6</f>
        <v/>
      </c>
      <c r="M54" s="7">
        <f>K54*L54</f>
        <v/>
      </c>
      <c r="N54" s="4" t="inlineStr">
        <is>
          <t>inventário-estudo-rafael.pdf, p. 8</t>
        </is>
      </c>
      <c r="O54" s="4" t="inlineStr">
        <is>
          <t>Somente no estudo Rafael (não consta nos inventários 2025).</t>
        </is>
      </c>
    </row>
    <row r="55">
      <c r="A55" s="9" t="n">
        <v>51</v>
      </c>
      <c r="B55" s="4" t="inlineStr">
        <is>
          <t>Siviero Empreendimentos Imobiliários Ltda. (Empresa 10 no estudo)</t>
        </is>
      </c>
      <c r="C55" s="4" t="inlineStr">
        <is>
          <t>Imóvel urbano</t>
        </is>
      </c>
      <c r="D55" s="4" t="inlineStr">
        <is>
          <t>03</t>
        </is>
      </c>
      <c r="E55" s="4" t="inlineStr">
        <is>
          <t>Lote urbano com casa/prédio - escritório velho, Av. Osvaldo Aranha, 1398, Bairro Palugana, Veranópolis-RS (alugado - Bar do André)</t>
        </is>
      </c>
      <c r="F55" s="4" t="inlineStr"/>
      <c r="G55" s="4" t="inlineStr"/>
      <c r="H55" s="4" t="inlineStr">
        <is>
          <t>9</t>
        </is>
      </c>
      <c r="I55" s="4" t="inlineStr">
        <is>
          <t>570,00 m² (19 x 30 m)</t>
        </is>
      </c>
      <c r="J55" s="5" t="n"/>
      <c r="K55" s="5" t="n">
        <v>850000</v>
      </c>
      <c r="L55" s="6">
        <f>1/6</f>
        <v/>
      </c>
      <c r="M55" s="7">
        <f>K55*L55</f>
        <v/>
      </c>
      <c r="N55" s="4" t="inlineStr">
        <is>
          <t>inventário-estudo-rafael.pdf, p. 8</t>
        </is>
      </c>
      <c r="O55" s="4" t="inlineStr">
        <is>
          <t>Somente no estudo Rafael (não consta nos inventários 2025).</t>
        </is>
      </c>
    </row>
    <row r="56">
      <c r="A56" s="9" t="n">
        <v>52</v>
      </c>
      <c r="B56" s="4" t="inlineStr">
        <is>
          <t>Siviero Empreendimentos Imobiliários Ltda. (Empresa 10 no estudo)</t>
        </is>
      </c>
      <c r="C56" s="4" t="inlineStr">
        <is>
          <t>Imóvel urbano</t>
        </is>
      </c>
      <c r="D56" s="4" t="inlineStr">
        <is>
          <t>05</t>
        </is>
      </c>
      <c r="E56" s="4" t="inlineStr">
        <is>
          <t>Lote urbano, Av. Osvaldo Aranha esq. Rua Eduardo Duarte, Veranópolis-RS (alugado - Paulinho das baterias)</t>
        </is>
      </c>
      <c r="F56" s="4" t="inlineStr"/>
      <c r="G56" s="4" t="inlineStr"/>
      <c r="H56" s="4" t="inlineStr">
        <is>
          <t>1.507</t>
        </is>
      </c>
      <c r="I56" s="4" t="inlineStr">
        <is>
          <t>345,00 m² (23 x 15 m)</t>
        </is>
      </c>
      <c r="J56" s="5" t="n"/>
      <c r="K56" s="5" t="n">
        <v>550000</v>
      </c>
      <c r="L56" s="6">
        <f>1/6</f>
        <v/>
      </c>
      <c r="M56" s="7">
        <f>K56*L56</f>
        <v/>
      </c>
      <c r="N56" s="4" t="inlineStr">
        <is>
          <t>inventário-estudo-rafael.pdf, p. 8</t>
        </is>
      </c>
      <c r="O56" s="4" t="inlineStr">
        <is>
          <t>Somente no estudo Rafael (não consta nos inventários 2025).</t>
        </is>
      </c>
    </row>
    <row r="57">
      <c r="A57" s="9" t="n">
        <v>53</v>
      </c>
      <c r="B57" s="4" t="inlineStr">
        <is>
          <t>Siviero Empreendimentos Imobiliários Ltda. (Empresa 10 no estudo)</t>
        </is>
      </c>
      <c r="C57" s="4" t="inlineStr">
        <is>
          <t>Imóvel urbano</t>
        </is>
      </c>
      <c r="D57" s="4" t="inlineStr">
        <is>
          <t>06</t>
        </is>
      </c>
      <c r="E57" s="4" t="inlineStr">
        <is>
          <t>Lote urbano nº 0092, quadra 020, zona 02, Rua General Flores da Cunha, Centro, Veranópolis-RS (adquirido da Família Dal Ponte)</t>
        </is>
      </c>
      <c r="F57" s="4" t="inlineStr">
        <is>
          <t>0092</t>
        </is>
      </c>
      <c r="G57" s="4" t="inlineStr">
        <is>
          <t>020</t>
        </is>
      </c>
      <c r="H57" s="4" t="inlineStr">
        <is>
          <t>3.788</t>
        </is>
      </c>
      <c r="I57" s="4" t="inlineStr">
        <is>
          <t>750,00 m²</t>
        </is>
      </c>
      <c r="J57" s="5" t="n"/>
      <c r="K57" s="5" t="n">
        <v>1010000</v>
      </c>
      <c r="L57" s="6">
        <f>1/6</f>
        <v/>
      </c>
      <c r="M57" s="7">
        <f>K57*L57</f>
        <v/>
      </c>
      <c r="N57" s="4" t="inlineStr">
        <is>
          <t>inventário-estudo-rafael.pdf, p. 8</t>
        </is>
      </c>
      <c r="O57" s="4" t="inlineStr">
        <is>
          <t>Somente no estudo Rafael (não consta nos inventários 2025).</t>
        </is>
      </c>
    </row>
    <row r="58">
      <c r="A58" s="9" t="n">
        <v>54</v>
      </c>
      <c r="B58" s="4" t="inlineStr">
        <is>
          <t>Siviero Empreendimentos Imobiliários Ltda. (Empresa 10 no estudo)</t>
        </is>
      </c>
      <c r="C58" s="4" t="inlineStr">
        <is>
          <t>Imóvel urbano</t>
        </is>
      </c>
      <c r="D58" s="4" t="inlineStr">
        <is>
          <t>08</t>
        </is>
      </c>
      <c r="E58" s="4" t="inlineStr">
        <is>
          <t>Lote urbano nº 188/62 - Quadra 163/G, Loteamento Verona, Bento Gonçalves-RS (cadastro PM 12482700)</t>
        </is>
      </c>
      <c r="F58" s="4" t="inlineStr">
        <is>
          <t>188/62</t>
        </is>
      </c>
      <c r="G58" s="4" t="inlineStr">
        <is>
          <t>163/G</t>
        </is>
      </c>
      <c r="H58" s="4" t="inlineStr">
        <is>
          <t>(em branco no documento)</t>
        </is>
      </c>
      <c r="I58" s="4" t="inlineStr">
        <is>
          <t>(em branco no documento)</t>
        </is>
      </c>
      <c r="J58" s="5" t="n"/>
      <c r="K58" s="5" t="n">
        <v>160000</v>
      </c>
      <c r="L58" s="6">
        <f>1/6</f>
        <v/>
      </c>
      <c r="M58" s="7">
        <f>K58*L58</f>
        <v/>
      </c>
      <c r="N58" s="4" t="inlineStr">
        <is>
          <t>inventário-estudo-rafael.pdf, p. 8</t>
        </is>
      </c>
      <c r="O58" s="4" t="inlineStr">
        <is>
          <t>Somente no estudo Rafael (não consta nos inventários 2025). Área e matrícula não preenchidas no documento.</t>
        </is>
      </c>
    </row>
    <row r="59">
      <c r="A59" s="9" t="n">
        <v>55</v>
      </c>
      <c r="B59" s="4" t="inlineStr">
        <is>
          <t>Siviero Empreendimentos Imobiliários Ltda. (Empresa 10 no estudo)</t>
        </is>
      </c>
      <c r="C59" s="4" t="inlineStr">
        <is>
          <t>Imóvel urbano</t>
        </is>
      </c>
      <c r="D59" s="4" t="inlineStr">
        <is>
          <t>04</t>
        </is>
      </c>
      <c r="E59" s="4" t="inlineStr">
        <is>
          <t>Imóvel urbano com PAVILHÕES (4.170,00 m² construídos), Rodovia BR 470, Km 175,4, Bairro Valverde, Veranópolis-RS - locado à Oleoplan S/A</t>
        </is>
      </c>
      <c r="F59" s="4" t="inlineStr"/>
      <c r="G59" s="4" t="inlineStr"/>
      <c r="H59" s="4" t="inlineStr">
        <is>
          <t>29.954 (unificação 17.409 e 6.136)</t>
        </is>
      </c>
      <c r="I59" s="4" t="inlineStr">
        <is>
          <t>4.792,03 m²</t>
        </is>
      </c>
      <c r="J59" s="5" t="n"/>
      <c r="K59" s="5" t="n">
        <v>10631378.6</v>
      </c>
      <c r="L59" s="6">
        <f>1/6</f>
        <v/>
      </c>
      <c r="M59" s="7">
        <f>K59*L59</f>
        <v/>
      </c>
      <c r="N59" s="4" t="inlineStr">
        <is>
          <t>inventário-estudo-rafael.pdf, p. 8-9</t>
        </is>
      </c>
      <c r="O59" s="8" t="inlineStr">
        <is>
          <t>Somente no estudo Rafael (não consta nos inventários 2025). Valor total conforme documento. A soma das parcelas descritas dá R$ 13.631.378,60 (diferença de R$ 3.000.000,00) - ver aba 'Composição'.</t>
        </is>
      </c>
    </row>
    <row r="60">
      <c r="A60" s="9" t="n">
        <v>56</v>
      </c>
      <c r="B60" s="4" t="inlineStr">
        <is>
          <t>Siviero Empreendimentos Imobiliários Ltda. (Empresa 10 no estudo)</t>
        </is>
      </c>
      <c r="C60" s="4" t="inlineStr">
        <is>
          <t>Imóvel urbano</t>
        </is>
      </c>
      <c r="D60" s="4" t="inlineStr">
        <is>
          <t>02</t>
        </is>
      </c>
      <c r="E60" s="4" t="inlineStr">
        <is>
          <t>Área de terras urbanas, lote nº 0292, quadra 009, zona 12, Linha Tomaz Flores, Estrada Velha da Vacaria, Sapopema, Veranópolis-RS (adquirida da Família Lago)</t>
        </is>
      </c>
      <c r="F60" s="4" t="inlineStr">
        <is>
          <t>0292</t>
        </is>
      </c>
      <c r="G60" s="4" t="inlineStr">
        <is>
          <t>009</t>
        </is>
      </c>
      <c r="H60" s="4" t="inlineStr">
        <is>
          <t>33.516</t>
        </is>
      </c>
      <c r="I60" s="4" t="inlineStr">
        <is>
          <t>4,0 ha (40.027,41 m²)</t>
        </is>
      </c>
      <c r="J60" s="5" t="n"/>
      <c r="K60" s="5" t="n">
        <v>1500000</v>
      </c>
      <c r="L60" s="6">
        <f>1/6</f>
        <v/>
      </c>
      <c r="M60" s="7">
        <f>K60*L60</f>
        <v/>
      </c>
      <c r="N60" s="4" t="inlineStr">
        <is>
          <t>inventário-estudo-rafael.pdf, p. 9</t>
        </is>
      </c>
      <c r="O60" s="4" t="inlineStr">
        <is>
          <t>Somente no estudo Rafael (não consta nos inventários 2025). Listado sob o título 'Áreas rurais', mas descrito como área urbana.</t>
        </is>
      </c>
    </row>
    <row r="61">
      <c r="A61" s="9" t="n">
        <v>57</v>
      </c>
      <c r="B61" s="4" t="inlineStr">
        <is>
          <t>Siviero Empreendimentos Imobiliários Ltda. (Empresa 10 no estudo)</t>
        </is>
      </c>
      <c r="C61" s="4" t="inlineStr">
        <is>
          <t>Lote em loteamento</t>
        </is>
      </c>
      <c r="D61" s="4" t="inlineStr"/>
      <c r="E61" s="4" t="inlineStr">
        <is>
          <t>Lote 021 - D - 01. Loteamento Sol Nascente I</t>
        </is>
      </c>
      <c r="F61" s="4" t="inlineStr">
        <is>
          <t>021</t>
        </is>
      </c>
      <c r="G61" s="4" t="inlineStr">
        <is>
          <t>D</t>
        </is>
      </c>
      <c r="H61" s="4" t="inlineStr"/>
      <c r="I61" s="4" t="inlineStr"/>
      <c r="J61" s="5" t="n"/>
      <c r="K61" s="5" t="n">
        <v>389000</v>
      </c>
      <c r="L61" s="6">
        <f>1/6</f>
        <v/>
      </c>
      <c r="M61" s="7">
        <f>K61*L61</f>
        <v/>
      </c>
      <c r="N61" s="4" t="inlineStr">
        <is>
          <t>inventário-estudo-rafael.pdf, p. 9</t>
        </is>
      </c>
      <c r="O61" s="4" t="inlineStr">
        <is>
          <t>Somente no estudo Rafael (não consta nos inventários 2025).</t>
        </is>
      </c>
    </row>
    <row r="62">
      <c r="A62" s="9" t="n">
        <v>58</v>
      </c>
      <c r="B62" s="4" t="inlineStr">
        <is>
          <t>Siviero Empreendimentos Imobiliários Ltda. (Empresa 10 no estudo)</t>
        </is>
      </c>
      <c r="C62" s="4" t="inlineStr">
        <is>
          <t>Lote em loteamento</t>
        </is>
      </c>
      <c r="D62" s="4" t="inlineStr"/>
      <c r="E62" s="4" t="inlineStr">
        <is>
          <t>Lote 022 - D - 01. Loteamento Sol Nascente I</t>
        </is>
      </c>
      <c r="F62" s="4" t="inlineStr">
        <is>
          <t>022</t>
        </is>
      </c>
      <c r="G62" s="4" t="inlineStr">
        <is>
          <t>D</t>
        </is>
      </c>
      <c r="H62" s="4" t="inlineStr"/>
      <c r="I62" s="4" t="inlineStr"/>
      <c r="J62" s="5" t="n"/>
      <c r="K62" s="5" t="n">
        <v>354000</v>
      </c>
      <c r="L62" s="6">
        <f>1/6</f>
        <v/>
      </c>
      <c r="M62" s="7">
        <f>K62*L62</f>
        <v/>
      </c>
      <c r="N62" s="4" t="inlineStr">
        <is>
          <t>inventário-estudo-rafael.pdf, p. 9</t>
        </is>
      </c>
      <c r="O62" s="4" t="inlineStr">
        <is>
          <t>Somente no estudo Rafael (não consta nos inventários 2025).</t>
        </is>
      </c>
    </row>
    <row r="63">
      <c r="A63" s="9" t="n">
        <v>59</v>
      </c>
      <c r="B63" s="4" t="inlineStr">
        <is>
          <t>Siviero Empreendimentos Imobiliários Ltda. (Empresa 10 no estudo)</t>
        </is>
      </c>
      <c r="C63" s="4" t="inlineStr">
        <is>
          <t>Lote em loteamento</t>
        </is>
      </c>
      <c r="D63" s="4" t="inlineStr"/>
      <c r="E63" s="4" t="inlineStr">
        <is>
          <t>Lote 003 - 1 - 06. Loteamento Aditivo Medianeira</t>
        </is>
      </c>
      <c r="F63" s="4" t="inlineStr">
        <is>
          <t>003</t>
        </is>
      </c>
      <c r="G63" s="4" t="inlineStr">
        <is>
          <t>1</t>
        </is>
      </c>
      <c r="H63" s="4" t="inlineStr"/>
      <c r="I63" s="4" t="inlineStr"/>
      <c r="J63" s="5" t="n"/>
      <c r="K63" s="5" t="n">
        <v>214000</v>
      </c>
      <c r="L63" s="6">
        <f>1/6</f>
        <v/>
      </c>
      <c r="M63" s="7">
        <f>K63*L63</f>
        <v/>
      </c>
      <c r="N63" s="4" t="inlineStr">
        <is>
          <t>inventário-estudo-rafael.pdf, p. 9</t>
        </is>
      </c>
      <c r="O63" s="4" t="inlineStr">
        <is>
          <t>Somente no estudo Rafael (não consta nos inventários 2025).</t>
        </is>
      </c>
    </row>
    <row r="64">
      <c r="A64" s="9" t="n">
        <v>60</v>
      </c>
      <c r="B64" s="4" t="inlineStr">
        <is>
          <t>Siviero Empreendimentos Imobiliários Ltda. (Empresa 10 no estudo)</t>
        </is>
      </c>
      <c r="C64" s="4" t="inlineStr">
        <is>
          <t>Lote em loteamento</t>
        </is>
      </c>
      <c r="D64" s="4" t="inlineStr"/>
      <c r="E64" s="4" t="inlineStr">
        <is>
          <t>Lote 002 - 6 - 06. Loteamento Aditivo Medianeira</t>
        </is>
      </c>
      <c r="F64" s="4" t="inlineStr">
        <is>
          <t>002</t>
        </is>
      </c>
      <c r="G64" s="4" t="inlineStr">
        <is>
          <t>6</t>
        </is>
      </c>
      <c r="H64" s="4" t="inlineStr"/>
      <c r="I64" s="4" t="inlineStr"/>
      <c r="J64" s="5" t="n"/>
      <c r="K64" s="5" t="n">
        <v>156000</v>
      </c>
      <c r="L64" s="6">
        <f>1/6</f>
        <v/>
      </c>
      <c r="M64" s="7">
        <f>K64*L64</f>
        <v/>
      </c>
      <c r="N64" s="4" t="inlineStr">
        <is>
          <t>inventário-estudo-rafael.pdf, p. 9</t>
        </is>
      </c>
      <c r="O64" s="4" t="inlineStr">
        <is>
          <t>Somente no estudo Rafael (não consta nos inventários 2025).</t>
        </is>
      </c>
    </row>
    <row r="65">
      <c r="A65" s="9" t="n">
        <v>61</v>
      </c>
      <c r="B65" s="4" t="inlineStr">
        <is>
          <t>Siviero Empreendimentos Imobiliários Ltda. (Empresa 10 no estudo)</t>
        </is>
      </c>
      <c r="C65" s="4" t="inlineStr">
        <is>
          <t>Lote em loteamento</t>
        </is>
      </c>
      <c r="D65" s="4" t="inlineStr"/>
      <c r="E65" s="4" t="inlineStr">
        <is>
          <t>Lote 003 - 6 - 06. Loteamento Aditivo Medianeira</t>
        </is>
      </c>
      <c r="F65" s="4" t="inlineStr">
        <is>
          <t>003</t>
        </is>
      </c>
      <c r="G65" s="4" t="inlineStr">
        <is>
          <t>6</t>
        </is>
      </c>
      <c r="H65" s="4" t="inlineStr"/>
      <c r="I65" s="4" t="inlineStr"/>
      <c r="J65" s="5" t="n"/>
      <c r="K65" s="5" t="n">
        <v>156000</v>
      </c>
      <c r="L65" s="6">
        <f>1/6</f>
        <v/>
      </c>
      <c r="M65" s="7">
        <f>K65*L65</f>
        <v/>
      </c>
      <c r="N65" s="4" t="inlineStr">
        <is>
          <t>inventário-estudo-rafael.pdf, p. 9</t>
        </is>
      </c>
      <c r="O65" s="4" t="inlineStr">
        <is>
          <t>Somente no estudo Rafael (não consta nos inventários 2025).</t>
        </is>
      </c>
    </row>
    <row r="66">
      <c r="A66" s="9" t="n">
        <v>62</v>
      </c>
      <c r="B66" s="4" t="inlineStr">
        <is>
          <t>Siviero Empreendimentos Imobiliários Ltda. (Empresa 10 no estudo)</t>
        </is>
      </c>
      <c r="C66" s="4" t="inlineStr">
        <is>
          <t>Lote em loteamento</t>
        </is>
      </c>
      <c r="D66" s="4" t="inlineStr"/>
      <c r="E66" s="4" t="inlineStr">
        <is>
          <t>Lote 007 - 8 - 06. Loteamento Aditivo Medianeira</t>
        </is>
      </c>
      <c r="F66" s="4" t="inlineStr">
        <is>
          <t>007</t>
        </is>
      </c>
      <c r="G66" s="4" t="inlineStr">
        <is>
          <t>8</t>
        </is>
      </c>
      <c r="H66" s="4" t="inlineStr"/>
      <c r="I66" s="4" t="inlineStr"/>
      <c r="J66" s="5" t="n"/>
      <c r="K66" s="5" t="n">
        <v>152000</v>
      </c>
      <c r="L66" s="6">
        <f>1/6</f>
        <v/>
      </c>
      <c r="M66" s="7">
        <f>K66*L66</f>
        <v/>
      </c>
      <c r="N66" s="4" t="inlineStr">
        <is>
          <t>inventário-estudo-rafael.pdf, p. 9</t>
        </is>
      </c>
      <c r="O66" s="4" t="inlineStr">
        <is>
          <t>Somente no estudo Rafael (não consta nos inventários 2025).</t>
        </is>
      </c>
    </row>
    <row r="67">
      <c r="A67" s="9" t="n">
        <v>63</v>
      </c>
      <c r="B67" s="4" t="inlineStr">
        <is>
          <t>Siviero Empreendimentos Imobiliários Ltda. (Empresa 10 no estudo)</t>
        </is>
      </c>
      <c r="C67" s="4" t="inlineStr">
        <is>
          <t>Lote em loteamento</t>
        </is>
      </c>
      <c r="D67" s="4" t="inlineStr"/>
      <c r="E67" s="4" t="inlineStr">
        <is>
          <t>Lote 002 - 05 - 07. Colina do Retiro</t>
        </is>
      </c>
      <c r="F67" s="4" t="inlineStr">
        <is>
          <t>002</t>
        </is>
      </c>
      <c r="G67" s="4" t="inlineStr">
        <is>
          <t>05</t>
        </is>
      </c>
      <c r="H67" s="4" t="inlineStr"/>
      <c r="I67" s="4" t="inlineStr"/>
      <c r="J67" s="5" t="n"/>
      <c r="K67" s="5" t="n">
        <v>160000</v>
      </c>
      <c r="L67" s="6">
        <f>1/6</f>
        <v/>
      </c>
      <c r="M67" s="7">
        <f>K67*L67</f>
        <v/>
      </c>
      <c r="N67" s="4" t="inlineStr">
        <is>
          <t>inventário-estudo-rafael.pdf, p. 9</t>
        </is>
      </c>
      <c r="O67" s="4" t="inlineStr">
        <is>
          <t>Somente no estudo Rafael (não consta nos inventários 2025).</t>
        </is>
      </c>
    </row>
    <row r="68">
      <c r="A68" s="9" t="n">
        <v>64</v>
      </c>
      <c r="B68" s="4" t="inlineStr">
        <is>
          <t>Siviero Empreendimentos Imobiliários Ltda. (Empresa 10 no estudo)</t>
        </is>
      </c>
      <c r="C68" s="4" t="inlineStr">
        <is>
          <t>Lote em loteamento</t>
        </is>
      </c>
      <c r="D68" s="4" t="inlineStr"/>
      <c r="E68" s="4" t="inlineStr">
        <is>
          <t>Lote 002 - 09 - 07. Colina do Retiro</t>
        </is>
      </c>
      <c r="F68" s="4" t="inlineStr">
        <is>
          <t>002</t>
        </is>
      </c>
      <c r="G68" s="4" t="inlineStr">
        <is>
          <t>09</t>
        </is>
      </c>
      <c r="H68" s="4" t="inlineStr"/>
      <c r="I68" s="4" t="inlineStr"/>
      <c r="J68" s="5" t="n"/>
      <c r="K68" s="5" t="n">
        <v>159000</v>
      </c>
      <c r="L68" s="6">
        <f>1/6</f>
        <v/>
      </c>
      <c r="M68" s="7">
        <f>K68*L68</f>
        <v/>
      </c>
      <c r="N68" s="4" t="inlineStr">
        <is>
          <t>inventário-estudo-rafael.pdf, p. 9</t>
        </is>
      </c>
      <c r="O68" s="4" t="inlineStr">
        <is>
          <t>Somente no estudo Rafael (não consta nos inventários 2025).</t>
        </is>
      </c>
    </row>
    <row r="69">
      <c r="A69" s="9" t="n">
        <v>65</v>
      </c>
      <c r="B69" s="4" t="inlineStr">
        <is>
          <t>Siviero Empreendimentos Imobiliários Ltda. (Empresa 10 no estudo)</t>
        </is>
      </c>
      <c r="C69" s="4" t="inlineStr">
        <is>
          <t>Lote em loteamento</t>
        </is>
      </c>
      <c r="D69" s="4" t="inlineStr"/>
      <c r="E69" s="4" t="inlineStr">
        <is>
          <t>Lote 003 - 09 - 07. Colina do Retiro</t>
        </is>
      </c>
      <c r="F69" s="4" t="inlineStr">
        <is>
          <t>003</t>
        </is>
      </c>
      <c r="G69" s="4" t="inlineStr">
        <is>
          <t>09</t>
        </is>
      </c>
      <c r="H69" s="4" t="inlineStr"/>
      <c r="I69" s="4" t="inlineStr"/>
      <c r="J69" s="5" t="n"/>
      <c r="K69" s="5" t="n">
        <v>159000</v>
      </c>
      <c r="L69" s="6">
        <f>1/6</f>
        <v/>
      </c>
      <c r="M69" s="7">
        <f>K69*L69</f>
        <v/>
      </c>
      <c r="N69" s="4" t="inlineStr">
        <is>
          <t>inventário-estudo-rafael.pdf, p. 9</t>
        </is>
      </c>
      <c r="O69" s="4" t="inlineStr">
        <is>
          <t>Somente no estudo Rafael (não consta nos inventários 2025).</t>
        </is>
      </c>
    </row>
    <row r="70">
      <c r="A70" s="9" t="n">
        <v>66</v>
      </c>
      <c r="B70" s="4" t="inlineStr">
        <is>
          <t>Siviero Empreendimentos Imobiliários Ltda. (Empresa 10 no estudo)</t>
        </is>
      </c>
      <c r="C70" s="4" t="inlineStr">
        <is>
          <t>Lote em loteamento</t>
        </is>
      </c>
      <c r="D70" s="4" t="inlineStr"/>
      <c r="E70" s="4" t="inlineStr">
        <is>
          <t>Lote 002 - 02 - 08. Loteamento Salvador - Alberto Salvador - Femaçã II</t>
        </is>
      </c>
      <c r="F70" s="4" t="inlineStr">
        <is>
          <t>002</t>
        </is>
      </c>
      <c r="G70" s="4" t="inlineStr">
        <is>
          <t>02</t>
        </is>
      </c>
      <c r="H70" s="4" t="inlineStr"/>
      <c r="I70" s="4" t="inlineStr"/>
      <c r="J70" s="5" t="n"/>
      <c r="K70" s="5" t="n">
        <v>413000</v>
      </c>
      <c r="L70" s="6">
        <f>1/6</f>
        <v/>
      </c>
      <c r="M70" s="7">
        <f>K70*L70</f>
        <v/>
      </c>
      <c r="N70" s="4" t="inlineStr">
        <is>
          <t>inventário-estudo-rafael.pdf, p. 10</t>
        </is>
      </c>
      <c r="O70" s="4" t="inlineStr">
        <is>
          <t>Somente no estudo Rafael (não consta nos inventários 2025).</t>
        </is>
      </c>
    </row>
    <row r="71">
      <c r="A71" s="9" t="n">
        <v>67</v>
      </c>
      <c r="B71" s="4" t="inlineStr">
        <is>
          <t>Siviero Empreendimentos Imobiliários Ltda. (Empresa 10 no estudo)</t>
        </is>
      </c>
      <c r="C71" s="4" t="inlineStr">
        <is>
          <t>Lote em loteamento</t>
        </is>
      </c>
      <c r="D71" s="4" t="inlineStr"/>
      <c r="E71" s="4" t="inlineStr">
        <is>
          <t>Lote 004 - 02 - 08. Loteamento Salvador - Alberto Salvador - Femaçã II</t>
        </is>
      </c>
      <c r="F71" s="4" t="inlineStr">
        <is>
          <t>004</t>
        </is>
      </c>
      <c r="G71" s="4" t="inlineStr">
        <is>
          <t>02</t>
        </is>
      </c>
      <c r="H71" s="4" t="inlineStr"/>
      <c r="I71" s="4" t="inlineStr"/>
      <c r="J71" s="5" t="n"/>
      <c r="K71" s="5" t="n">
        <v>440000</v>
      </c>
      <c r="L71" s="6">
        <f>1/6</f>
        <v/>
      </c>
      <c r="M71" s="7">
        <f>K71*L71</f>
        <v/>
      </c>
      <c r="N71" s="4" t="inlineStr">
        <is>
          <t>inventário-estudo-rafael.pdf, p. 10</t>
        </is>
      </c>
      <c r="O71" s="4" t="inlineStr">
        <is>
          <t>Somente no estudo Rafael (não consta nos inventários 2025).</t>
        </is>
      </c>
    </row>
    <row r="72">
      <c r="A72" s="9" t="n">
        <v>68</v>
      </c>
      <c r="B72" s="4" t="inlineStr">
        <is>
          <t>Siviero Empreendimentos Imobiliários Ltda. (Empresa 10 no estudo)</t>
        </is>
      </c>
      <c r="C72" s="4" t="inlineStr">
        <is>
          <t>Lote em loteamento</t>
        </is>
      </c>
      <c r="D72" s="4" t="inlineStr"/>
      <c r="E72" s="4" t="inlineStr">
        <is>
          <t>Lote 005 - 02 - 08. Loteamento Salvador - Alberto Salvador - Femaçã II</t>
        </is>
      </c>
      <c r="F72" s="4" t="inlineStr">
        <is>
          <t>005</t>
        </is>
      </c>
      <c r="G72" s="4" t="inlineStr">
        <is>
          <t>02</t>
        </is>
      </c>
      <c r="H72" s="4" t="inlineStr"/>
      <c r="I72" s="4" t="inlineStr"/>
      <c r="J72" s="5" t="n"/>
      <c r="K72" s="5" t="n">
        <v>326000</v>
      </c>
      <c r="L72" s="6">
        <f>1/6</f>
        <v/>
      </c>
      <c r="M72" s="7">
        <f>K72*L72</f>
        <v/>
      </c>
      <c r="N72" s="4" t="inlineStr">
        <is>
          <t>inventário-estudo-rafael.pdf, p. 10</t>
        </is>
      </c>
      <c r="O72" s="4" t="inlineStr">
        <is>
          <t>Somente no estudo Rafael (não consta nos inventários 2025).</t>
        </is>
      </c>
    </row>
    <row r="73">
      <c r="A73" s="9" t="n">
        <v>69</v>
      </c>
      <c r="B73" s="4" t="inlineStr">
        <is>
          <t>Siviero Empreendimentos Imobiliários Ltda. (Empresa 10 no estudo)</t>
        </is>
      </c>
      <c r="C73" s="4" t="inlineStr">
        <is>
          <t>Lote em loteamento</t>
        </is>
      </c>
      <c r="D73" s="4" t="inlineStr"/>
      <c r="E73" s="4" t="inlineStr">
        <is>
          <t>Lote 006 - 02 - 08. Loteamento Salvador - Alberto Salvador - Femaçã II</t>
        </is>
      </c>
      <c r="F73" s="4" t="inlineStr">
        <is>
          <t>006</t>
        </is>
      </c>
      <c r="G73" s="4" t="inlineStr">
        <is>
          <t>02</t>
        </is>
      </c>
      <c r="H73" s="4" t="inlineStr"/>
      <c r="I73" s="4" t="inlineStr"/>
      <c r="J73" s="5" t="n"/>
      <c r="K73" s="5" t="n">
        <v>309000</v>
      </c>
      <c r="L73" s="6">
        <f>1/6</f>
        <v/>
      </c>
      <c r="M73" s="7">
        <f>K73*L73</f>
        <v/>
      </c>
      <c r="N73" s="4" t="inlineStr">
        <is>
          <t>inventário-estudo-rafael.pdf, p. 10</t>
        </is>
      </c>
      <c r="O73" s="4" t="inlineStr">
        <is>
          <t>Somente no estudo Rafael (não consta nos inventários 2025).</t>
        </is>
      </c>
    </row>
    <row r="74">
      <c r="A74" s="9" t="n">
        <v>70</v>
      </c>
      <c r="B74" s="4" t="inlineStr">
        <is>
          <t>Siviero Empreendimentos Imobiliários Ltda. (Empresa 10 no estudo)</t>
        </is>
      </c>
      <c r="C74" s="4" t="inlineStr">
        <is>
          <t>Lote em loteamento</t>
        </is>
      </c>
      <c r="D74" s="4" t="inlineStr"/>
      <c r="E74" s="4" t="inlineStr">
        <is>
          <t>Lote 007 - 02 - 08. Loteamento Salvador - Alberto Salvador - Femaçã II</t>
        </is>
      </c>
      <c r="F74" s="4" t="inlineStr">
        <is>
          <t>007</t>
        </is>
      </c>
      <c r="G74" s="4" t="inlineStr">
        <is>
          <t>02</t>
        </is>
      </c>
      <c r="H74" s="4" t="inlineStr"/>
      <c r="I74" s="4" t="inlineStr"/>
      <c r="J74" s="5" t="n"/>
      <c r="K74" s="5" t="n">
        <v>301000</v>
      </c>
      <c r="L74" s="6">
        <f>1/6</f>
        <v/>
      </c>
      <c r="M74" s="7">
        <f>K74*L74</f>
        <v/>
      </c>
      <c r="N74" s="4" t="inlineStr">
        <is>
          <t>inventário-estudo-rafael.pdf, p. 10</t>
        </is>
      </c>
      <c r="O74" s="4" t="inlineStr">
        <is>
          <t>Somente no estudo Rafael (não consta nos inventários 2025).</t>
        </is>
      </c>
    </row>
    <row r="75">
      <c r="A75" s="9" t="n">
        <v>71</v>
      </c>
      <c r="B75" s="4" t="inlineStr">
        <is>
          <t>Siviero Empreendimentos Imobiliários Ltda. (Empresa 10 no estudo)</t>
        </is>
      </c>
      <c r="C75" s="4" t="inlineStr">
        <is>
          <t>Lote em loteamento</t>
        </is>
      </c>
      <c r="D75" s="4" t="inlineStr"/>
      <c r="E75" s="4" t="inlineStr">
        <is>
          <t>Lote 003 - 01 - 09. Loteamento Colina do Retiro II</t>
        </is>
      </c>
      <c r="F75" s="4" t="inlineStr">
        <is>
          <t>003</t>
        </is>
      </c>
      <c r="G75" s="4" t="inlineStr">
        <is>
          <t>01</t>
        </is>
      </c>
      <c r="H75" s="4" t="inlineStr"/>
      <c r="I75" s="4" t="inlineStr"/>
      <c r="J75" s="5" t="n"/>
      <c r="K75" s="5" t="n">
        <v>225000</v>
      </c>
      <c r="L75" s="6">
        <f>1/6</f>
        <v/>
      </c>
      <c r="M75" s="7">
        <f>K75*L75</f>
        <v/>
      </c>
      <c r="N75" s="4" t="inlineStr">
        <is>
          <t>inventário-estudo-rafael.pdf, p. 10</t>
        </is>
      </c>
      <c r="O75" s="4" t="inlineStr">
        <is>
          <t>Somente no estudo Rafael (não consta nos inventários 2025).</t>
        </is>
      </c>
    </row>
    <row r="76">
      <c r="A76" s="9" t="n">
        <v>72</v>
      </c>
      <c r="B76" s="4" t="inlineStr">
        <is>
          <t>Siviero Empreendimentos Imobiliários Ltda. (Empresa 10 no estudo)</t>
        </is>
      </c>
      <c r="C76" s="4" t="inlineStr">
        <is>
          <t>Lote em loteamento</t>
        </is>
      </c>
      <c r="D76" s="4" t="inlineStr"/>
      <c r="E76" s="4" t="inlineStr">
        <is>
          <t>Lote 004 - 01 - 09. Loteamento Colina do Retiro II</t>
        </is>
      </c>
      <c r="F76" s="4" t="inlineStr">
        <is>
          <t>004</t>
        </is>
      </c>
      <c r="G76" s="4" t="inlineStr">
        <is>
          <t>01</t>
        </is>
      </c>
      <c r="H76" s="4" t="inlineStr"/>
      <c r="I76" s="4" t="inlineStr"/>
      <c r="J76" s="5" t="n"/>
      <c r="K76" s="5" t="n">
        <v>232000</v>
      </c>
      <c r="L76" s="6">
        <f>1/6</f>
        <v/>
      </c>
      <c r="M76" s="7">
        <f>K76*L76</f>
        <v/>
      </c>
      <c r="N76" s="4" t="inlineStr">
        <is>
          <t>inventário-estudo-rafael.pdf, p. 10</t>
        </is>
      </c>
      <c r="O76" s="4" t="inlineStr">
        <is>
          <t>Somente no estudo Rafael (não consta nos inventários 2025).</t>
        </is>
      </c>
    </row>
    <row r="77">
      <c r="A77" s="9" t="n">
        <v>73</v>
      </c>
      <c r="B77" s="4" t="inlineStr">
        <is>
          <t>Siviero Empreendimentos Imobiliários Ltda. (Empresa 10 no estudo)</t>
        </is>
      </c>
      <c r="C77" s="4" t="inlineStr">
        <is>
          <t>Lote em loteamento</t>
        </is>
      </c>
      <c r="D77" s="4" t="inlineStr"/>
      <c r="E77" s="4" t="inlineStr">
        <is>
          <t>Lote 002 - 02 - 09. Loteamento Colina do Retiro II</t>
        </is>
      </c>
      <c r="F77" s="4" t="inlineStr">
        <is>
          <t>002</t>
        </is>
      </c>
      <c r="G77" s="4" t="inlineStr">
        <is>
          <t>02</t>
        </is>
      </c>
      <c r="H77" s="4" t="inlineStr"/>
      <c r="I77" s="4" t="inlineStr"/>
      <c r="J77" s="5" t="n"/>
      <c r="K77" s="5" t="n">
        <v>189000</v>
      </c>
      <c r="L77" s="6">
        <f>1/6</f>
        <v/>
      </c>
      <c r="M77" s="7">
        <f>K77*L77</f>
        <v/>
      </c>
      <c r="N77" s="4" t="inlineStr">
        <is>
          <t>inventário-estudo-rafael.pdf, p. 10</t>
        </is>
      </c>
      <c r="O77" s="4" t="inlineStr">
        <is>
          <t>Somente no estudo Rafael (não consta nos inventários 2025).</t>
        </is>
      </c>
    </row>
    <row r="78">
      <c r="A78" s="9" t="n">
        <v>74</v>
      </c>
      <c r="B78" s="4" t="inlineStr">
        <is>
          <t>Siviero Empreendimentos Imobiliários Ltda. (Empresa 10 no estudo)</t>
        </is>
      </c>
      <c r="C78" s="4" t="inlineStr">
        <is>
          <t>Lote em loteamento</t>
        </is>
      </c>
      <c r="D78" s="4" t="inlineStr"/>
      <c r="E78" s="4" t="inlineStr">
        <is>
          <t>Lote 006 - 02 - 09. Loteamento Colina do Retiro II</t>
        </is>
      </c>
      <c r="F78" s="4" t="inlineStr">
        <is>
          <t>006</t>
        </is>
      </c>
      <c r="G78" s="4" t="inlineStr">
        <is>
          <t>02</t>
        </is>
      </c>
      <c r="H78" s="4" t="inlineStr"/>
      <c r="I78" s="4" t="inlineStr"/>
      <c r="J78" s="5" t="n"/>
      <c r="K78" s="5" t="n">
        <v>199000</v>
      </c>
      <c r="L78" s="6">
        <f>1/6</f>
        <v/>
      </c>
      <c r="M78" s="7">
        <f>K78*L78</f>
        <v/>
      </c>
      <c r="N78" s="4" t="inlineStr">
        <is>
          <t>inventário-estudo-rafael.pdf, p. 10</t>
        </is>
      </c>
      <c r="O78" s="4" t="inlineStr">
        <is>
          <t>Somente no estudo Rafael (não consta nos inventários 2025).</t>
        </is>
      </c>
    </row>
    <row r="79">
      <c r="A79" s="9" t="n">
        <v>75</v>
      </c>
      <c r="B79" s="4" t="inlineStr">
        <is>
          <t>Siviero Empreendimentos Imobiliários Ltda. (Empresa 10 no estudo)</t>
        </is>
      </c>
      <c r="C79" s="4" t="inlineStr">
        <is>
          <t>Lote em loteamento</t>
        </is>
      </c>
      <c r="D79" s="4" t="inlineStr"/>
      <c r="E79" s="4" t="inlineStr">
        <is>
          <t>Lote 007 - 02 - 09. Loteamento Colina do Retiro II</t>
        </is>
      </c>
      <c r="F79" s="4" t="inlineStr">
        <is>
          <t>007</t>
        </is>
      </c>
      <c r="G79" s="4" t="inlineStr">
        <is>
          <t>02</t>
        </is>
      </c>
      <c r="H79" s="4" t="inlineStr"/>
      <c r="I79" s="4" t="inlineStr"/>
      <c r="J79" s="5" t="n"/>
      <c r="K79" s="5" t="n">
        <v>212000</v>
      </c>
      <c r="L79" s="6">
        <f>1/6</f>
        <v/>
      </c>
      <c r="M79" s="7">
        <f>K79*L79</f>
        <v/>
      </c>
      <c r="N79" s="4" t="inlineStr">
        <is>
          <t>inventário-estudo-rafael.pdf, p. 10</t>
        </is>
      </c>
      <c r="O79" s="4" t="inlineStr">
        <is>
          <t>Somente no estudo Rafael (não consta nos inventários 2025).</t>
        </is>
      </c>
    </row>
    <row r="80">
      <c r="A80" s="9" t="n">
        <v>76</v>
      </c>
      <c r="B80" s="4" t="inlineStr">
        <is>
          <t>Siviero Empreendimentos Imobiliários Ltda. (Empresa 10 no estudo)</t>
        </is>
      </c>
      <c r="C80" s="4" t="inlineStr">
        <is>
          <t>Lote em loteamento</t>
        </is>
      </c>
      <c r="D80" s="4" t="inlineStr"/>
      <c r="E80" s="4" t="inlineStr">
        <is>
          <t>Lote 002 - 04 - 09. Loteamento Colina do Retiro II</t>
        </is>
      </c>
      <c r="F80" s="4" t="inlineStr">
        <is>
          <t>002</t>
        </is>
      </c>
      <c r="G80" s="4" t="inlineStr">
        <is>
          <t>04</t>
        </is>
      </c>
      <c r="H80" s="4" t="inlineStr"/>
      <c r="I80" s="4" t="inlineStr"/>
      <c r="J80" s="5" t="n"/>
      <c r="K80" s="5" t="n">
        <v>191000</v>
      </c>
      <c r="L80" s="6">
        <f>1/6</f>
        <v/>
      </c>
      <c r="M80" s="7">
        <f>K80*L80</f>
        <v/>
      </c>
      <c r="N80" s="4" t="inlineStr">
        <is>
          <t>inventário-estudo-rafael.pdf, p. 10</t>
        </is>
      </c>
      <c r="O80" s="4" t="inlineStr">
        <is>
          <t>Somente no estudo Rafael (não consta nos inventários 2025).</t>
        </is>
      </c>
    </row>
    <row r="81">
      <c r="A81" s="9" t="n">
        <v>77</v>
      </c>
      <c r="B81" s="4" t="inlineStr">
        <is>
          <t>Siviero Empreendimentos Imobiliários Ltda. (Empresa 10 no estudo)</t>
        </is>
      </c>
      <c r="C81" s="4" t="inlineStr">
        <is>
          <t>Lote em loteamento</t>
        </is>
      </c>
      <c r="D81" s="4" t="inlineStr"/>
      <c r="E81" s="4" t="inlineStr">
        <is>
          <t>Lote 003 - 04 - 09. Loteamento Colina do Retiro II</t>
        </is>
      </c>
      <c r="F81" s="4" t="inlineStr">
        <is>
          <t>003</t>
        </is>
      </c>
      <c r="G81" s="4" t="inlineStr">
        <is>
          <t>04</t>
        </is>
      </c>
      <c r="H81" s="4" t="inlineStr"/>
      <c r="I81" s="4" t="inlineStr"/>
      <c r="J81" s="5" t="n"/>
      <c r="K81" s="5" t="n">
        <v>191000</v>
      </c>
      <c r="L81" s="6">
        <f>1/6</f>
        <v/>
      </c>
      <c r="M81" s="7">
        <f>K81*L81</f>
        <v/>
      </c>
      <c r="N81" s="4" t="inlineStr">
        <is>
          <t>inventário-estudo-rafael.pdf, p. 10</t>
        </is>
      </c>
      <c r="O81" s="4" t="inlineStr">
        <is>
          <t>Somente no estudo Rafael (não consta nos inventários 2025).</t>
        </is>
      </c>
    </row>
    <row r="82">
      <c r="A82" s="9" t="n">
        <v>78</v>
      </c>
      <c r="B82" s="4" t="inlineStr">
        <is>
          <t>Siviero Empreendimentos Imobiliários Ltda. (Empresa 10 no estudo)</t>
        </is>
      </c>
      <c r="C82" s="4" t="inlineStr">
        <is>
          <t>Lote em loteamento</t>
        </is>
      </c>
      <c r="D82" s="4" t="inlineStr"/>
      <c r="E82" s="4" t="inlineStr">
        <is>
          <t>Lote 006 - 04 - 09. Loteamento Colina do Retiro II</t>
        </is>
      </c>
      <c r="F82" s="4" t="inlineStr">
        <is>
          <t>006</t>
        </is>
      </c>
      <c r="G82" s="4" t="inlineStr">
        <is>
          <t>04</t>
        </is>
      </c>
      <c r="H82" s="4" t="inlineStr"/>
      <c r="I82" s="4" t="inlineStr"/>
      <c r="J82" s="5" t="n"/>
      <c r="K82" s="5" t="n">
        <v>212000</v>
      </c>
      <c r="L82" s="6">
        <f>1/6</f>
        <v/>
      </c>
      <c r="M82" s="7">
        <f>K82*L82</f>
        <v/>
      </c>
      <c r="N82" s="4" t="inlineStr">
        <is>
          <t>inventário-estudo-rafael.pdf, p. 10</t>
        </is>
      </c>
      <c r="O82" s="4" t="inlineStr">
        <is>
          <t>Somente no estudo Rafael (não consta nos inventários 2025).</t>
        </is>
      </c>
    </row>
    <row r="83">
      <c r="A83" s="9" t="n">
        <v>79</v>
      </c>
      <c r="B83" s="4" t="inlineStr">
        <is>
          <t>Siviero Empreendimentos Imobiliários Ltda. (Empresa 10 no estudo)</t>
        </is>
      </c>
      <c r="C83" s="4" t="inlineStr">
        <is>
          <t>Lote em loteamento</t>
        </is>
      </c>
      <c r="D83" s="4" t="inlineStr"/>
      <c r="E83" s="4" t="inlineStr">
        <is>
          <t>Lote 007 - 04 - 09. Loteamento Colina do Retiro II</t>
        </is>
      </c>
      <c r="F83" s="4" t="inlineStr">
        <is>
          <t>007</t>
        </is>
      </c>
      <c r="G83" s="4" t="inlineStr">
        <is>
          <t>04</t>
        </is>
      </c>
      <c r="H83" s="4" t="inlineStr"/>
      <c r="I83" s="4" t="inlineStr"/>
      <c r="J83" s="5" t="n"/>
      <c r="K83" s="5" t="n">
        <v>185000</v>
      </c>
      <c r="L83" s="6">
        <f>1/6</f>
        <v/>
      </c>
      <c r="M83" s="7">
        <f>K83*L83</f>
        <v/>
      </c>
      <c r="N83" s="4" t="inlineStr">
        <is>
          <t>inventário-estudo-rafael.pdf, p. 10</t>
        </is>
      </c>
      <c r="O83" s="4" t="inlineStr">
        <is>
          <t>Somente no estudo Rafael (não consta nos inventários 2025).</t>
        </is>
      </c>
    </row>
    <row r="84">
      <c r="A84" s="9" t="n">
        <v>80</v>
      </c>
      <c r="B84" s="4" t="inlineStr">
        <is>
          <t>Siviero Empreendimentos Imobiliários Ltda. (Empresa 10 no estudo)</t>
        </is>
      </c>
      <c r="C84" s="4" t="inlineStr">
        <is>
          <t>Lote em loteamento</t>
        </is>
      </c>
      <c r="D84" s="4" t="inlineStr"/>
      <c r="E84" s="4" t="inlineStr">
        <is>
          <t>Lote 011 - 04 - 09. Loteamento Colina do Retiro II</t>
        </is>
      </c>
      <c r="F84" s="4" t="inlineStr">
        <is>
          <t>011</t>
        </is>
      </c>
      <c r="G84" s="4" t="inlineStr">
        <is>
          <t>04</t>
        </is>
      </c>
      <c r="H84" s="4" t="inlineStr"/>
      <c r="I84" s="4" t="inlineStr"/>
      <c r="J84" s="5" t="n"/>
      <c r="K84" s="5" t="n">
        <v>191000</v>
      </c>
      <c r="L84" s="6">
        <f>1/6</f>
        <v/>
      </c>
      <c r="M84" s="7">
        <f>K84*L84</f>
        <v/>
      </c>
      <c r="N84" s="4" t="inlineStr">
        <is>
          <t>inventário-estudo-rafael.pdf, p. 10</t>
        </is>
      </c>
      <c r="O84" s="4" t="inlineStr">
        <is>
          <t>Somente no estudo Rafael (não consta nos inventários 2025).</t>
        </is>
      </c>
    </row>
    <row r="85">
      <c r="A85" s="9" t="n">
        <v>81</v>
      </c>
      <c r="B85" s="4" t="inlineStr">
        <is>
          <t>Siviero Empreendimentos Imobiliários Ltda. (Empresa 10 no estudo)</t>
        </is>
      </c>
      <c r="C85" s="4" t="inlineStr">
        <is>
          <t>Lote em loteamento</t>
        </is>
      </c>
      <c r="D85" s="4" t="inlineStr"/>
      <c r="E85" s="4" t="inlineStr">
        <is>
          <t>Lote 012 - 04 - 09. Loteamento Colina do Retiro II</t>
        </is>
      </c>
      <c r="F85" s="4" t="inlineStr">
        <is>
          <t>012</t>
        </is>
      </c>
      <c r="G85" s="4" t="inlineStr">
        <is>
          <t>04</t>
        </is>
      </c>
      <c r="H85" s="4" t="inlineStr"/>
      <c r="I85" s="4" t="inlineStr"/>
      <c r="J85" s="5" t="n"/>
      <c r="K85" s="5" t="n">
        <v>191000</v>
      </c>
      <c r="L85" s="6">
        <f>1/6</f>
        <v/>
      </c>
      <c r="M85" s="7">
        <f>K85*L85</f>
        <v/>
      </c>
      <c r="N85" s="4" t="inlineStr">
        <is>
          <t>inventário-estudo-rafael.pdf, p. 10</t>
        </is>
      </c>
      <c r="O85" s="4" t="inlineStr">
        <is>
          <t>Somente no estudo Rafael (não consta nos inventários 2025).</t>
        </is>
      </c>
    </row>
    <row r="86">
      <c r="A86" s="9" t="n">
        <v>82</v>
      </c>
      <c r="B86" s="4" t="inlineStr">
        <is>
          <t>Siviero Empreendimentos Imobiliários Ltda. (Empresa 10 no estudo)</t>
        </is>
      </c>
      <c r="C86" s="4" t="inlineStr">
        <is>
          <t>Lote em loteamento</t>
        </is>
      </c>
      <c r="D86" s="4" t="inlineStr"/>
      <c r="E86" s="4" t="inlineStr">
        <is>
          <t>Lote 012 - 05 - 09. Loteamento Colina do Retiro II</t>
        </is>
      </c>
      <c r="F86" s="4" t="inlineStr">
        <is>
          <t>012</t>
        </is>
      </c>
      <c r="G86" s="4" t="inlineStr">
        <is>
          <t>05</t>
        </is>
      </c>
      <c r="H86" s="4" t="inlineStr"/>
      <c r="I86" s="4" t="inlineStr"/>
      <c r="J86" s="5" t="n"/>
      <c r="K86" s="5" t="n">
        <v>206000</v>
      </c>
      <c r="L86" s="6">
        <f>1/6</f>
        <v/>
      </c>
      <c r="M86" s="7">
        <f>K86*L86</f>
        <v/>
      </c>
      <c r="N86" s="4" t="inlineStr">
        <is>
          <t>inventário-estudo-rafael.pdf, p. 10</t>
        </is>
      </c>
      <c r="O86" s="4" t="inlineStr">
        <is>
          <t>Somente no estudo Rafael (não consta nos inventários 2025).</t>
        </is>
      </c>
    </row>
    <row r="87">
      <c r="A87" s="9" t="n">
        <v>83</v>
      </c>
      <c r="B87" s="4" t="inlineStr">
        <is>
          <t>Siviero Empreendimentos Imobiliários Ltda. (Empresa 10 no estudo)</t>
        </is>
      </c>
      <c r="C87" s="4" t="inlineStr">
        <is>
          <t>Lote em loteamento</t>
        </is>
      </c>
      <c r="D87" s="4" t="inlineStr"/>
      <c r="E87" s="4" t="inlineStr">
        <is>
          <t>Lote 001 - 06 - 09. Loteamento Colina do Retiro II</t>
        </is>
      </c>
      <c r="F87" s="4" t="inlineStr">
        <is>
          <t>001</t>
        </is>
      </c>
      <c r="G87" s="4" t="inlineStr">
        <is>
          <t>06</t>
        </is>
      </c>
      <c r="H87" s="4" t="inlineStr"/>
      <c r="I87" s="4" t="inlineStr"/>
      <c r="J87" s="5" t="n"/>
      <c r="K87" s="5" t="n">
        <v>182000</v>
      </c>
      <c r="L87" s="6">
        <f>1/6</f>
        <v/>
      </c>
      <c r="M87" s="7">
        <f>K87*L87</f>
        <v/>
      </c>
      <c r="N87" s="4" t="inlineStr">
        <is>
          <t>inventário-estudo-rafael.pdf, p. 10</t>
        </is>
      </c>
      <c r="O87" s="4" t="inlineStr">
        <is>
          <t>Somente no estudo Rafael (não consta nos inventários 2025).</t>
        </is>
      </c>
    </row>
    <row r="88">
      <c r="A88" s="9" t="n">
        <v>84</v>
      </c>
      <c r="B88" s="4" t="inlineStr">
        <is>
          <t>Siviero Empreendimentos Imobiliários Ltda. (Empresa 10 no estudo)</t>
        </is>
      </c>
      <c r="C88" s="4" t="inlineStr">
        <is>
          <t>Lote em loteamento</t>
        </is>
      </c>
      <c r="D88" s="4" t="inlineStr"/>
      <c r="E88" s="4" t="inlineStr">
        <is>
          <t>Lote 002 - 10 - 09. Loteamento Colina do Retiro II</t>
        </is>
      </c>
      <c r="F88" s="4" t="inlineStr">
        <is>
          <t>002</t>
        </is>
      </c>
      <c r="G88" s="4" t="inlineStr">
        <is>
          <t>10</t>
        </is>
      </c>
      <c r="H88" s="4" t="inlineStr"/>
      <c r="I88" s="4" t="inlineStr"/>
      <c r="J88" s="5" t="n"/>
      <c r="K88" s="5" t="n">
        <v>162000</v>
      </c>
      <c r="L88" s="6">
        <f>1/6</f>
        <v/>
      </c>
      <c r="M88" s="7">
        <f>K88*L88</f>
        <v/>
      </c>
      <c r="N88" s="4" t="inlineStr">
        <is>
          <t>inventário-estudo-rafael.pdf, p. 10</t>
        </is>
      </c>
      <c r="O88" s="4" t="inlineStr">
        <is>
          <t>Somente no estudo Rafael (não consta nos inventários 2025).</t>
        </is>
      </c>
    </row>
    <row r="89">
      <c r="A89" s="9" t="n">
        <v>85</v>
      </c>
      <c r="B89" s="4" t="inlineStr">
        <is>
          <t>Siviero Empreendimentos Imobiliários Ltda. (Empresa 10 no estudo)</t>
        </is>
      </c>
      <c r="C89" s="4" t="inlineStr">
        <is>
          <t>Lote em loteamento</t>
        </is>
      </c>
      <c r="D89" s="4" t="inlineStr"/>
      <c r="E89" s="4" t="inlineStr">
        <is>
          <t>Lote 009 - 10 - 09. Loteamento Colina do Retiro II</t>
        </is>
      </c>
      <c r="F89" s="4" t="inlineStr">
        <is>
          <t>009</t>
        </is>
      </c>
      <c r="G89" s="4" t="inlineStr">
        <is>
          <t>10</t>
        </is>
      </c>
      <c r="H89" s="4" t="inlineStr"/>
      <c r="I89" s="4" t="inlineStr"/>
      <c r="J89" s="5" t="n"/>
      <c r="K89" s="5" t="n">
        <v>169000</v>
      </c>
      <c r="L89" s="6">
        <f>1/6</f>
        <v/>
      </c>
      <c r="M89" s="7">
        <f>K89*L89</f>
        <v/>
      </c>
      <c r="N89" s="4" t="inlineStr">
        <is>
          <t>inventário-estudo-rafael.pdf, p. 10</t>
        </is>
      </c>
      <c r="O89" s="4" t="inlineStr">
        <is>
          <t>Somente no estudo Rafael (não consta nos inventários 2025).</t>
        </is>
      </c>
    </row>
    <row r="90">
      <c r="A90" s="9" t="n">
        <v>86</v>
      </c>
      <c r="B90" s="4" t="inlineStr">
        <is>
          <t>Siviero Empreendimentos Imobiliários Ltda. (Empresa 10 no estudo)</t>
        </is>
      </c>
      <c r="C90" s="4" t="inlineStr">
        <is>
          <t>Lote em loteamento</t>
        </is>
      </c>
      <c r="D90" s="4" t="inlineStr"/>
      <c r="E90" s="4" t="inlineStr">
        <is>
          <t>Lote 010 - 10 - 09. Loteamento Colina do Retiro II</t>
        </is>
      </c>
      <c r="F90" s="4" t="inlineStr">
        <is>
          <t>010</t>
        </is>
      </c>
      <c r="G90" s="4" t="inlineStr">
        <is>
          <t>10</t>
        </is>
      </c>
      <c r="H90" s="4" t="inlineStr"/>
      <c r="I90" s="4" t="inlineStr"/>
      <c r="J90" s="5" t="n"/>
      <c r="K90" s="5" t="n">
        <v>204000</v>
      </c>
      <c r="L90" s="6">
        <f>1/6</f>
        <v/>
      </c>
      <c r="M90" s="7">
        <f>K90*L90</f>
        <v/>
      </c>
      <c r="N90" s="4" t="inlineStr">
        <is>
          <t>inventário-estudo-rafael.pdf, p. 10</t>
        </is>
      </c>
      <c r="O90" s="4" t="inlineStr">
        <is>
          <t>Somente no estudo Rafael (não consta nos inventários 2025).</t>
        </is>
      </c>
    </row>
    <row r="91">
      <c r="A91" s="9" t="n">
        <v>87</v>
      </c>
      <c r="B91" s="4" t="inlineStr">
        <is>
          <t>Siviero Empreendimentos Imobiliários Ltda. (Empresa 10 no estudo)</t>
        </is>
      </c>
      <c r="C91" s="4" t="inlineStr">
        <is>
          <t>Lote em loteamento</t>
        </is>
      </c>
      <c r="D91" s="4" t="inlineStr"/>
      <c r="E91" s="4" t="inlineStr">
        <is>
          <t>Lote 012 - 10 - 09. Loteamento Colina do Retiro II</t>
        </is>
      </c>
      <c r="F91" s="4" t="inlineStr">
        <is>
          <t>012</t>
        </is>
      </c>
      <c r="G91" s="4" t="inlineStr">
        <is>
          <t>10</t>
        </is>
      </c>
      <c r="H91" s="4" t="inlineStr"/>
      <c r="I91" s="4" t="inlineStr"/>
      <c r="J91" s="5" t="n"/>
      <c r="K91" s="5" t="n">
        <v>162000</v>
      </c>
      <c r="L91" s="6">
        <f>1/6</f>
        <v/>
      </c>
      <c r="M91" s="7">
        <f>K91*L91</f>
        <v/>
      </c>
      <c r="N91" s="4" t="inlineStr">
        <is>
          <t>inventário-estudo-rafael.pdf, p. 10</t>
        </is>
      </c>
      <c r="O91" s="4" t="inlineStr">
        <is>
          <t>Somente no estudo Rafael (não consta nos inventários 2025).</t>
        </is>
      </c>
    </row>
    <row r="92">
      <c r="A92" s="9" t="n">
        <v>88</v>
      </c>
      <c r="B92" s="4" t="inlineStr">
        <is>
          <t>Siviero Empreendimentos Imobiliários Ltda. (Empresa 10 no estudo)</t>
        </is>
      </c>
      <c r="C92" s="4" t="inlineStr">
        <is>
          <t>Lote em loteamento</t>
        </is>
      </c>
      <c r="D92" s="4" t="inlineStr"/>
      <c r="E92" s="4" t="inlineStr">
        <is>
          <t>Lote 015 - 10 - 09. Loteamento Colina do Retiro II</t>
        </is>
      </c>
      <c r="F92" s="4" t="inlineStr">
        <is>
          <t>015</t>
        </is>
      </c>
      <c r="G92" s="4" t="inlineStr">
        <is>
          <t>10</t>
        </is>
      </c>
      <c r="H92" s="4" t="inlineStr"/>
      <c r="I92" s="4" t="inlineStr"/>
      <c r="J92" s="5" t="n"/>
      <c r="K92" s="5" t="n">
        <v>168000</v>
      </c>
      <c r="L92" s="6">
        <f>1/6</f>
        <v/>
      </c>
      <c r="M92" s="7">
        <f>K92*L92</f>
        <v/>
      </c>
      <c r="N92" s="4" t="inlineStr">
        <is>
          <t>inventário-estudo-rafael.pdf, p. 10</t>
        </is>
      </c>
      <c r="O92" s="4" t="inlineStr">
        <is>
          <t>Somente no estudo Rafael (não consta nos inventários 2025).</t>
        </is>
      </c>
    </row>
    <row r="93">
      <c r="A93" s="9" t="n">
        <v>89</v>
      </c>
      <c r="B93" s="4" t="inlineStr">
        <is>
          <t>Siviero Empreendimentos Imobiliários Ltda. (Empresa 10 no estudo)</t>
        </is>
      </c>
      <c r="C93" s="4" t="inlineStr">
        <is>
          <t>Lote em loteamento</t>
        </is>
      </c>
      <c r="D93" s="4" t="inlineStr"/>
      <c r="E93" s="4" t="inlineStr">
        <is>
          <t>Lote 007 - 15 - 09. Loteamento Colina do Retiro II</t>
        </is>
      </c>
      <c r="F93" s="4" t="inlineStr">
        <is>
          <t>007</t>
        </is>
      </c>
      <c r="G93" s="4" t="inlineStr">
        <is>
          <t>15</t>
        </is>
      </c>
      <c r="H93" s="4" t="inlineStr"/>
      <c r="I93" s="4" t="inlineStr"/>
      <c r="J93" s="5" t="n"/>
      <c r="K93" s="5" t="n">
        <v>175000</v>
      </c>
      <c r="L93" s="6">
        <f>1/6</f>
        <v/>
      </c>
      <c r="M93" s="7">
        <f>K93*L93</f>
        <v/>
      </c>
      <c r="N93" s="4" t="inlineStr">
        <is>
          <t>inventário-estudo-rafael.pdf, p. 10</t>
        </is>
      </c>
      <c r="O93" s="4" t="inlineStr">
        <is>
          <t>Somente no estudo Rafael (não consta nos inventários 2025).</t>
        </is>
      </c>
    </row>
    <row r="94">
      <c r="A94" s="9" t="n">
        <v>90</v>
      </c>
      <c r="B94" s="4" t="inlineStr">
        <is>
          <t>Siviero Empreendimentos Imobiliários Ltda. (Empresa 10 no estudo)</t>
        </is>
      </c>
      <c r="C94" s="4" t="inlineStr">
        <is>
          <t>Lote em loteamento</t>
        </is>
      </c>
      <c r="D94" s="4" t="inlineStr"/>
      <c r="E94" s="4" t="inlineStr">
        <is>
          <t>Lote 007 - 17 - 09. Loteamento Colina do Retiro II</t>
        </is>
      </c>
      <c r="F94" s="4" t="inlineStr">
        <is>
          <t>007</t>
        </is>
      </c>
      <c r="G94" s="4" t="inlineStr">
        <is>
          <t>17</t>
        </is>
      </c>
      <c r="H94" s="4" t="inlineStr"/>
      <c r="I94" s="4" t="inlineStr"/>
      <c r="J94" s="5" t="n"/>
      <c r="K94" s="5" t="n">
        <v>235000</v>
      </c>
      <c r="L94" s="6">
        <f>1/6</f>
        <v/>
      </c>
      <c r="M94" s="7">
        <f>K94*L94</f>
        <v/>
      </c>
      <c r="N94" s="4" t="inlineStr">
        <is>
          <t>inventário-estudo-rafael.pdf, p. 10</t>
        </is>
      </c>
      <c r="O94" s="4" t="inlineStr">
        <is>
          <t>Somente no estudo Rafael (não consta nos inventários 2025).</t>
        </is>
      </c>
    </row>
    <row r="95">
      <c r="A95" s="9" t="n">
        <v>91</v>
      </c>
      <c r="B95" s="4" t="inlineStr">
        <is>
          <t>Siviero Empreendimentos Imobiliários Ltda. (Empresa 10 no estudo)</t>
        </is>
      </c>
      <c r="C95" s="4" t="inlineStr">
        <is>
          <t>Lote em loteamento</t>
        </is>
      </c>
      <c r="D95" s="4" t="inlineStr"/>
      <c r="E95" s="4" t="inlineStr">
        <is>
          <t>Lote 001 - 02 - 10. Loteamento Industrial Pedra Lisa</t>
        </is>
      </c>
      <c r="F95" s="4" t="inlineStr">
        <is>
          <t>001</t>
        </is>
      </c>
      <c r="G95" s="4" t="inlineStr">
        <is>
          <t>02</t>
        </is>
      </c>
      <c r="H95" s="4" t="inlineStr"/>
      <c r="I95" s="4" t="inlineStr"/>
      <c r="J95" s="5" t="n"/>
      <c r="K95" s="5" t="n">
        <v>274000</v>
      </c>
      <c r="L95" s="6">
        <f>1/6</f>
        <v/>
      </c>
      <c r="M95" s="7">
        <f>K95*L95</f>
        <v/>
      </c>
      <c r="N95" s="4" t="inlineStr">
        <is>
          <t>inventário-estudo-rafael.pdf, p. 10</t>
        </is>
      </c>
      <c r="O95" s="4" t="inlineStr">
        <is>
          <t>Somente no estudo Rafael (não consta nos inventários 2025).</t>
        </is>
      </c>
    </row>
    <row r="96">
      <c r="A96" s="9" t="n">
        <v>92</v>
      </c>
      <c r="B96" s="4" t="inlineStr">
        <is>
          <t>Siviero Empreendimentos Imobiliários Ltda. (Empresa 10 no estudo)</t>
        </is>
      </c>
      <c r="C96" s="4" t="inlineStr">
        <is>
          <t>Lote em loteamento</t>
        </is>
      </c>
      <c r="D96" s="4" t="inlineStr"/>
      <c r="E96" s="4" t="inlineStr">
        <is>
          <t>Lote 002 - 02 - 10. Loteamento Industrial Pedra Lisa</t>
        </is>
      </c>
      <c r="F96" s="4" t="inlineStr">
        <is>
          <t>002</t>
        </is>
      </c>
      <c r="G96" s="4" t="inlineStr">
        <is>
          <t>02</t>
        </is>
      </c>
      <c r="H96" s="4" t="inlineStr"/>
      <c r="I96" s="4" t="inlineStr"/>
      <c r="J96" s="5" t="n"/>
      <c r="K96" s="5" t="n">
        <v>274000</v>
      </c>
      <c r="L96" s="6">
        <f>1/6</f>
        <v/>
      </c>
      <c r="M96" s="7">
        <f>K96*L96</f>
        <v/>
      </c>
      <c r="N96" s="4" t="inlineStr">
        <is>
          <t>inventário-estudo-rafael.pdf, p. 10</t>
        </is>
      </c>
      <c r="O96" s="4" t="inlineStr">
        <is>
          <t>Somente no estudo Rafael (não consta nos inventários 2025).</t>
        </is>
      </c>
    </row>
    <row r="97">
      <c r="A97" s="9" t="n">
        <v>93</v>
      </c>
      <c r="B97" s="4" t="inlineStr">
        <is>
          <t>Siviero Empreendimentos Imobiliários Ltda. (Empresa 10 no estudo)</t>
        </is>
      </c>
      <c r="C97" s="4" t="inlineStr">
        <is>
          <t>Lote em loteamento</t>
        </is>
      </c>
      <c r="D97" s="4" t="inlineStr"/>
      <c r="E97" s="4" t="inlineStr">
        <is>
          <t>Lote 003 - 02 - 10. Loteamento Industrial Pedra Lisa</t>
        </is>
      </c>
      <c r="F97" s="4" t="inlineStr">
        <is>
          <t>003</t>
        </is>
      </c>
      <c r="G97" s="4" t="inlineStr">
        <is>
          <t>02</t>
        </is>
      </c>
      <c r="H97" s="4" t="inlineStr"/>
      <c r="I97" s="4" t="inlineStr"/>
      <c r="J97" s="5" t="n"/>
      <c r="K97" s="5" t="n">
        <v>274000</v>
      </c>
      <c r="L97" s="6">
        <f>1/6</f>
        <v/>
      </c>
      <c r="M97" s="7">
        <f>K97*L97</f>
        <v/>
      </c>
      <c r="N97" s="4" t="inlineStr">
        <is>
          <t>inventário-estudo-rafael.pdf, p. 10</t>
        </is>
      </c>
      <c r="O97" s="4" t="inlineStr">
        <is>
          <t>Somente no estudo Rafael (não consta nos inventários 2025).</t>
        </is>
      </c>
    </row>
    <row r="98">
      <c r="A98" s="9" t="n">
        <v>94</v>
      </c>
      <c r="B98" s="4" t="inlineStr">
        <is>
          <t>Siviero Empreendimentos Imobiliários Ltda. (Empresa 10 no estudo)</t>
        </is>
      </c>
      <c r="C98" s="4" t="inlineStr">
        <is>
          <t>Lote em loteamento</t>
        </is>
      </c>
      <c r="D98" s="4" t="inlineStr"/>
      <c r="E98" s="4" t="inlineStr">
        <is>
          <t>Lote 004 - 02 - 10. Loteamento Industrial Pedra Lisa</t>
        </is>
      </c>
      <c r="F98" s="4" t="inlineStr">
        <is>
          <t>004</t>
        </is>
      </c>
      <c r="G98" s="4" t="inlineStr">
        <is>
          <t>02</t>
        </is>
      </c>
      <c r="H98" s="4" t="inlineStr"/>
      <c r="I98" s="4" t="inlineStr"/>
      <c r="J98" s="5" t="n"/>
      <c r="K98" s="5" t="n">
        <v>277000</v>
      </c>
      <c r="L98" s="6">
        <f>1/6</f>
        <v/>
      </c>
      <c r="M98" s="7">
        <f>K98*L98</f>
        <v/>
      </c>
      <c r="N98" s="4" t="inlineStr">
        <is>
          <t>inventário-estudo-rafael.pdf, p. 10</t>
        </is>
      </c>
      <c r="O98" s="4" t="inlineStr">
        <is>
          <t>Somente no estudo Rafael (não consta nos inventários 2025).</t>
        </is>
      </c>
    </row>
    <row r="99">
      <c r="A99" s="9" t="n">
        <v>95</v>
      </c>
      <c r="B99" s="4" t="inlineStr">
        <is>
          <t>Siviero Empreendimentos Imobiliários Ltda. (Empresa 10 no estudo)</t>
        </is>
      </c>
      <c r="C99" s="4" t="inlineStr">
        <is>
          <t>Lote em loteamento</t>
        </is>
      </c>
      <c r="D99" s="4" t="inlineStr"/>
      <c r="E99" s="4" t="inlineStr">
        <is>
          <t>Lote 006 - 02 - 10. Loteamento Industrial Pedra Lisa</t>
        </is>
      </c>
      <c r="F99" s="4" t="inlineStr">
        <is>
          <t>006</t>
        </is>
      </c>
      <c r="G99" s="4" t="inlineStr">
        <is>
          <t>02</t>
        </is>
      </c>
      <c r="H99" s="4" t="inlineStr"/>
      <c r="I99" s="4" t="inlineStr"/>
      <c r="J99" s="5" t="n"/>
      <c r="K99" s="5" t="n">
        <v>293000</v>
      </c>
      <c r="L99" s="6">
        <f>1/6</f>
        <v/>
      </c>
      <c r="M99" s="7">
        <f>K99*L99</f>
        <v/>
      </c>
      <c r="N99" s="4" t="inlineStr">
        <is>
          <t>inventário-estudo-rafael.pdf, p. 10</t>
        </is>
      </c>
      <c r="O99" s="4" t="inlineStr">
        <is>
          <t>Somente no estudo Rafael (não consta nos inventários 2025).</t>
        </is>
      </c>
    </row>
    <row r="100">
      <c r="A100" s="9" t="n">
        <v>96</v>
      </c>
      <c r="B100" s="4" t="inlineStr">
        <is>
          <t>Siviero Empreendimentos Imobiliários Ltda. (Empresa 10 no estudo)</t>
        </is>
      </c>
      <c r="C100" s="4" t="inlineStr">
        <is>
          <t>Lote em loteamento</t>
        </is>
      </c>
      <c r="D100" s="4" t="inlineStr"/>
      <c r="E100" s="4" t="inlineStr">
        <is>
          <t>Lote 006 - 04 - 10. Loteamento Industrial Pedra Lisa</t>
        </is>
      </c>
      <c r="F100" s="4" t="inlineStr">
        <is>
          <t>006</t>
        </is>
      </c>
      <c r="G100" s="4" t="inlineStr">
        <is>
          <t>04</t>
        </is>
      </c>
      <c r="H100" s="4" t="inlineStr"/>
      <c r="I100" s="4" t="inlineStr"/>
      <c r="J100" s="5" t="n"/>
      <c r="K100" s="5" t="n">
        <v>301000</v>
      </c>
      <c r="L100" s="6">
        <f>1/6</f>
        <v/>
      </c>
      <c r="M100" s="7">
        <f>K100*L100</f>
        <v/>
      </c>
      <c r="N100" s="4" t="inlineStr">
        <is>
          <t>inventário-estudo-rafael.pdf, p. 10</t>
        </is>
      </c>
      <c r="O100" s="4" t="inlineStr">
        <is>
          <t>Somente no estudo Rafael (não consta nos inventários 2025).</t>
        </is>
      </c>
    </row>
    <row r="101">
      <c r="A101" s="9" t="n">
        <v>97</v>
      </c>
      <c r="B101" s="4" t="inlineStr">
        <is>
          <t>Siviero Empreendimentos Imobiliários Ltda. (Empresa 10 no estudo)</t>
        </is>
      </c>
      <c r="C101" s="4" t="inlineStr">
        <is>
          <t>Lote em loteamento</t>
        </is>
      </c>
      <c r="D101" s="4" t="inlineStr"/>
      <c r="E101" s="4" t="inlineStr">
        <is>
          <t>Lote 001 - 05 - 10. Loteamento Industrial Pedra Lisa</t>
        </is>
      </c>
      <c r="F101" s="4" t="inlineStr">
        <is>
          <t>001</t>
        </is>
      </c>
      <c r="G101" s="4" t="inlineStr">
        <is>
          <t>05</t>
        </is>
      </c>
      <c r="H101" s="4" t="inlineStr"/>
      <c r="I101" s="4" t="inlineStr"/>
      <c r="J101" s="5" t="n"/>
      <c r="K101" s="5" t="n">
        <v>301000</v>
      </c>
      <c r="L101" s="6">
        <f>1/6</f>
        <v/>
      </c>
      <c r="M101" s="7">
        <f>K101*L101</f>
        <v/>
      </c>
      <c r="N101" s="4" t="inlineStr">
        <is>
          <t>inventário-estudo-rafael.pdf, p. 10</t>
        </is>
      </c>
      <c r="O101" s="4" t="inlineStr">
        <is>
          <t>Somente no estudo Rafael (não consta nos inventários 2025).</t>
        </is>
      </c>
    </row>
    <row r="102">
      <c r="A102" s="9" t="n">
        <v>98</v>
      </c>
      <c r="B102" s="4" t="inlineStr">
        <is>
          <t>Siviero Empreendimentos Imobiliários Ltda. (Empresa 10 no estudo)</t>
        </is>
      </c>
      <c r="C102" s="4" t="inlineStr">
        <is>
          <t>Lote em loteamento</t>
        </is>
      </c>
      <c r="D102" s="4" t="inlineStr"/>
      <c r="E102" s="4" t="inlineStr">
        <is>
          <t>Lote 008 - 05 - 10. Loteamento Industrial Pedra Lisa</t>
        </is>
      </c>
      <c r="F102" s="4" t="inlineStr">
        <is>
          <t>008</t>
        </is>
      </c>
      <c r="G102" s="4" t="inlineStr">
        <is>
          <t>05</t>
        </is>
      </c>
      <c r="H102" s="4" t="inlineStr"/>
      <c r="I102" s="4" t="inlineStr"/>
      <c r="J102" s="5" t="n"/>
      <c r="K102" s="5" t="n">
        <v>301000</v>
      </c>
      <c r="L102" s="6">
        <f>1/6</f>
        <v/>
      </c>
      <c r="M102" s="7">
        <f>K102*L102</f>
        <v/>
      </c>
      <c r="N102" s="4" t="inlineStr">
        <is>
          <t>inventário-estudo-rafael.pdf, p. 11</t>
        </is>
      </c>
      <c r="O102" s="4" t="inlineStr">
        <is>
          <t>Somente no estudo Rafael (não consta nos inventários 2025).</t>
        </is>
      </c>
    </row>
    <row r="103">
      <c r="A103" s="9" t="n">
        <v>99</v>
      </c>
      <c r="B103" s="4" t="inlineStr">
        <is>
          <t>Siviero Empreendimentos Imobiliários Ltda. (Empresa 10 no estudo)</t>
        </is>
      </c>
      <c r="C103" s="4" t="inlineStr">
        <is>
          <t>Lote em loteamento</t>
        </is>
      </c>
      <c r="D103" s="4" t="inlineStr"/>
      <c r="E103" s="4" t="inlineStr">
        <is>
          <t>Lote 046 - 49 - 12. Loteamento Baldasso</t>
        </is>
      </c>
      <c r="F103" s="4" t="inlineStr">
        <is>
          <t>046</t>
        </is>
      </c>
      <c r="G103" s="4" t="inlineStr">
        <is>
          <t>49</t>
        </is>
      </c>
      <c r="H103" s="4" t="inlineStr"/>
      <c r="I103" s="4" t="inlineStr"/>
      <c r="J103" s="5" t="n"/>
      <c r="K103" s="5" t="n">
        <v>272000</v>
      </c>
      <c r="L103" s="6">
        <f>1/6</f>
        <v/>
      </c>
      <c r="M103" s="7">
        <f>K103*L103</f>
        <v/>
      </c>
      <c r="N103" s="4" t="inlineStr">
        <is>
          <t>inventário-estudo-rafael.pdf, p. 11</t>
        </is>
      </c>
      <c r="O103" s="4" t="inlineStr">
        <is>
          <t>Somente no estudo Rafael (não consta nos inventários 2025).</t>
        </is>
      </c>
    </row>
    <row r="104">
      <c r="A104" s="9" t="n">
        <v>100</v>
      </c>
      <c r="B104" s="4" t="inlineStr">
        <is>
          <t>Siviero Empreendimentos Imobiliários Ltda. (Empresa 10 no estudo)</t>
        </is>
      </c>
      <c r="C104" s="4" t="inlineStr">
        <is>
          <t>Lote em loteamento</t>
        </is>
      </c>
      <c r="D104" s="4" t="inlineStr"/>
      <c r="E104" s="4" t="inlineStr">
        <is>
          <t>Lote 005 - 1 - 13. Loteamento Colina do Basalto</t>
        </is>
      </c>
      <c r="F104" s="4" t="inlineStr">
        <is>
          <t>005</t>
        </is>
      </c>
      <c r="G104" s="4" t="inlineStr">
        <is>
          <t>1</t>
        </is>
      </c>
      <c r="H104" s="4" t="inlineStr"/>
      <c r="I104" s="4" t="inlineStr"/>
      <c r="J104" s="5" t="n"/>
      <c r="K104" s="5" t="n">
        <v>167000</v>
      </c>
      <c r="L104" s="6">
        <f>1/6</f>
        <v/>
      </c>
      <c r="M104" s="7">
        <f>K104*L104</f>
        <v/>
      </c>
      <c r="N104" s="4" t="inlineStr">
        <is>
          <t>inventário-estudo-rafael.pdf, p. 11</t>
        </is>
      </c>
      <c r="O104" s="4" t="inlineStr">
        <is>
          <t>Somente no estudo Rafael (não consta nos inventários 2025).</t>
        </is>
      </c>
    </row>
    <row r="105">
      <c r="A105" s="9" t="n">
        <v>101</v>
      </c>
      <c r="B105" s="4" t="inlineStr">
        <is>
          <t>Siviero Empreendimentos Imobiliários Ltda. (Empresa 10 no estudo)</t>
        </is>
      </c>
      <c r="C105" s="4" t="inlineStr">
        <is>
          <t>Lote em loteamento</t>
        </is>
      </c>
      <c r="D105" s="4" t="inlineStr"/>
      <c r="E105" s="4" t="inlineStr">
        <is>
          <t>Lote 010 - 2 - 13. Loteamento Colina do Basalto</t>
        </is>
      </c>
      <c r="F105" s="4" t="inlineStr">
        <is>
          <t>010</t>
        </is>
      </c>
      <c r="G105" s="4" t="inlineStr">
        <is>
          <t>2</t>
        </is>
      </c>
      <c r="H105" s="4" t="inlineStr"/>
      <c r="I105" s="4" t="inlineStr"/>
      <c r="J105" s="5" t="n"/>
      <c r="K105" s="5" t="n">
        <v>167000</v>
      </c>
      <c r="L105" s="6">
        <f>1/6</f>
        <v/>
      </c>
      <c r="M105" s="7">
        <f>K105*L105</f>
        <v/>
      </c>
      <c r="N105" s="4" t="inlineStr">
        <is>
          <t>inventário-estudo-rafael.pdf, p. 11</t>
        </is>
      </c>
      <c r="O105" s="4" t="inlineStr">
        <is>
          <t>Somente no estudo Rafael (não consta nos inventários 2025).</t>
        </is>
      </c>
    </row>
    <row r="106">
      <c r="A106" s="9" t="n">
        <v>102</v>
      </c>
      <c r="B106" s="4" t="inlineStr">
        <is>
          <t>Siviero Empreendimentos Imobiliários Ltda. (Empresa 10 no estudo)</t>
        </is>
      </c>
      <c r="C106" s="4" t="inlineStr">
        <is>
          <t>Lote em loteamento</t>
        </is>
      </c>
      <c r="D106" s="4" t="inlineStr"/>
      <c r="E106" s="4" t="inlineStr">
        <is>
          <t>Lote 015 - 2 - 13. Loteamento Colina do Basalto</t>
        </is>
      </c>
      <c r="F106" s="4" t="inlineStr">
        <is>
          <t>015</t>
        </is>
      </c>
      <c r="G106" s="4" t="inlineStr">
        <is>
          <t>2</t>
        </is>
      </c>
      <c r="H106" s="4" t="inlineStr"/>
      <c r="I106" s="4" t="inlineStr"/>
      <c r="J106" s="5" t="n"/>
      <c r="K106" s="5" t="n">
        <v>188000</v>
      </c>
      <c r="L106" s="6">
        <f>1/6</f>
        <v/>
      </c>
      <c r="M106" s="7">
        <f>K106*L106</f>
        <v/>
      </c>
      <c r="N106" s="4" t="inlineStr">
        <is>
          <t>inventário-estudo-rafael.pdf, p. 11</t>
        </is>
      </c>
      <c r="O106" s="4" t="inlineStr">
        <is>
          <t>Somente no estudo Rafael (não consta nos inventários 2025).</t>
        </is>
      </c>
    </row>
    <row r="107">
      <c r="A107" s="9" t="n">
        <v>103</v>
      </c>
      <c r="B107" s="4" t="inlineStr">
        <is>
          <t>Siviero Empreendimentos Imobiliários Ltda. (Empresa 10 no estudo)</t>
        </is>
      </c>
      <c r="C107" s="4" t="inlineStr">
        <is>
          <t>Lote em loteamento</t>
        </is>
      </c>
      <c r="D107" s="4" t="inlineStr"/>
      <c r="E107" s="4" t="inlineStr">
        <is>
          <t>Lote 023 - 5 - 13. Loteamento Colina do Basalto</t>
        </is>
      </c>
      <c r="F107" s="4" t="inlineStr">
        <is>
          <t>023</t>
        </is>
      </c>
      <c r="G107" s="4" t="inlineStr">
        <is>
          <t>5</t>
        </is>
      </c>
      <c r="H107" s="4" t="inlineStr"/>
      <c r="I107" s="4" t="inlineStr"/>
      <c r="J107" s="5" t="n"/>
      <c r="K107" s="5" t="n">
        <v>131000</v>
      </c>
      <c r="L107" s="6">
        <f>1/6</f>
        <v/>
      </c>
      <c r="M107" s="7">
        <f>K107*L107</f>
        <v/>
      </c>
      <c r="N107" s="4" t="inlineStr">
        <is>
          <t>inventário-estudo-rafael.pdf, p. 11</t>
        </is>
      </c>
      <c r="O107" s="4" t="inlineStr">
        <is>
          <t>Somente no estudo Rafael (não consta nos inventários 2025).</t>
        </is>
      </c>
    </row>
    <row r="108">
      <c r="A108" s="9" t="n">
        <v>104</v>
      </c>
      <c r="B108" s="4" t="inlineStr">
        <is>
          <t>Siviero Empreendimentos Imobiliários Ltda. (Empresa 10 no estudo)</t>
        </is>
      </c>
      <c r="C108" s="4" t="inlineStr">
        <is>
          <t>Lote em loteamento</t>
        </is>
      </c>
      <c r="D108" s="4" t="inlineStr"/>
      <c r="E108" s="4" t="inlineStr">
        <is>
          <t>Lote 006 - 7 - 13. Loteamento Colina do Basalto</t>
        </is>
      </c>
      <c r="F108" s="4" t="inlineStr">
        <is>
          <t>006</t>
        </is>
      </c>
      <c r="G108" s="4" t="inlineStr">
        <is>
          <t>7</t>
        </is>
      </c>
      <c r="H108" s="4" t="inlineStr"/>
      <c r="I108" s="4" t="inlineStr"/>
      <c r="J108" s="5" t="n"/>
      <c r="K108" s="5" t="n">
        <v>125000</v>
      </c>
      <c r="L108" s="6">
        <f>1/6</f>
        <v/>
      </c>
      <c r="M108" s="7">
        <f>K108*L108</f>
        <v/>
      </c>
      <c r="N108" s="4" t="inlineStr">
        <is>
          <t>inventário-estudo-rafael.pdf, p. 11</t>
        </is>
      </c>
      <c r="O108" s="4" t="inlineStr">
        <is>
          <t>Somente no estudo Rafael (não consta nos inventários 2025).</t>
        </is>
      </c>
    </row>
    <row r="109">
      <c r="A109" s="9" t="n">
        <v>105</v>
      </c>
      <c r="B109" s="4" t="inlineStr">
        <is>
          <t>Siviero Empreendimentos Imobiliários Ltda. (Empresa 10 no estudo)</t>
        </is>
      </c>
      <c r="C109" s="4" t="inlineStr">
        <is>
          <t>Lote em loteamento</t>
        </is>
      </c>
      <c r="D109" s="4" t="inlineStr"/>
      <c r="E109" s="4" t="inlineStr">
        <is>
          <t>Lote 001 - F - 14. Loteamento Carnevalli</t>
        </is>
      </c>
      <c r="F109" s="4" t="inlineStr">
        <is>
          <t>001</t>
        </is>
      </c>
      <c r="G109" s="4" t="inlineStr">
        <is>
          <t>F</t>
        </is>
      </c>
      <c r="H109" s="4" t="inlineStr"/>
      <c r="I109" s="4" t="inlineStr"/>
      <c r="J109" s="5" t="n"/>
      <c r="K109" s="5" t="n">
        <v>241000</v>
      </c>
      <c r="L109" s="6">
        <f>1/6</f>
        <v/>
      </c>
      <c r="M109" s="7">
        <f>K109*L109</f>
        <v/>
      </c>
      <c r="N109" s="4" t="inlineStr">
        <is>
          <t>inventário-estudo-rafael.pdf, p. 11</t>
        </is>
      </c>
      <c r="O109" s="4" t="inlineStr">
        <is>
          <t>Somente no estudo Rafael (não consta nos inventários 2025).</t>
        </is>
      </c>
    </row>
    <row r="110">
      <c r="A110" s="9" t="n">
        <v>106</v>
      </c>
      <c r="B110" s="4" t="inlineStr">
        <is>
          <t>Siviero Empreendimentos Imobiliários Ltda. (Empresa 10 no estudo)</t>
        </is>
      </c>
      <c r="C110" s="4" t="inlineStr">
        <is>
          <t>Lote em loteamento</t>
        </is>
      </c>
      <c r="D110" s="4" t="inlineStr"/>
      <c r="E110" s="4" t="inlineStr">
        <is>
          <t>Lote 001 - 01 - 18. Loteamento Lago Negro</t>
        </is>
      </c>
      <c r="F110" s="4" t="inlineStr">
        <is>
          <t>001</t>
        </is>
      </c>
      <c r="G110" s="4" t="inlineStr">
        <is>
          <t>01</t>
        </is>
      </c>
      <c r="H110" s="4" t="inlineStr"/>
      <c r="I110" s="4" t="inlineStr"/>
      <c r="J110" s="5" t="n"/>
      <c r="K110" s="5" t="n">
        <v>1100000</v>
      </c>
      <c r="L110" s="6">
        <f>1/6</f>
        <v/>
      </c>
      <c r="M110" s="7">
        <f>K110*L110</f>
        <v/>
      </c>
      <c r="N110" s="4" t="inlineStr">
        <is>
          <t>inventário-estudo-rafael.pdf, p. 11</t>
        </is>
      </c>
      <c r="O110" s="4" t="inlineStr">
        <is>
          <t>Somente no estudo Rafael (não consta nos inventários 2025).</t>
        </is>
      </c>
    </row>
    <row r="111">
      <c r="A111" s="9" t="n">
        <v>107</v>
      </c>
      <c r="B111" s="4" t="inlineStr">
        <is>
          <t>Siviero Empreendimentos Imobiliários Ltda. (Empresa 10 no estudo)</t>
        </is>
      </c>
      <c r="C111" s="4" t="inlineStr">
        <is>
          <t>Lote em loteamento</t>
        </is>
      </c>
      <c r="D111" s="4" t="inlineStr"/>
      <c r="E111" s="4" t="inlineStr">
        <is>
          <t>Lote 001 - 1673 - 20. Loteamento San Marino</t>
        </is>
      </c>
      <c r="F111" s="4" t="inlineStr">
        <is>
          <t>001</t>
        </is>
      </c>
      <c r="G111" s="4" t="inlineStr">
        <is>
          <t>1673</t>
        </is>
      </c>
      <c r="H111" s="4" t="inlineStr"/>
      <c r="I111" s="4" t="inlineStr"/>
      <c r="J111" s="5" t="n"/>
      <c r="K111" s="5" t="n">
        <v>264000</v>
      </c>
      <c r="L111" s="6">
        <f>1/6</f>
        <v/>
      </c>
      <c r="M111" s="7">
        <f>K111*L111</f>
        <v/>
      </c>
      <c r="N111" s="4" t="inlineStr">
        <is>
          <t>inventário-estudo-rafael.pdf, p. 11</t>
        </is>
      </c>
      <c r="O111" s="4" t="inlineStr">
        <is>
          <t>Somente no estudo Rafael (não consta nos inventários 2025).</t>
        </is>
      </c>
    </row>
    <row r="112">
      <c r="A112" s="9" t="n">
        <v>108</v>
      </c>
      <c r="B112" s="4" t="inlineStr">
        <is>
          <t>Siviero Empreendimentos Imobiliários Ltda. (Empresa 10 no estudo)</t>
        </is>
      </c>
      <c r="C112" s="4" t="inlineStr">
        <is>
          <t>Lote em loteamento</t>
        </is>
      </c>
      <c r="D112" s="4" t="inlineStr"/>
      <c r="E112" s="4" t="inlineStr">
        <is>
          <t>Lote 003 - 1676 - 20. Loteamento San Marino</t>
        </is>
      </c>
      <c r="F112" s="4" t="inlineStr">
        <is>
          <t>003</t>
        </is>
      </c>
      <c r="G112" s="4" t="inlineStr">
        <is>
          <t>1676</t>
        </is>
      </c>
      <c r="H112" s="4" t="inlineStr"/>
      <c r="I112" s="4" t="inlineStr"/>
      <c r="J112" s="5" t="n"/>
      <c r="K112" s="5" t="n">
        <v>253000</v>
      </c>
      <c r="L112" s="6">
        <f>1/6</f>
        <v/>
      </c>
      <c r="M112" s="7">
        <f>K112*L112</f>
        <v/>
      </c>
      <c r="N112" s="4" t="inlineStr">
        <is>
          <t>inventário-estudo-rafael.pdf, p. 11</t>
        </is>
      </c>
      <c r="O112" s="4" t="inlineStr">
        <is>
          <t>Somente no estudo Rafael (não consta nos inventários 2025).</t>
        </is>
      </c>
    </row>
    <row r="113">
      <c r="A113" s="9" t="n">
        <v>109</v>
      </c>
      <c r="B113" s="4" t="inlineStr">
        <is>
          <t>Siviero Empreendimentos Imobiliários Ltda. (Empresa 10 no estudo)</t>
        </is>
      </c>
      <c r="C113" s="4" t="inlineStr">
        <is>
          <t>Lote em loteamento</t>
        </is>
      </c>
      <c r="D113" s="4" t="inlineStr"/>
      <c r="E113" s="4" t="inlineStr">
        <is>
          <t>Lote 013 - 0907 - 21. Loteamento Firminio Dalzóchio</t>
        </is>
      </c>
      <c r="F113" s="4" t="inlineStr">
        <is>
          <t>013</t>
        </is>
      </c>
      <c r="G113" s="4" t="inlineStr">
        <is>
          <t>0907</t>
        </is>
      </c>
      <c r="H113" s="4" t="inlineStr"/>
      <c r="I113" s="4" t="inlineStr"/>
      <c r="J113" s="5" t="n"/>
      <c r="K113" s="5" t="n">
        <v>360000</v>
      </c>
      <c r="L113" s="6">
        <f>1/6</f>
        <v/>
      </c>
      <c r="M113" s="7">
        <f>K113*L113</f>
        <v/>
      </c>
      <c r="N113" s="4" t="inlineStr">
        <is>
          <t>inventário-estudo-rafael.pdf, p. 11</t>
        </is>
      </c>
      <c r="O113" s="4" t="inlineStr">
        <is>
          <t>Somente no estudo Rafael (não consta nos inventários 2025). No documento consta 'O13' (letra O); interpretado como 013.</t>
        </is>
      </c>
    </row>
    <row r="114">
      <c r="A114" s="9" t="n">
        <v>110</v>
      </c>
      <c r="B114" s="4" t="inlineStr">
        <is>
          <t>Siviero Empreendimentos Imobiliários Ltda. (Empresa 10 no estudo)</t>
        </is>
      </c>
      <c r="C114" s="4" t="inlineStr">
        <is>
          <t>Lote em loteamento</t>
        </is>
      </c>
      <c r="D114" s="4" t="inlineStr"/>
      <c r="E114" s="4" t="inlineStr">
        <is>
          <t>Lote 003 - 1046 - 21. Loteamento Firminio Dalzóchio</t>
        </is>
      </c>
      <c r="F114" s="4" t="inlineStr">
        <is>
          <t>003</t>
        </is>
      </c>
      <c r="G114" s="4" t="inlineStr">
        <is>
          <t>1046</t>
        </is>
      </c>
      <c r="H114" s="4" t="inlineStr"/>
      <c r="I114" s="4" t="inlineStr"/>
      <c r="J114" s="5" t="n"/>
      <c r="K114" s="5" t="n">
        <v>385000</v>
      </c>
      <c r="L114" s="6">
        <f>1/6</f>
        <v/>
      </c>
      <c r="M114" s="7">
        <f>K114*L114</f>
        <v/>
      </c>
      <c r="N114" s="4" t="inlineStr">
        <is>
          <t>inventário-estudo-rafael.pdf, p. 11</t>
        </is>
      </c>
      <c r="O114" s="4" t="inlineStr">
        <is>
          <t>Somente no estudo Rafael (não consta nos inventários 2025).</t>
        </is>
      </c>
    </row>
    <row r="115">
      <c r="A115" s="9" t="n">
        <v>111</v>
      </c>
      <c r="B115" s="4" t="inlineStr">
        <is>
          <t>Siviero Empreendimentos Imobiliários Ltda. (Empresa 10 no estudo)</t>
        </is>
      </c>
      <c r="C115" s="4" t="inlineStr">
        <is>
          <t>Lote em loteamento</t>
        </is>
      </c>
      <c r="D115" s="4" t="inlineStr"/>
      <c r="E115" s="4" t="inlineStr">
        <is>
          <t>Lote 007 - 1303 - 24. Loteamento Industrial Vicentino</t>
        </is>
      </c>
      <c r="F115" s="4" t="inlineStr">
        <is>
          <t>007</t>
        </is>
      </c>
      <c r="G115" s="4" t="inlineStr">
        <is>
          <t>1303</t>
        </is>
      </c>
      <c r="H115" s="4" t="inlineStr"/>
      <c r="I115" s="4" t="inlineStr"/>
      <c r="J115" s="5" t="n"/>
      <c r="K115" s="5" t="n">
        <v>1355000</v>
      </c>
      <c r="L115" s="6">
        <f>1/6</f>
        <v/>
      </c>
      <c r="M115" s="7">
        <f>K115*L115</f>
        <v/>
      </c>
      <c r="N115" s="4" t="inlineStr">
        <is>
          <t>inventário-estudo-rafael.pdf, p. 11</t>
        </is>
      </c>
      <c r="O115" s="4" t="inlineStr">
        <is>
          <t>Somente no estudo Rafael (não consta nos inventários 2025).</t>
        </is>
      </c>
    </row>
    <row r="116">
      <c r="A116" s="9" t="n">
        <v>112</v>
      </c>
      <c r="B116" s="4" t="inlineStr">
        <is>
          <t>Siviero Empreendimentos Imobiliários Ltda. (Empresa 10 no estudo)</t>
        </is>
      </c>
      <c r="C116" s="4" t="inlineStr">
        <is>
          <t>Lote em loteamento</t>
        </is>
      </c>
      <c r="D116" s="4" t="inlineStr"/>
      <c r="E116" s="4" t="inlineStr">
        <is>
          <t>Lote 001 - 1736 - 25. Loteamento Residencial Jardim Itália I, II, III</t>
        </is>
      </c>
      <c r="F116" s="4" t="inlineStr">
        <is>
          <t>001</t>
        </is>
      </c>
      <c r="G116" s="4" t="inlineStr">
        <is>
          <t>1736</t>
        </is>
      </c>
      <c r="H116" s="4" t="inlineStr"/>
      <c r="I116" s="4" t="inlineStr"/>
      <c r="J116" s="5" t="n"/>
      <c r="K116" s="5" t="n">
        <v>198000</v>
      </c>
      <c r="L116" s="6">
        <f>1/6</f>
        <v/>
      </c>
      <c r="M116" s="7">
        <f>K116*L116</f>
        <v/>
      </c>
      <c r="N116" s="4" t="inlineStr">
        <is>
          <t>inventário-estudo-rafael.pdf, p. 11</t>
        </is>
      </c>
      <c r="O116" s="4" t="inlineStr">
        <is>
          <t>Somente no estudo Rafael (não consta nos inventários 2025).</t>
        </is>
      </c>
    </row>
    <row r="117">
      <c r="A117" s="9" t="n">
        <v>113</v>
      </c>
      <c r="B117" s="4" t="inlineStr">
        <is>
          <t>Siviero Empreendimentos Imobiliários Ltda. (Empresa 10 no estudo)</t>
        </is>
      </c>
      <c r="C117" s="4" t="inlineStr">
        <is>
          <t>Lote em loteamento</t>
        </is>
      </c>
      <c r="D117" s="4" t="inlineStr"/>
      <c r="E117" s="4" t="inlineStr">
        <is>
          <t>Lote 009 - 1736 - 25. Loteamento Residencial Jardim Itália I, II, III</t>
        </is>
      </c>
      <c r="F117" s="4" t="inlineStr">
        <is>
          <t>009</t>
        </is>
      </c>
      <c r="G117" s="4" t="inlineStr">
        <is>
          <t>1736</t>
        </is>
      </c>
      <c r="H117" s="4" t="inlineStr"/>
      <c r="I117" s="4" t="inlineStr"/>
      <c r="J117" s="5" t="n"/>
      <c r="K117" s="5" t="n">
        <v>220000</v>
      </c>
      <c r="L117" s="6">
        <f>1/6</f>
        <v/>
      </c>
      <c r="M117" s="7">
        <f>K117*L117</f>
        <v/>
      </c>
      <c r="N117" s="4" t="inlineStr">
        <is>
          <t>inventário-estudo-rafael.pdf, p. 11</t>
        </is>
      </c>
      <c r="O117" s="4" t="inlineStr">
        <is>
          <t>Somente no estudo Rafael (não consta nos inventários 2025).</t>
        </is>
      </c>
    </row>
    <row r="118">
      <c r="A118" s="9" t="n">
        <v>114</v>
      </c>
      <c r="B118" s="4" t="inlineStr">
        <is>
          <t>Siviero Empreendimentos Imobiliários Ltda. (Empresa 10 no estudo)</t>
        </is>
      </c>
      <c r="C118" s="4" t="inlineStr">
        <is>
          <t>Lote em loteamento</t>
        </is>
      </c>
      <c r="D118" s="4" t="inlineStr"/>
      <c r="E118" s="4" t="inlineStr">
        <is>
          <t>Lote 007 - 1738 - 25. Loteamento Residencial Jardim Itália I, II, III</t>
        </is>
      </c>
      <c r="F118" s="4" t="inlineStr">
        <is>
          <t>007</t>
        </is>
      </c>
      <c r="G118" s="4" t="inlineStr">
        <is>
          <t>1738</t>
        </is>
      </c>
      <c r="H118" s="4" t="inlineStr"/>
      <c r="I118" s="4" t="inlineStr"/>
      <c r="J118" s="5" t="n"/>
      <c r="K118" s="5" t="n">
        <v>253000</v>
      </c>
      <c r="L118" s="6">
        <f>1/6</f>
        <v/>
      </c>
      <c r="M118" s="7">
        <f>K118*L118</f>
        <v/>
      </c>
      <c r="N118" s="4" t="inlineStr">
        <is>
          <t>inventário-estudo-rafael.pdf, p. 11</t>
        </is>
      </c>
      <c r="O118" s="4" t="inlineStr">
        <is>
          <t>Somente no estudo Rafael (não consta nos inventários 2025).</t>
        </is>
      </c>
    </row>
    <row r="119">
      <c r="A119" s="9" t="n">
        <v>115</v>
      </c>
      <c r="B119" s="4" t="inlineStr">
        <is>
          <t>Siviero Empreendimentos Imobiliários Ltda. (Empresa 10 no estudo)</t>
        </is>
      </c>
      <c r="C119" s="4" t="inlineStr">
        <is>
          <t>Lote em loteamento</t>
        </is>
      </c>
      <c r="D119" s="4" t="inlineStr"/>
      <c r="E119" s="4" t="inlineStr">
        <is>
          <t>Lote 002 - 1739 - 25. Loteamento Residencial Jardim Itália I, II, III</t>
        </is>
      </c>
      <c r="F119" s="4" t="inlineStr">
        <is>
          <t>002</t>
        </is>
      </c>
      <c r="G119" s="4" t="inlineStr">
        <is>
          <t>1739</t>
        </is>
      </c>
      <c r="H119" s="4" t="inlineStr"/>
      <c r="I119" s="4" t="inlineStr"/>
      <c r="J119" s="5" t="n"/>
      <c r="K119" s="5" t="n">
        <v>209000</v>
      </c>
      <c r="L119" s="6">
        <f>1/6</f>
        <v/>
      </c>
      <c r="M119" s="7">
        <f>K119*L119</f>
        <v/>
      </c>
      <c r="N119" s="4" t="inlineStr">
        <is>
          <t>inventário-estudo-rafael.pdf, p. 11</t>
        </is>
      </c>
      <c r="O119" s="4" t="inlineStr">
        <is>
          <t>Somente no estudo Rafael (não consta nos inventários 2025).</t>
        </is>
      </c>
    </row>
    <row r="120">
      <c r="A120" s="9" t="n">
        <v>116</v>
      </c>
      <c r="B120" s="4" t="inlineStr">
        <is>
          <t>Siviero Empreendimentos Imobiliários Ltda. (Empresa 10 no estudo)</t>
        </is>
      </c>
      <c r="C120" s="4" t="inlineStr">
        <is>
          <t>Lote em loteamento</t>
        </is>
      </c>
      <c r="D120" s="4" t="inlineStr"/>
      <c r="E120" s="4" t="inlineStr">
        <is>
          <t>Lote 001 - 1740 - 25. Loteamento Residencial Jardim Itália I, II, III</t>
        </is>
      </c>
      <c r="F120" s="4" t="inlineStr">
        <is>
          <t>001</t>
        </is>
      </c>
      <c r="G120" s="4" t="inlineStr">
        <is>
          <t>1740</t>
        </is>
      </c>
      <c r="H120" s="4" t="inlineStr"/>
      <c r="I120" s="4" t="inlineStr"/>
      <c r="J120" s="5" t="n"/>
      <c r="K120" s="5" t="n">
        <v>220000</v>
      </c>
      <c r="L120" s="6">
        <f>1/6</f>
        <v/>
      </c>
      <c r="M120" s="7">
        <f>K120*L120</f>
        <v/>
      </c>
      <c r="N120" s="4" t="inlineStr">
        <is>
          <t>inventário-estudo-rafael.pdf, p. 11</t>
        </is>
      </c>
      <c r="O120" s="4" t="inlineStr">
        <is>
          <t>Somente no estudo Rafael (não consta nos inventários 2025).</t>
        </is>
      </c>
    </row>
    <row r="121">
      <c r="A121" s="9" t="n">
        <v>117</v>
      </c>
      <c r="B121" s="4" t="inlineStr">
        <is>
          <t>Siviero Empreendimentos Imobiliários Ltda. (Empresa 10 no estudo)</t>
        </is>
      </c>
      <c r="C121" s="4" t="inlineStr">
        <is>
          <t>Lote em loteamento</t>
        </is>
      </c>
      <c r="D121" s="4" t="inlineStr"/>
      <c r="E121" s="4" t="inlineStr">
        <is>
          <t>Lote 006 - 1744 - 25. Loteamento Residencial Jardim Itália I, II, III</t>
        </is>
      </c>
      <c r="F121" s="4" t="inlineStr">
        <is>
          <t>006</t>
        </is>
      </c>
      <c r="G121" s="4" t="inlineStr">
        <is>
          <t>1744</t>
        </is>
      </c>
      <c r="H121" s="4" t="inlineStr"/>
      <c r="I121" s="4" t="inlineStr"/>
      <c r="J121" s="5" t="n"/>
      <c r="K121" s="5" t="n">
        <v>198000</v>
      </c>
      <c r="L121" s="6">
        <f>1/6</f>
        <v/>
      </c>
      <c r="M121" s="7">
        <f>K121*L121</f>
        <v/>
      </c>
      <c r="N121" s="4" t="inlineStr">
        <is>
          <t>inventário-estudo-rafael.pdf, p. 11</t>
        </is>
      </c>
      <c r="O121" s="4" t="inlineStr">
        <is>
          <t>Somente no estudo Rafael (não consta nos inventários 2025).</t>
        </is>
      </c>
    </row>
    <row r="122">
      <c r="A122" s="9" t="n">
        <v>118</v>
      </c>
      <c r="B122" s="4" t="inlineStr">
        <is>
          <t>Siviero Empreendimentos Imobiliários Ltda. (Empresa 10 no estudo)</t>
        </is>
      </c>
      <c r="C122" s="4" t="inlineStr">
        <is>
          <t>Lote em loteamento</t>
        </is>
      </c>
      <c r="D122" s="4" t="inlineStr"/>
      <c r="E122" s="4" t="inlineStr">
        <is>
          <t>Lote 010 - 1744 - 25. Loteamento Residencial Jardim Itália I, II, III</t>
        </is>
      </c>
      <c r="F122" s="4" t="inlineStr">
        <is>
          <t>010</t>
        </is>
      </c>
      <c r="G122" s="4" t="inlineStr">
        <is>
          <t>1744</t>
        </is>
      </c>
      <c r="H122" s="4" t="inlineStr"/>
      <c r="I122" s="4" t="inlineStr"/>
      <c r="J122" s="5" t="n"/>
      <c r="K122" s="5" t="n">
        <v>209000</v>
      </c>
      <c r="L122" s="6">
        <f>1/6</f>
        <v/>
      </c>
      <c r="M122" s="7">
        <f>K122*L122</f>
        <v/>
      </c>
      <c r="N122" s="4" t="inlineStr">
        <is>
          <t>inventário-estudo-rafael.pdf, p. 11</t>
        </is>
      </c>
      <c r="O122" s="4" t="inlineStr">
        <is>
          <t>Somente no estudo Rafael (não consta nos inventários 2025).</t>
        </is>
      </c>
    </row>
    <row r="123">
      <c r="A123" s="9" t="n">
        <v>119</v>
      </c>
      <c r="B123" s="4" t="inlineStr">
        <is>
          <t>Siviero Empreendimentos Imobiliários Ltda. (Empresa 10 no estudo)</t>
        </is>
      </c>
      <c r="C123" s="4" t="inlineStr">
        <is>
          <t>Lote em loteamento</t>
        </is>
      </c>
      <c r="D123" s="4" t="inlineStr"/>
      <c r="E123" s="4" t="inlineStr">
        <is>
          <t>Lote 006 - 1746 - 25. Loteamento Residencial Jardim Itália I, II, III</t>
        </is>
      </c>
      <c r="F123" s="4" t="inlineStr">
        <is>
          <t>006</t>
        </is>
      </c>
      <c r="G123" s="4" t="inlineStr">
        <is>
          <t>1746</t>
        </is>
      </c>
      <c r="H123" s="4" t="inlineStr"/>
      <c r="I123" s="4" t="inlineStr"/>
      <c r="J123" s="5" t="n"/>
      <c r="K123" s="5" t="n">
        <v>198000</v>
      </c>
      <c r="L123" s="6">
        <f>1/6</f>
        <v/>
      </c>
      <c r="M123" s="7">
        <f>K123*L123</f>
        <v/>
      </c>
      <c r="N123" s="4" t="inlineStr">
        <is>
          <t>inventário-estudo-rafael.pdf, p. 11</t>
        </is>
      </c>
      <c r="O123" s="4" t="inlineStr">
        <is>
          <t>Somente no estudo Rafael (não consta nos inventários 2025).</t>
        </is>
      </c>
    </row>
    <row r="124">
      <c r="A124" s="9" t="n">
        <v>120</v>
      </c>
      <c r="B124" s="4" t="inlineStr">
        <is>
          <t>Siviero Empreendimentos Imobiliários Ltda. (Empresa 10 no estudo)</t>
        </is>
      </c>
      <c r="C124" s="4" t="inlineStr">
        <is>
          <t>Lote em loteamento</t>
        </is>
      </c>
      <c r="D124" s="4" t="inlineStr"/>
      <c r="E124" s="4" t="inlineStr">
        <is>
          <t>Lote 019 - 1746 - 25. Loteamento Residencial Jardim Itália I, II, III</t>
        </is>
      </c>
      <c r="F124" s="4" t="inlineStr">
        <is>
          <t>019</t>
        </is>
      </c>
      <c r="G124" s="4" t="inlineStr">
        <is>
          <t>1746</t>
        </is>
      </c>
      <c r="H124" s="4" t="inlineStr"/>
      <c r="I124" s="4" t="inlineStr"/>
      <c r="J124" s="5" t="n"/>
      <c r="K124" s="5" t="n">
        <v>209000</v>
      </c>
      <c r="L124" s="6">
        <f>1/6</f>
        <v/>
      </c>
      <c r="M124" s="7">
        <f>K124*L124</f>
        <v/>
      </c>
      <c r="N124" s="4" t="inlineStr">
        <is>
          <t>inventário-estudo-rafael.pdf, p. 11</t>
        </is>
      </c>
      <c r="O124" s="4" t="inlineStr">
        <is>
          <t>Somente no estudo Rafael (não consta nos inventários 2025).</t>
        </is>
      </c>
    </row>
    <row r="125">
      <c r="A125" s="9" t="n">
        <v>121</v>
      </c>
      <c r="B125" s="4" t="inlineStr">
        <is>
          <t>Siviero Empreendimentos Imobiliários Ltda. (Empresa 10 no estudo)</t>
        </is>
      </c>
      <c r="C125" s="4" t="inlineStr">
        <is>
          <t>Lote em loteamento</t>
        </is>
      </c>
      <c r="D125" s="4" t="inlineStr"/>
      <c r="E125" s="4" t="inlineStr">
        <is>
          <t>Lote 001 - 1750 - 25. Loteamento Residencial Jardim Itália I, II, III</t>
        </is>
      </c>
      <c r="F125" s="4" t="inlineStr">
        <is>
          <t>001</t>
        </is>
      </c>
      <c r="G125" s="4" t="inlineStr">
        <is>
          <t>1750</t>
        </is>
      </c>
      <c r="H125" s="4" t="inlineStr"/>
      <c r="I125" s="4" t="inlineStr"/>
      <c r="J125" s="5" t="n"/>
      <c r="K125" s="5" t="n">
        <v>236000</v>
      </c>
      <c r="L125" s="6">
        <f>1/6</f>
        <v/>
      </c>
      <c r="M125" s="7">
        <f>K125*L125</f>
        <v/>
      </c>
      <c r="N125" s="4" t="inlineStr">
        <is>
          <t>inventário-estudo-rafael.pdf, p. 12</t>
        </is>
      </c>
      <c r="O125" s="4" t="inlineStr">
        <is>
          <t>Somente no estudo Rafael (não consta nos inventários 2025).</t>
        </is>
      </c>
    </row>
    <row r="126">
      <c r="A126" s="9" t="n">
        <v>122</v>
      </c>
      <c r="B126" s="4" t="inlineStr">
        <is>
          <t>Siviero Empreendimentos Imobiliários Ltda. (Empresa 10 no estudo)</t>
        </is>
      </c>
      <c r="C126" s="4" t="inlineStr">
        <is>
          <t>Lote em loteamento</t>
        </is>
      </c>
      <c r="D126" s="4" t="inlineStr"/>
      <c r="E126" s="4" t="inlineStr">
        <is>
          <t>Lote 006 - 1722 - 26. Loteamento Altos da Julieta I, II</t>
        </is>
      </c>
      <c r="F126" s="4" t="inlineStr">
        <is>
          <t>006</t>
        </is>
      </c>
      <c r="G126" s="4" t="inlineStr">
        <is>
          <t>1722</t>
        </is>
      </c>
      <c r="H126" s="4" t="inlineStr"/>
      <c r="I126" s="4" t="inlineStr"/>
      <c r="J126" s="5" t="n"/>
      <c r="K126" s="5" t="n">
        <v>159000</v>
      </c>
      <c r="L126" s="6">
        <f>1/6</f>
        <v/>
      </c>
      <c r="M126" s="7">
        <f>K126*L126</f>
        <v/>
      </c>
      <c r="N126" s="4" t="inlineStr">
        <is>
          <t>inventário-estudo-rafael.pdf, p. 12</t>
        </is>
      </c>
      <c r="O126" s="4" t="inlineStr">
        <is>
          <t>Somente no estudo Rafael (não consta nos inventários 2025).</t>
        </is>
      </c>
    </row>
    <row r="127">
      <c r="A127" s="9" t="n">
        <v>123</v>
      </c>
      <c r="B127" s="4" t="inlineStr">
        <is>
          <t>Siviero Empreendimentos Imobiliários Ltda. (Empresa 10 no estudo)</t>
        </is>
      </c>
      <c r="C127" s="4" t="inlineStr">
        <is>
          <t>Lote em loteamento</t>
        </is>
      </c>
      <c r="D127" s="4" t="inlineStr"/>
      <c r="E127" s="4" t="inlineStr">
        <is>
          <t>Lote 001 - 1727 - 26. Loteamento Altos da Julieta I, II</t>
        </is>
      </c>
      <c r="F127" s="4" t="inlineStr">
        <is>
          <t>001</t>
        </is>
      </c>
      <c r="G127" s="4" t="inlineStr">
        <is>
          <t>1727</t>
        </is>
      </c>
      <c r="H127" s="4" t="inlineStr"/>
      <c r="I127" s="4" t="inlineStr"/>
      <c r="J127" s="5" t="n"/>
      <c r="K127" s="5" t="n">
        <v>160000</v>
      </c>
      <c r="L127" s="6">
        <f>1/6</f>
        <v/>
      </c>
      <c r="M127" s="7">
        <f>K127*L127</f>
        <v/>
      </c>
      <c r="N127" s="4" t="inlineStr">
        <is>
          <t>inventário-estudo-rafael.pdf, p. 12</t>
        </is>
      </c>
      <c r="O127" s="4" t="inlineStr">
        <is>
          <t>Somente no estudo Rafael (não consta nos inventários 2025).</t>
        </is>
      </c>
    </row>
    <row r="128">
      <c r="A128" s="9" t="n">
        <v>124</v>
      </c>
      <c r="B128" s="4" t="inlineStr">
        <is>
          <t>Siviero Empreendimentos Imobiliários Ltda. (Empresa 10 no estudo)</t>
        </is>
      </c>
      <c r="C128" s="4" t="inlineStr">
        <is>
          <t>Lote em loteamento</t>
        </is>
      </c>
      <c r="D128" s="4" t="inlineStr"/>
      <c r="E128" s="4" t="inlineStr">
        <is>
          <t>Lote 001 - 1728 - 26. Loteamento Altos da Julieta I, II</t>
        </is>
      </c>
      <c r="F128" s="4" t="inlineStr">
        <is>
          <t>001</t>
        </is>
      </c>
      <c r="G128" s="4" t="inlineStr">
        <is>
          <t>1728</t>
        </is>
      </c>
      <c r="H128" s="4" t="inlineStr"/>
      <c r="I128" s="4" t="inlineStr"/>
      <c r="J128" s="5" t="n"/>
      <c r="K128" s="5" t="n">
        <v>160000</v>
      </c>
      <c r="L128" s="6">
        <f>1/6</f>
        <v/>
      </c>
      <c r="M128" s="7">
        <f>K128*L128</f>
        <v/>
      </c>
      <c r="N128" s="4" t="inlineStr">
        <is>
          <t>inventário-estudo-rafael.pdf, p. 12</t>
        </is>
      </c>
      <c r="O128" s="4" t="inlineStr">
        <is>
          <t>Somente no estudo Rafael (não consta nos inventários 2025).</t>
        </is>
      </c>
    </row>
    <row r="129">
      <c r="A129" s="9" t="n">
        <v>125</v>
      </c>
      <c r="B129" s="4" t="inlineStr">
        <is>
          <t>Siviero Empreendimentos Imobiliários Ltda. (Empresa 10 no estudo)</t>
        </is>
      </c>
      <c r="C129" s="4" t="inlineStr">
        <is>
          <t>Lote em loteamento</t>
        </is>
      </c>
      <c r="D129" s="4" t="inlineStr"/>
      <c r="E129" s="4" t="inlineStr">
        <is>
          <t>Lote 006 - 1731 - 26. Loteamento Altos da Julieta I, II</t>
        </is>
      </c>
      <c r="F129" s="4" t="inlineStr">
        <is>
          <t>006</t>
        </is>
      </c>
      <c r="G129" s="4" t="inlineStr">
        <is>
          <t>1731</t>
        </is>
      </c>
      <c r="H129" s="4" t="inlineStr"/>
      <c r="I129" s="4" t="inlineStr"/>
      <c r="J129" s="5" t="n"/>
      <c r="K129" s="5" t="n">
        <v>148000</v>
      </c>
      <c r="L129" s="6">
        <f>1/6</f>
        <v/>
      </c>
      <c r="M129" s="7">
        <f>K129*L129</f>
        <v/>
      </c>
      <c r="N129" s="4" t="inlineStr">
        <is>
          <t>inventário-estudo-rafael.pdf, p. 12</t>
        </is>
      </c>
      <c r="O129" s="4" t="inlineStr">
        <is>
          <t>Somente no estudo Rafael (não consta nos inventários 2025).</t>
        </is>
      </c>
    </row>
    <row r="130">
      <c r="A130" s="9" t="n">
        <v>126</v>
      </c>
      <c r="B130" s="4" t="inlineStr">
        <is>
          <t>Siviero Empreendimentos Imobiliários Ltda. (Empresa 10 no estudo)</t>
        </is>
      </c>
      <c r="C130" s="4" t="inlineStr">
        <is>
          <t>Lote em loteamento</t>
        </is>
      </c>
      <c r="D130" s="4" t="inlineStr"/>
      <c r="E130" s="4" t="inlineStr">
        <is>
          <t>Lote 006 - 02 - 27. Loteamento Monte Vêneto I, II</t>
        </is>
      </c>
      <c r="F130" s="4" t="inlineStr">
        <is>
          <t>006</t>
        </is>
      </c>
      <c r="G130" s="4" t="inlineStr">
        <is>
          <t>02</t>
        </is>
      </c>
      <c r="H130" s="4" t="inlineStr"/>
      <c r="I130" s="4" t="inlineStr"/>
      <c r="J130" s="5" t="n"/>
      <c r="K130" s="5" t="n">
        <v>88000</v>
      </c>
      <c r="L130" s="6">
        <f>1/6</f>
        <v/>
      </c>
      <c r="M130" s="7">
        <f>K130*L130</f>
        <v/>
      </c>
      <c r="N130" s="4" t="inlineStr">
        <is>
          <t>inventário-estudo-rafael.pdf, p. 12</t>
        </is>
      </c>
      <c r="O130" s="4" t="inlineStr">
        <is>
          <t>Somente no estudo Rafael (não consta nos inventários 2025).</t>
        </is>
      </c>
    </row>
    <row r="131">
      <c r="A131" s="9" t="n">
        <v>127</v>
      </c>
      <c r="B131" s="4" t="inlineStr">
        <is>
          <t>Siviero Empreendimentos Imobiliários Ltda. (Empresa 10 no estudo)</t>
        </is>
      </c>
      <c r="C131" s="4" t="inlineStr">
        <is>
          <t>Lote em loteamento</t>
        </is>
      </c>
      <c r="D131" s="4" t="inlineStr"/>
      <c r="E131" s="4" t="inlineStr">
        <is>
          <t>Lote 004 - 05 - 27. Loteamento Monte Vêneto I, II</t>
        </is>
      </c>
      <c r="F131" s="4" t="inlineStr">
        <is>
          <t>004</t>
        </is>
      </c>
      <c r="G131" s="4" t="inlineStr">
        <is>
          <t>05</t>
        </is>
      </c>
      <c r="H131" s="4" t="inlineStr"/>
      <c r="I131" s="4" t="inlineStr"/>
      <c r="J131" s="5" t="n"/>
      <c r="K131" s="5" t="n">
        <v>99000</v>
      </c>
      <c r="L131" s="6">
        <f>1/6</f>
        <v/>
      </c>
      <c r="M131" s="7">
        <f>K131*L131</f>
        <v/>
      </c>
      <c r="N131" s="4" t="inlineStr">
        <is>
          <t>inventário-estudo-rafael.pdf, p. 12</t>
        </is>
      </c>
      <c r="O131" s="4" t="inlineStr">
        <is>
          <t>Somente no estudo Rafael (não consta nos inventários 2025).</t>
        </is>
      </c>
    </row>
    <row r="132">
      <c r="A132" s="9" t="n">
        <v>128</v>
      </c>
      <c r="B132" s="4" t="inlineStr">
        <is>
          <t>Siviero Empreendimentos Imobiliários Ltda. (Empresa 10 no estudo)</t>
        </is>
      </c>
      <c r="C132" s="4" t="inlineStr">
        <is>
          <t>Lote em loteamento</t>
        </is>
      </c>
      <c r="D132" s="4" t="inlineStr"/>
      <c r="E132" s="4" t="inlineStr">
        <is>
          <t>Lote 008 - 06 - 27. Loteamento Monte Vêneto I, II</t>
        </is>
      </c>
      <c r="F132" s="4" t="inlineStr">
        <is>
          <t>008</t>
        </is>
      </c>
      <c r="G132" s="4" t="inlineStr">
        <is>
          <t>06</t>
        </is>
      </c>
      <c r="H132" s="4" t="inlineStr"/>
      <c r="I132" s="4" t="inlineStr"/>
      <c r="J132" s="5" t="n"/>
      <c r="K132" s="5" t="n">
        <v>106000</v>
      </c>
      <c r="L132" s="6">
        <f>1/6</f>
        <v/>
      </c>
      <c r="M132" s="7">
        <f>K132*L132</f>
        <v/>
      </c>
      <c r="N132" s="4" t="inlineStr">
        <is>
          <t>inventário-estudo-rafael.pdf, p. 12</t>
        </is>
      </c>
      <c r="O132" s="4" t="inlineStr">
        <is>
          <t>Somente no estudo Rafael (não consta nos inventários 2025).</t>
        </is>
      </c>
    </row>
    <row r="133">
      <c r="A133" s="9" t="n">
        <v>129</v>
      </c>
      <c r="B133" s="4" t="inlineStr">
        <is>
          <t>Siviero Empreendimentos Imobiliários Ltda. (Empresa 10 no estudo)</t>
        </is>
      </c>
      <c r="C133" s="4" t="inlineStr">
        <is>
          <t>Lote em loteamento</t>
        </is>
      </c>
      <c r="D133" s="4" t="inlineStr"/>
      <c r="E133" s="4" t="inlineStr">
        <is>
          <t>Lote 012 - 10 - 27. Loteamento Monte Vêneto I, II</t>
        </is>
      </c>
      <c r="F133" s="4" t="inlineStr">
        <is>
          <t>012</t>
        </is>
      </c>
      <c r="G133" s="4" t="inlineStr">
        <is>
          <t>10</t>
        </is>
      </c>
      <c r="H133" s="4" t="inlineStr"/>
      <c r="I133" s="4" t="inlineStr"/>
      <c r="J133" s="5" t="n"/>
      <c r="K133" s="5" t="n">
        <v>82000</v>
      </c>
      <c r="L133" s="6">
        <f>1/6</f>
        <v/>
      </c>
      <c r="M133" s="7">
        <f>K133*L133</f>
        <v/>
      </c>
      <c r="N133" s="4" t="inlineStr">
        <is>
          <t>inventário-estudo-rafael.pdf, p. 12</t>
        </is>
      </c>
      <c r="O133" s="4" t="inlineStr">
        <is>
          <t>Somente no estudo Rafael (não consta nos inventários 2025).</t>
        </is>
      </c>
    </row>
    <row r="134">
      <c r="A134" s="9" t="n">
        <v>130</v>
      </c>
      <c r="B134" s="4" t="inlineStr">
        <is>
          <t>Siviero Empreendimentos Imobiliários Ltda. (Empresa 10 no estudo)</t>
        </is>
      </c>
      <c r="C134" s="4" t="inlineStr">
        <is>
          <t>Lote em loteamento</t>
        </is>
      </c>
      <c r="D134" s="4" t="inlineStr"/>
      <c r="E134" s="4" t="inlineStr">
        <is>
          <t>Lote 013 - 10 - 27. Loteamento Monte Vêneto I, II</t>
        </is>
      </c>
      <c r="F134" s="4" t="inlineStr">
        <is>
          <t>013</t>
        </is>
      </c>
      <c r="G134" s="4" t="inlineStr">
        <is>
          <t>10</t>
        </is>
      </c>
      <c r="H134" s="4" t="inlineStr"/>
      <c r="I134" s="4" t="inlineStr"/>
      <c r="J134" s="5" t="n"/>
      <c r="K134" s="5" t="n">
        <v>88000</v>
      </c>
      <c r="L134" s="6">
        <f>1/6</f>
        <v/>
      </c>
      <c r="M134" s="7">
        <f>K134*L134</f>
        <v/>
      </c>
      <c r="N134" s="4" t="inlineStr">
        <is>
          <t>inventário-estudo-rafael.pdf, p. 12</t>
        </is>
      </c>
      <c r="O134" s="4" t="inlineStr">
        <is>
          <t>Somente no estudo Rafael (não consta nos inventários 2025).</t>
        </is>
      </c>
    </row>
    <row r="135">
      <c r="A135" s="9" t="n">
        <v>131</v>
      </c>
      <c r="B135" s="4" t="inlineStr">
        <is>
          <t>Siviero Empreendimentos Imobiliários Ltda. (Empresa 10 no estudo)</t>
        </is>
      </c>
      <c r="C135" s="4" t="inlineStr">
        <is>
          <t>Lote em loteamento</t>
        </is>
      </c>
      <c r="D135" s="4" t="inlineStr"/>
      <c r="E135" s="4" t="inlineStr">
        <is>
          <t>Lote 001 - 11 - 27. Loteamento Monte Vêneto I, II</t>
        </is>
      </c>
      <c r="F135" s="4" t="inlineStr">
        <is>
          <t>001</t>
        </is>
      </c>
      <c r="G135" s="4" t="inlineStr">
        <is>
          <t>11</t>
        </is>
      </c>
      <c r="H135" s="4" t="inlineStr"/>
      <c r="I135" s="4" t="inlineStr"/>
      <c r="J135" s="5" t="n"/>
      <c r="K135" s="5" t="n">
        <v>88000</v>
      </c>
      <c r="L135" s="6">
        <f>1/6</f>
        <v/>
      </c>
      <c r="M135" s="7">
        <f>K135*L135</f>
        <v/>
      </c>
      <c r="N135" s="4" t="inlineStr">
        <is>
          <t>inventário-estudo-rafael.pdf, p. 12</t>
        </is>
      </c>
      <c r="O135" s="4" t="inlineStr">
        <is>
          <t>Somente no estudo Rafael (não consta nos inventários 2025).</t>
        </is>
      </c>
    </row>
    <row r="136">
      <c r="A136" s="9" t="n">
        <v>132</v>
      </c>
      <c r="B136" s="4" t="inlineStr">
        <is>
          <t>Siviero Empreendimentos Imobiliários Ltda. (Empresa 10 no estudo)</t>
        </is>
      </c>
      <c r="C136" s="4" t="inlineStr">
        <is>
          <t>Lote em loteamento</t>
        </is>
      </c>
      <c r="D136" s="4" t="inlineStr"/>
      <c r="E136" s="4" t="inlineStr">
        <is>
          <t>Lote 002 - 11 - 27. Loteamento Monte Vêneto I, II</t>
        </is>
      </c>
      <c r="F136" s="4" t="inlineStr">
        <is>
          <t>002</t>
        </is>
      </c>
      <c r="G136" s="4" t="inlineStr">
        <is>
          <t>11</t>
        </is>
      </c>
      <c r="H136" s="4" t="inlineStr"/>
      <c r="I136" s="4" t="inlineStr"/>
      <c r="J136" s="5" t="n"/>
      <c r="K136" s="5" t="n">
        <v>84000</v>
      </c>
      <c r="L136" s="6">
        <f>1/6</f>
        <v/>
      </c>
      <c r="M136" s="7">
        <f>K136*L136</f>
        <v/>
      </c>
      <c r="N136" s="4" t="inlineStr">
        <is>
          <t>inventário-estudo-rafael.pdf, p. 12</t>
        </is>
      </c>
      <c r="O136" s="4" t="inlineStr">
        <is>
          <t>Somente no estudo Rafael (não consta nos inventários 2025).</t>
        </is>
      </c>
    </row>
    <row r="137">
      <c r="A137" s="9" t="n">
        <v>133</v>
      </c>
      <c r="B137" s="4" t="inlineStr">
        <is>
          <t>Siviero Empreendimentos Imobiliários Ltda. (Empresa 10 no estudo)</t>
        </is>
      </c>
      <c r="C137" s="4" t="inlineStr">
        <is>
          <t>Lote em loteamento</t>
        </is>
      </c>
      <c r="D137" s="4" t="inlineStr"/>
      <c r="E137" s="4" t="inlineStr">
        <is>
          <t>Lote 005 - 12 - 27. Loteamento Monte Vêneto I, II</t>
        </is>
      </c>
      <c r="F137" s="4" t="inlineStr">
        <is>
          <t>005</t>
        </is>
      </c>
      <c r="G137" s="4" t="inlineStr">
        <is>
          <t>12</t>
        </is>
      </c>
      <c r="H137" s="4" t="inlineStr"/>
      <c r="I137" s="4" t="inlineStr"/>
      <c r="J137" s="5" t="n"/>
      <c r="K137" s="5" t="n">
        <v>82000</v>
      </c>
      <c r="L137" s="6">
        <f>1/6</f>
        <v/>
      </c>
      <c r="M137" s="7">
        <f>K137*L137</f>
        <v/>
      </c>
      <c r="N137" s="4" t="inlineStr">
        <is>
          <t>inventário-estudo-rafael.pdf, p. 12</t>
        </is>
      </c>
      <c r="O137" s="4" t="inlineStr">
        <is>
          <t>Somente no estudo Rafael (não consta nos inventários 2025).</t>
        </is>
      </c>
    </row>
    <row r="138">
      <c r="A138" s="9" t="n">
        <v>134</v>
      </c>
      <c r="B138" s="4" t="inlineStr">
        <is>
          <t>Siviero Empreendimentos Imobiliários Ltda. (Empresa 10 no estudo)</t>
        </is>
      </c>
      <c r="C138" s="4" t="inlineStr">
        <is>
          <t>Lote em loteamento</t>
        </is>
      </c>
      <c r="D138" s="4" t="inlineStr"/>
      <c r="E138" s="4" t="inlineStr">
        <is>
          <t>Lote 009 - 12 - 27. Loteamento Monte Vêneto I, II</t>
        </is>
      </c>
      <c r="F138" s="4" t="inlineStr">
        <is>
          <t>009</t>
        </is>
      </c>
      <c r="G138" s="4" t="inlineStr">
        <is>
          <t>12</t>
        </is>
      </c>
      <c r="H138" s="4" t="inlineStr"/>
      <c r="I138" s="4" t="inlineStr"/>
      <c r="J138" s="5" t="n"/>
      <c r="K138" s="5" t="n">
        <v>82000</v>
      </c>
      <c r="L138" s="6">
        <f>1/6</f>
        <v/>
      </c>
      <c r="M138" s="7">
        <f>K138*L138</f>
        <v/>
      </c>
      <c r="N138" s="4" t="inlineStr">
        <is>
          <t>inventário-estudo-rafael.pdf, p. 12</t>
        </is>
      </c>
      <c r="O138" s="4" t="inlineStr">
        <is>
          <t>Somente no estudo Rafael (não consta nos inventários 2025).</t>
        </is>
      </c>
    </row>
    <row r="139">
      <c r="A139" s="9" t="n">
        <v>135</v>
      </c>
      <c r="B139" s="4" t="inlineStr">
        <is>
          <t>Siviero Empreendimentos Imobiliários Ltda. (Empresa 10 no estudo)</t>
        </is>
      </c>
      <c r="C139" s="4" t="inlineStr">
        <is>
          <t>Lote em loteamento</t>
        </is>
      </c>
      <c r="D139" s="4" t="inlineStr"/>
      <c r="E139" s="4" t="inlineStr">
        <is>
          <t>Lote 007 - 14 - 27. Loteamento Monte Vêneto I, II</t>
        </is>
      </c>
      <c r="F139" s="4" t="inlineStr">
        <is>
          <t>007</t>
        </is>
      </c>
      <c r="G139" s="4" t="inlineStr">
        <is>
          <t>14</t>
        </is>
      </c>
      <c r="H139" s="4" t="inlineStr"/>
      <c r="I139" s="4" t="inlineStr"/>
      <c r="J139" s="5" t="n"/>
      <c r="K139" s="5" t="n">
        <v>77000</v>
      </c>
      <c r="L139" s="6">
        <f>1/6</f>
        <v/>
      </c>
      <c r="M139" s="7">
        <f>K139*L139</f>
        <v/>
      </c>
      <c r="N139" s="4" t="inlineStr">
        <is>
          <t>inventário-estudo-rafael.pdf, p. 12</t>
        </is>
      </c>
      <c r="O139" s="4" t="inlineStr">
        <is>
          <t>Somente no estudo Rafael (não consta nos inventários 2025).</t>
        </is>
      </c>
    </row>
    <row r="140">
      <c r="A140" s="9" t="n">
        <v>136</v>
      </c>
      <c r="B140" s="4" t="inlineStr">
        <is>
          <t>Siviero Empreendimentos Imobiliários Ltda. (Empresa 10 no estudo)</t>
        </is>
      </c>
      <c r="C140" s="4" t="inlineStr">
        <is>
          <t>Lote em loteamento</t>
        </is>
      </c>
      <c r="D140" s="4" t="inlineStr"/>
      <c r="E140" s="4" t="inlineStr">
        <is>
          <t>Lote 007 - A - 6364 - 29. Loteamento Altos da Graça I</t>
        </is>
      </c>
      <c r="F140" s="4" t="inlineStr">
        <is>
          <t>007</t>
        </is>
      </c>
      <c r="G140" s="4" t="inlineStr">
        <is>
          <t>A - 6364</t>
        </is>
      </c>
      <c r="H140" s="4" t="inlineStr"/>
      <c r="I140" s="4" t="inlineStr"/>
      <c r="J140" s="5" t="n"/>
      <c r="K140" s="5" t="n">
        <v>305000</v>
      </c>
      <c r="L140" s="6">
        <f>1/6</f>
        <v/>
      </c>
      <c r="M140" s="7">
        <f>K140*L140</f>
        <v/>
      </c>
      <c r="N140" s="4" t="inlineStr">
        <is>
          <t>inventário-estudo-rafael.pdf, p. 12</t>
        </is>
      </c>
      <c r="O140" s="4" t="inlineStr">
        <is>
          <t>Somente no estudo Rafael (não consta nos inventários 2025).</t>
        </is>
      </c>
    </row>
    <row r="141">
      <c r="A141" s="9" t="n">
        <v>137</v>
      </c>
      <c r="B141" s="4" t="inlineStr">
        <is>
          <t>Siviero Empreendimentos Imobiliários Ltda. (Empresa 10 no estudo)</t>
        </is>
      </c>
      <c r="C141" s="4" t="inlineStr">
        <is>
          <t>Lote em loteamento</t>
        </is>
      </c>
      <c r="D141" s="4" t="inlineStr"/>
      <c r="E141" s="4" t="inlineStr">
        <is>
          <t>Lote 016 - C - 6366 - 29. Loteamento Altos da Graça I</t>
        </is>
      </c>
      <c r="F141" s="4" t="inlineStr">
        <is>
          <t>016</t>
        </is>
      </c>
      <c r="G141" s="4" t="inlineStr">
        <is>
          <t>C - 6366</t>
        </is>
      </c>
      <c r="H141" s="4" t="inlineStr"/>
      <c r="I141" s="4" t="inlineStr"/>
      <c r="J141" s="5" t="n"/>
      <c r="K141" s="5" t="n">
        <v>414000</v>
      </c>
      <c r="L141" s="6">
        <f>1/6</f>
        <v/>
      </c>
      <c r="M141" s="7">
        <f>K141*L141</f>
        <v/>
      </c>
      <c r="N141" s="4" t="inlineStr">
        <is>
          <t>inventário-estudo-rafael.pdf, p. 12</t>
        </is>
      </c>
      <c r="O141" s="4" t="inlineStr">
        <is>
          <t>Somente no estudo Rafael (não consta nos inventários 2025).</t>
        </is>
      </c>
    </row>
    <row r="142">
      <c r="A142" s="9" t="n">
        <v>138</v>
      </c>
      <c r="B142" s="4" t="inlineStr">
        <is>
          <t>Siviero Empreendimentos Imobiliários Ltda. (Empresa 10 no estudo)</t>
        </is>
      </c>
      <c r="C142" s="4" t="inlineStr">
        <is>
          <t>Lote em loteamento</t>
        </is>
      </c>
      <c r="D142" s="4" t="inlineStr"/>
      <c r="E142" s="4" t="inlineStr">
        <is>
          <t>Lote 017 - C - 6366 - 29. Loteamento Altos da Graça I</t>
        </is>
      </c>
      <c r="F142" s="4" t="inlineStr">
        <is>
          <t>017</t>
        </is>
      </c>
      <c r="G142" s="4" t="inlineStr">
        <is>
          <t>C - 6366</t>
        </is>
      </c>
      <c r="H142" s="4" t="inlineStr"/>
      <c r="I142" s="4" t="inlineStr"/>
      <c r="J142" s="5" t="n"/>
      <c r="K142" s="5" t="n">
        <v>416000</v>
      </c>
      <c r="L142" s="6">
        <f>1/6</f>
        <v/>
      </c>
      <c r="M142" s="7">
        <f>K142*L142</f>
        <v/>
      </c>
      <c r="N142" s="4" t="inlineStr">
        <is>
          <t>inventário-estudo-rafael.pdf, p. 12</t>
        </is>
      </c>
      <c r="O142" s="4" t="inlineStr">
        <is>
          <t>Somente no estudo Rafael (não consta nos inventários 2025).</t>
        </is>
      </c>
    </row>
    <row r="143">
      <c r="A143" s="9" t="n">
        <v>139</v>
      </c>
      <c r="B143" s="4" t="inlineStr">
        <is>
          <t>Siviero Empreendimentos Imobiliários Ltda. (Empresa 10 no estudo)</t>
        </is>
      </c>
      <c r="C143" s="4" t="inlineStr">
        <is>
          <t>Lote em loteamento</t>
        </is>
      </c>
      <c r="D143" s="4" t="inlineStr"/>
      <c r="E143" s="4" t="inlineStr">
        <is>
          <t>Lote 014 - G - 6370 - 29. Loteamento Altos da Graça I</t>
        </is>
      </c>
      <c r="F143" s="4" t="inlineStr">
        <is>
          <t>014</t>
        </is>
      </c>
      <c r="G143" s="4" t="inlineStr">
        <is>
          <t>G - 6370</t>
        </is>
      </c>
      <c r="H143" s="4" t="inlineStr"/>
      <c r="I143" s="4" t="inlineStr"/>
      <c r="J143" s="5" t="n"/>
      <c r="K143" s="5" t="n">
        <v>148000</v>
      </c>
      <c r="L143" s="6">
        <f>1/6</f>
        <v/>
      </c>
      <c r="M143" s="7">
        <f>K143*L143</f>
        <v/>
      </c>
      <c r="N143" s="4" t="inlineStr">
        <is>
          <t>inventário-estudo-rafael.pdf, p. 12</t>
        </is>
      </c>
      <c r="O143" s="4" t="inlineStr">
        <is>
          <t>Somente no estudo Rafael (não consta nos inventários 2025).</t>
        </is>
      </c>
    </row>
    <row r="144">
      <c r="A144" s="9" t="n">
        <v>140</v>
      </c>
      <c r="B144" s="4" t="inlineStr">
        <is>
          <t>Siviero Empreendimentos Imobiliários Ltda. (Empresa 10 no estudo)</t>
        </is>
      </c>
      <c r="C144" s="4" t="inlineStr">
        <is>
          <t>Lote em loteamento</t>
        </is>
      </c>
      <c r="D144" s="4" t="inlineStr"/>
      <c r="E144" s="4" t="inlineStr">
        <is>
          <t>Lote 011 - H - 6371 - 29. Loteamento Altos da Graça I</t>
        </is>
      </c>
      <c r="F144" s="4" t="inlineStr">
        <is>
          <t>011</t>
        </is>
      </c>
      <c r="G144" s="4" t="inlineStr">
        <is>
          <t>H - 6371</t>
        </is>
      </c>
      <c r="H144" s="4" t="inlineStr"/>
      <c r="I144" s="4" t="inlineStr"/>
      <c r="J144" s="5" t="n"/>
      <c r="K144" s="5" t="n">
        <v>141000</v>
      </c>
      <c r="L144" s="6">
        <f>1/6</f>
        <v/>
      </c>
      <c r="M144" s="7">
        <f>K144*L144</f>
        <v/>
      </c>
      <c r="N144" s="4" t="inlineStr">
        <is>
          <t>inventário-estudo-rafael.pdf, p. 12</t>
        </is>
      </c>
      <c r="O144" s="4" t="inlineStr">
        <is>
          <t>Somente no estudo Rafael (não consta nos inventários 2025).</t>
        </is>
      </c>
    </row>
    <row r="145">
      <c r="A145" s="9" t="n">
        <v>141</v>
      </c>
      <c r="B145" s="4" t="inlineStr">
        <is>
          <t>Siviero Empreendimentos Imobiliários Ltda. (Empresa 10 no estudo)</t>
        </is>
      </c>
      <c r="C145" s="4" t="inlineStr">
        <is>
          <t>Lote em loteamento</t>
        </is>
      </c>
      <c r="D145" s="4" t="inlineStr"/>
      <c r="E145" s="4" t="inlineStr">
        <is>
          <t>Lote 023 - 172 - 30. Loteamento Falavigna</t>
        </is>
      </c>
      <c r="F145" s="4" t="inlineStr">
        <is>
          <t>023</t>
        </is>
      </c>
      <c r="G145" s="4" t="inlineStr">
        <is>
          <t>172</t>
        </is>
      </c>
      <c r="H145" s="4" t="inlineStr"/>
      <c r="I145" s="4" t="inlineStr"/>
      <c r="J145" s="5" t="n"/>
      <c r="K145" s="5" t="n">
        <v>934000</v>
      </c>
      <c r="L145" s="6">
        <f>1/6</f>
        <v/>
      </c>
      <c r="M145" s="7">
        <f>K145*L145</f>
        <v/>
      </c>
      <c r="N145" s="4" t="inlineStr">
        <is>
          <t>inventário-estudo-rafael.pdf, p. 12</t>
        </is>
      </c>
      <c r="O145" s="4" t="inlineStr">
        <is>
          <t>Somente no estudo Rafael (não consta nos inventários 2025).</t>
        </is>
      </c>
    </row>
    <row r="146">
      <c r="A146" s="9" t="n">
        <v>142</v>
      </c>
      <c r="B146" s="4" t="inlineStr">
        <is>
          <t>Siviero Empreendimentos Imobiliários Ltda. (Empresa 10 no estudo)</t>
        </is>
      </c>
      <c r="C146" s="4" t="inlineStr">
        <is>
          <t>Lote em loteamento</t>
        </is>
      </c>
      <c r="D146" s="4" t="inlineStr"/>
      <c r="E146" s="4" t="inlineStr">
        <is>
          <t>Lote 022 - 174 - 30. Loteamento Falavigna</t>
        </is>
      </c>
      <c r="F146" s="4" t="inlineStr">
        <is>
          <t>022</t>
        </is>
      </c>
      <c r="G146" s="4" t="inlineStr">
        <is>
          <t>174</t>
        </is>
      </c>
      <c r="H146" s="4" t="inlineStr"/>
      <c r="I146" s="4" t="inlineStr"/>
      <c r="J146" s="5" t="n"/>
      <c r="K146" s="5" t="n">
        <v>581000</v>
      </c>
      <c r="L146" s="6">
        <f>1/6</f>
        <v/>
      </c>
      <c r="M146" s="7">
        <f>K146*L146</f>
        <v/>
      </c>
      <c r="N146" s="4" t="inlineStr">
        <is>
          <t>inventário-estudo-rafael.pdf, p. 12</t>
        </is>
      </c>
      <c r="O146" s="4" t="inlineStr">
        <is>
          <t>Somente no estudo Rafael (não consta nos inventários 2025).</t>
        </is>
      </c>
    </row>
    <row r="147">
      <c r="A147" s="9" t="n">
        <v>143</v>
      </c>
      <c r="B147" s="4" t="inlineStr">
        <is>
          <t>Siviero Empreendimentos Imobiliários Ltda. (Empresa 10 no estudo)</t>
        </is>
      </c>
      <c r="C147" s="4" t="inlineStr">
        <is>
          <t>Lote em loteamento</t>
        </is>
      </c>
      <c r="D147" s="4" t="inlineStr"/>
      <c r="E147" s="4" t="inlineStr">
        <is>
          <t>Lote 028 - 175 - 30. Loteamento Falavigna</t>
        </is>
      </c>
      <c r="F147" s="4" t="inlineStr">
        <is>
          <t>028</t>
        </is>
      </c>
      <c r="G147" s="4" t="inlineStr">
        <is>
          <t>175</t>
        </is>
      </c>
      <c r="H147" s="4" t="inlineStr"/>
      <c r="I147" s="4" t="inlineStr"/>
      <c r="J147" s="5" t="n"/>
      <c r="K147" s="5" t="n">
        <v>532000</v>
      </c>
      <c r="L147" s="6">
        <f>1/6</f>
        <v/>
      </c>
      <c r="M147" s="7">
        <f>K147*L147</f>
        <v/>
      </c>
      <c r="N147" s="4" t="inlineStr">
        <is>
          <t>inventário-estudo-rafael.pdf, p. 12</t>
        </is>
      </c>
      <c r="O147" s="4" t="inlineStr">
        <is>
          <t>Somente no estudo Rafael (não consta nos inventários 2025).</t>
        </is>
      </c>
    </row>
    <row r="148">
      <c r="A148" s="9" t="n">
        <v>144</v>
      </c>
      <c r="B148" s="4" t="inlineStr">
        <is>
          <t>Siviero Empreendimentos Imobiliários Ltda. (Empresa 10 no estudo)</t>
        </is>
      </c>
      <c r="C148" s="4" t="inlineStr">
        <is>
          <t>Lote em loteamento</t>
        </is>
      </c>
      <c r="D148" s="4" t="inlineStr"/>
      <c r="E148" s="4" t="inlineStr">
        <is>
          <t>Lote 029 - 322 - 30. Loteamento Falavigna</t>
        </is>
      </c>
      <c r="F148" s="4" t="inlineStr">
        <is>
          <t>029</t>
        </is>
      </c>
      <c r="G148" s="4" t="inlineStr">
        <is>
          <t>322</t>
        </is>
      </c>
      <c r="H148" s="4" t="inlineStr"/>
      <c r="I148" s="4" t="inlineStr"/>
      <c r="J148" s="5" t="n"/>
      <c r="K148" s="5" t="n">
        <v>758000</v>
      </c>
      <c r="L148" s="6">
        <f>1/6</f>
        <v/>
      </c>
      <c r="M148" s="7">
        <f>K148*L148</f>
        <v/>
      </c>
      <c r="N148" s="4" t="inlineStr">
        <is>
          <t>inventário-estudo-rafael.pdf, p. 12</t>
        </is>
      </c>
      <c r="O148" s="4" t="inlineStr">
        <is>
          <t>Somente no estudo Rafael (não consta nos inventários 2025).</t>
        </is>
      </c>
    </row>
    <row r="149">
      <c r="A149" s="9" t="n">
        <v>145</v>
      </c>
      <c r="B149" s="4" t="inlineStr">
        <is>
          <t>Siviero Empreendimentos Imobiliários Ltda. (Empresa 10 no estudo)</t>
        </is>
      </c>
      <c r="C149" s="4" t="inlineStr">
        <is>
          <t>Lote em loteamento</t>
        </is>
      </c>
      <c r="D149" s="4" t="inlineStr"/>
      <c r="E149" s="4" t="inlineStr">
        <is>
          <t>Lote 017 - 876 - 30. Loteamento Falavigna</t>
        </is>
      </c>
      <c r="F149" s="4" t="inlineStr">
        <is>
          <t>017</t>
        </is>
      </c>
      <c r="G149" s="4" t="inlineStr">
        <is>
          <t>876</t>
        </is>
      </c>
      <c r="H149" s="4" t="inlineStr"/>
      <c r="I149" s="4" t="inlineStr"/>
      <c r="J149" s="5" t="n"/>
      <c r="K149" s="5" t="n">
        <v>576000</v>
      </c>
      <c r="L149" s="6">
        <f>1/6</f>
        <v/>
      </c>
      <c r="M149" s="7">
        <f>K149*L149</f>
        <v/>
      </c>
      <c r="N149" s="4" t="inlineStr">
        <is>
          <t>inventário-estudo-rafael.pdf, p. 12</t>
        </is>
      </c>
      <c r="O149" s="4" t="inlineStr">
        <is>
          <t>Somente no estudo Rafael (não consta nos inventários 2025).</t>
        </is>
      </c>
    </row>
    <row r="150">
      <c r="A150" s="9" t="n">
        <v>146</v>
      </c>
      <c r="B150" s="4" t="inlineStr">
        <is>
          <t>Siviero Empreendimentos Imobiliários Ltda. (Empresa 10 no estudo)</t>
        </is>
      </c>
      <c r="C150" s="4" t="inlineStr">
        <is>
          <t>Lote em loteamento</t>
        </is>
      </c>
      <c r="D150" s="4" t="inlineStr"/>
      <c r="E150" s="4" t="inlineStr">
        <is>
          <t>Lote 004 - 878 - 30. Loteamento Falavigna</t>
        </is>
      </c>
      <c r="F150" s="4" t="inlineStr">
        <is>
          <t>004</t>
        </is>
      </c>
      <c r="G150" s="4" t="inlineStr">
        <is>
          <t>878</t>
        </is>
      </c>
      <c r="H150" s="4" t="inlineStr"/>
      <c r="I150" s="4" t="inlineStr"/>
      <c r="J150" s="5" t="n"/>
      <c r="K150" s="5" t="n">
        <v>595000</v>
      </c>
      <c r="L150" s="6">
        <f>1/6</f>
        <v/>
      </c>
      <c r="M150" s="7">
        <f>K150*L150</f>
        <v/>
      </c>
      <c r="N150" s="4" t="inlineStr">
        <is>
          <t>inventário-estudo-rafael.pdf, p. 12</t>
        </is>
      </c>
      <c r="O150" s="4" t="inlineStr">
        <is>
          <t>Somente no estudo Rafael (não consta nos inventários 2025).</t>
        </is>
      </c>
    </row>
    <row r="151">
      <c r="A151" s="9" t="n">
        <v>147</v>
      </c>
      <c r="B151" s="4" t="inlineStr">
        <is>
          <t>Siviero Empreendimentos Imobiliários Ltda. (Empresa 10 no estudo)</t>
        </is>
      </c>
      <c r="C151" s="4" t="inlineStr">
        <is>
          <t>Lote em loteamento</t>
        </is>
      </c>
      <c r="D151" s="4" t="inlineStr"/>
      <c r="E151" s="4" t="inlineStr">
        <is>
          <t>Lote 005 - 878 - 30. Loteamento Falavigna</t>
        </is>
      </c>
      <c r="F151" s="4" t="inlineStr">
        <is>
          <t>005</t>
        </is>
      </c>
      <c r="G151" s="4" t="inlineStr">
        <is>
          <t>878</t>
        </is>
      </c>
      <c r="H151" s="4" t="inlineStr"/>
      <c r="I151" s="4" t="inlineStr"/>
      <c r="J151" s="5" t="n"/>
      <c r="K151" s="5" t="n">
        <v>595000</v>
      </c>
      <c r="L151" s="6">
        <f>1/6</f>
        <v/>
      </c>
      <c r="M151" s="7">
        <f>K151*L151</f>
        <v/>
      </c>
      <c r="N151" s="4" t="inlineStr">
        <is>
          <t>inventário-estudo-rafael.pdf, p. 12</t>
        </is>
      </c>
      <c r="O151" s="4" t="inlineStr">
        <is>
          <t>Somente no estudo Rafael (não consta nos inventários 2025).</t>
        </is>
      </c>
    </row>
    <row r="152">
      <c r="A152" s="10" t="inlineStr">
        <is>
          <t>TOTAL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1">
        <f>SUM(J5:J151)</f>
        <v/>
      </c>
      <c r="K152" s="11">
        <f>SUM(K5:K151)</f>
        <v/>
      </c>
      <c r="L152" s="10" t="n"/>
      <c r="M152" s="11">
        <f>SUM(M5:M151)</f>
        <v/>
      </c>
      <c r="N152" s="10" t="n"/>
      <c r="O152" s="10" t="n"/>
    </row>
  </sheetData>
  <autoFilter ref="A4:O1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20" customWidth="1" min="3" max="3"/>
    <col width="20" customWidth="1" min="4" max="4"/>
    <col width="22" customWidth="1" min="5" max="5"/>
    <col width="14" customWidth="1" min="6" max="6"/>
    <col width="20" customWidth="1" min="7" max="7"/>
    <col width="22" customWidth="1" min="8" max="8"/>
    <col width="12" customWidth="1" min="9" max="9"/>
    <col width="50" customWidth="1" min="10" max="10"/>
  </cols>
  <sheetData>
    <row r="1">
      <c r="A1" s="1" t="inlineStr">
        <is>
          <t>Resumo por empresa e categoria</t>
        </is>
      </c>
    </row>
    <row r="2">
      <c r="A2" s="2" t="inlineStr">
        <is>
          <t>Colunas 'declarado' transcritas do total geral e da linha da Valter de cada inventário; 'Dif.' deve ser zero.</t>
        </is>
      </c>
    </row>
    <row r="4">
      <c r="A4" s="3" t="inlineStr">
        <is>
          <t>Empresa</t>
        </is>
      </c>
      <c r="B4" s="3" t="inlineStr">
        <is>
          <t>Qtde. bens</t>
        </is>
      </c>
      <c r="C4" s="3" t="inlineStr">
        <is>
          <t>Valor avaliado 2025 (R$)</t>
        </is>
      </c>
      <c r="D4" s="3" t="inlineStr">
        <is>
          <t>Valor no estudo Rafael (R$)</t>
        </is>
      </c>
      <c r="E4" s="3" t="inlineStr">
        <is>
          <t>Total declarado no inventário (R$)</t>
        </is>
      </c>
      <c r="F4" s="3" t="inlineStr">
        <is>
          <t>Dif. (R$)</t>
        </is>
      </c>
      <c r="G4" s="3" t="inlineStr">
        <is>
          <t>Quinhão Valter (R$)</t>
        </is>
      </c>
      <c r="H4" s="3" t="inlineStr">
        <is>
          <t>Valter declarado no inventário (R$)</t>
        </is>
      </c>
      <c r="I4" s="3" t="inlineStr">
        <is>
          <t>Dif. (R$)</t>
        </is>
      </c>
      <c r="J4" s="3" t="inlineStr">
        <is>
          <t>Observações</t>
        </is>
      </c>
    </row>
    <row r="5">
      <c r="A5" s="4" t="inlineStr">
        <is>
          <t>03 - Associação Cultural Princesa dos Vales</t>
        </is>
      </c>
      <c r="B5" s="4">
        <f>COUNTIF(Ativos!$B$5:$B$151,A5)</f>
        <v/>
      </c>
      <c r="C5" s="7">
        <f>SUMIF(Ativos!$B$5:$B$151,A5,Ativos!$J$5:$J$151)</f>
        <v/>
      </c>
      <c r="D5" s="7">
        <f>SUMIF(Ativos!$B$5:$B$151,A5,Ativos!$K$5:$K$151)</f>
        <v/>
      </c>
      <c r="E5" s="5" t="n">
        <v>0</v>
      </c>
      <c r="F5" s="7">
        <f>C5-E5</f>
        <v/>
      </c>
      <c r="G5" s="7">
        <f>SUMIF(Ativos!$B$5:$B$151,A5,Ativos!$M$5:$M$151)</f>
        <v/>
      </c>
      <c r="H5" s="5" t="n">
        <v>0</v>
      </c>
      <c r="I5" s="7">
        <f>ROUND(G5-H5,2)</f>
        <v/>
      </c>
      <c r="J5" s="4" t="inlineStr">
        <is>
          <t>Sem bens. Empresa baixada em 09/07/2020.</t>
        </is>
      </c>
    </row>
    <row r="6">
      <c r="A6" s="4" t="inlineStr">
        <is>
          <t>04 - Ceval Terraplenagem e Escavações Ltda.</t>
        </is>
      </c>
      <c r="B6" s="4">
        <f>COUNTIF(Ativos!$B$5:$B$151,A6)</f>
        <v/>
      </c>
      <c r="C6" s="7">
        <f>SUMIF(Ativos!$B$5:$B$151,A6,Ativos!$J$5:$J$151)</f>
        <v/>
      </c>
      <c r="D6" s="7">
        <f>SUMIF(Ativos!$B$5:$B$151,A6,Ativos!$K$5:$K$151)</f>
        <v/>
      </c>
      <c r="E6" s="5" t="n">
        <v>315000</v>
      </c>
      <c r="F6" s="7">
        <f>C6-E6</f>
        <v/>
      </c>
      <c r="G6" s="7">
        <f>SUMIF(Ativos!$B$5:$B$151,A6,Ativos!$M$5:$M$151)</f>
        <v/>
      </c>
      <c r="H6" s="5" t="n">
        <v>52500</v>
      </c>
      <c r="I6" s="7">
        <f>ROUND(G6-H6,2)</f>
        <v/>
      </c>
      <c r="J6" s="4" t="inlineStr"/>
    </row>
    <row r="7">
      <c r="A7" s="4" t="inlineStr">
        <is>
          <t>06 - Hotel Araçá Ltda.</t>
        </is>
      </c>
      <c r="B7" s="4">
        <f>COUNTIF(Ativos!$B$5:$B$151,A7)</f>
        <v/>
      </c>
      <c r="C7" s="7">
        <f>SUMIF(Ativos!$B$5:$B$151,A7,Ativos!$J$5:$J$151)</f>
        <v/>
      </c>
      <c r="D7" s="7">
        <f>SUMIF(Ativos!$B$5:$B$151,A7,Ativos!$K$5:$K$151)</f>
        <v/>
      </c>
      <c r="E7" s="5" t="n">
        <v>58076823.2</v>
      </c>
      <c r="F7" s="7">
        <f>C7-E7</f>
        <v/>
      </c>
      <c r="G7" s="7">
        <f>SUMIF(Ativos!$B$5:$B$151,A7,Ativos!$M$5:$M$151)</f>
        <v/>
      </c>
      <c r="H7" s="5" t="n">
        <v>9679470.529999999</v>
      </c>
      <c r="I7" s="7">
        <f>ROUND(G7-H7,2)</f>
        <v/>
      </c>
      <c r="J7" s="4" t="inlineStr"/>
    </row>
    <row r="8">
      <c r="A8" s="4" t="inlineStr">
        <is>
          <t>07 - Rádio Comunidade Princesa dos Vales FM Ltda.</t>
        </is>
      </c>
      <c r="B8" s="4">
        <f>COUNTIF(Ativos!$B$5:$B$151,A8)</f>
        <v/>
      </c>
      <c r="C8" s="7">
        <f>SUMIF(Ativos!$B$5:$B$151,A8,Ativos!$J$5:$J$151)</f>
        <v/>
      </c>
      <c r="D8" s="7">
        <f>SUMIF(Ativos!$B$5:$B$151,A8,Ativos!$K$5:$K$151)</f>
        <v/>
      </c>
      <c r="E8" s="5" t="n">
        <v>2698000</v>
      </c>
      <c r="F8" s="7">
        <f>C8-E8</f>
        <v/>
      </c>
      <c r="G8" s="7">
        <f>SUMIF(Ativos!$B$5:$B$151,A8,Ativos!$M$5:$M$151)</f>
        <v/>
      </c>
      <c r="H8" s="5" t="n">
        <v>445170</v>
      </c>
      <c r="I8" s="7">
        <f>ROUND(G8-H8,2)</f>
        <v/>
      </c>
      <c r="J8" s="4" t="inlineStr">
        <is>
          <t>Valter = 16,50% neste inventário.</t>
        </is>
      </c>
    </row>
    <row r="9">
      <c r="A9" s="4" t="inlineStr">
        <is>
          <t>08 - Transportadora Irmãos Siviero Ltda.</t>
        </is>
      </c>
      <c r="B9" s="4">
        <f>COUNTIF(Ativos!$B$5:$B$151,A9)</f>
        <v/>
      </c>
      <c r="C9" s="7">
        <f>SUMIF(Ativos!$B$5:$B$151,A9,Ativos!$J$5:$J$151)</f>
        <v/>
      </c>
      <c r="D9" s="7">
        <f>SUMIF(Ativos!$B$5:$B$151,A9,Ativos!$K$5:$K$151)</f>
        <v/>
      </c>
      <c r="E9" s="5" t="n">
        <v>16374986</v>
      </c>
      <c r="F9" s="7">
        <f>C9-E9</f>
        <v/>
      </c>
      <c r="G9" s="7">
        <f>SUMIF(Ativos!$B$5:$B$151,A9,Ativos!$M$5:$M$151)</f>
        <v/>
      </c>
      <c r="H9" s="5" t="n">
        <v>2729164.33</v>
      </c>
      <c r="I9" s="7">
        <f>ROUND(G9-H9,2)</f>
        <v/>
      </c>
      <c r="J9" s="4" t="inlineStr"/>
    </row>
    <row r="10">
      <c r="A10" s="4" t="inlineStr">
        <is>
          <t>09 - Turismo Siviero Ltda.</t>
        </is>
      </c>
      <c r="B10" s="4">
        <f>COUNTIF(Ativos!$B$5:$B$151,A10)</f>
        <v/>
      </c>
      <c r="C10" s="7">
        <f>SUMIF(Ativos!$B$5:$B$151,A10,Ativos!$J$5:$J$151)</f>
        <v/>
      </c>
      <c r="D10" s="7">
        <f>SUMIF(Ativos!$B$5:$B$151,A10,Ativos!$K$5:$K$151)</f>
        <v/>
      </c>
      <c r="E10" s="5" t="n">
        <v>0</v>
      </c>
      <c r="F10" s="7">
        <f>C10-E10</f>
        <v/>
      </c>
      <c r="G10" s="7">
        <f>SUMIF(Ativos!$B$5:$B$151,A10,Ativos!$M$5:$M$151)</f>
        <v/>
      </c>
      <c r="H10" s="5" t="n">
        <v>0</v>
      </c>
      <c r="I10" s="7">
        <f>ROUND(G10-H10,2)</f>
        <v/>
      </c>
      <c r="J10" s="4" t="inlineStr">
        <is>
          <t>Sem bens. Empresa baixada em 04/09/2023.</t>
        </is>
      </c>
    </row>
    <row r="11">
      <c r="A11" s="4" t="inlineStr">
        <is>
          <t>10 - Siviero Transportes Ltda.</t>
        </is>
      </c>
      <c r="B11" s="4">
        <f>COUNTIF(Ativos!$B$5:$B$151,A11)</f>
        <v/>
      </c>
      <c r="C11" s="7">
        <f>SUMIF(Ativos!$B$5:$B$151,A11,Ativos!$J$5:$J$151)</f>
        <v/>
      </c>
      <c r="D11" s="7">
        <f>SUMIF(Ativos!$B$5:$B$151,A11,Ativos!$K$5:$K$151)</f>
        <v/>
      </c>
      <c r="E11" s="5" t="n">
        <v>0</v>
      </c>
      <c r="F11" s="7">
        <f>C11-E11</f>
        <v/>
      </c>
      <c r="G11" s="7">
        <f>SUMIF(Ativos!$B$5:$B$151,A11,Ativos!$M$5:$M$151)</f>
        <v/>
      </c>
      <c r="H11" s="5" t="n">
        <v>0</v>
      </c>
      <c r="I11" s="7">
        <f>ROUND(G11-H11,2)</f>
        <v/>
      </c>
      <c r="J11" s="4" t="inlineStr">
        <is>
          <t>Sem bens. Empresa baixada em 08/04/2024.</t>
        </is>
      </c>
    </row>
    <row r="12">
      <c r="A12" s="4" t="inlineStr">
        <is>
          <t>05 - Hotel Princesa dos Vales Ltda.</t>
        </is>
      </c>
      <c r="B12" s="4">
        <f>COUNTIF(Ativos!$B$5:$B$151,A12)</f>
        <v/>
      </c>
      <c r="C12" s="7">
        <f>SUMIF(Ativos!$B$5:$B$151,A12,Ativos!$J$5:$J$151)</f>
        <v/>
      </c>
      <c r="D12" s="7">
        <f>SUMIF(Ativos!$B$5:$B$151,A12,Ativos!$K$5:$K$151)</f>
        <v/>
      </c>
      <c r="E12" s="5" t="n"/>
      <c r="F12" s="7" t="n"/>
      <c r="G12" s="7">
        <f>SUMIF(Ativos!$B$5:$B$151,A12,Ativos!$M$5:$M$151)</f>
        <v/>
      </c>
      <c r="H12" s="5" t="n"/>
      <c r="I12" s="7" t="n"/>
      <c r="J12" s="4" t="inlineStr">
        <is>
          <t>Sem inventário na pasta 2025; bens apenas no estudo Rafael.</t>
        </is>
      </c>
    </row>
    <row r="13">
      <c r="A13" s="4" t="inlineStr">
        <is>
          <t>Siviero Empreendimentos Imobiliários Ltda. (Empresa 10 no estudo)</t>
        </is>
      </c>
      <c r="B13" s="4">
        <f>COUNTIF(Ativos!$B$5:$B$151,A13)</f>
        <v/>
      </c>
      <c r="C13" s="7">
        <f>SUMIF(Ativos!$B$5:$B$151,A13,Ativos!$J$5:$J$151)</f>
        <v/>
      </c>
      <c r="D13" s="7">
        <f>SUMIF(Ativos!$B$5:$B$151,A13,Ativos!$K$5:$K$151)</f>
        <v/>
      </c>
      <c r="E13" s="5" t="n"/>
      <c r="F13" s="7" t="n"/>
      <c r="G13" s="7">
        <f>SUMIF(Ativos!$B$5:$B$151,A13,Ativos!$M$5:$M$151)</f>
        <v/>
      </c>
      <c r="H13" s="5" t="n"/>
      <c r="I13" s="7" t="n"/>
      <c r="J13" s="4" t="inlineStr">
        <is>
          <t>Sem inventário na pasta 2025; bens apenas no estudo Rafael.</t>
        </is>
      </c>
    </row>
    <row r="14">
      <c r="A14" s="10" t="inlineStr">
        <is>
          <t>TOTAL</t>
        </is>
      </c>
      <c r="B14" s="10">
        <f>SUM(B5:B13)</f>
        <v/>
      </c>
      <c r="C14" s="11">
        <f>SUM(C5:C13)</f>
        <v/>
      </c>
      <c r="D14" s="11">
        <f>SUM(D5:D13)</f>
        <v/>
      </c>
      <c r="E14" s="11">
        <f>SUM(E5:E13)</f>
        <v/>
      </c>
      <c r="F14" s="11">
        <f>SUM(F5:F13)</f>
        <v/>
      </c>
      <c r="G14" s="11">
        <f>SUM(G5:G13)</f>
        <v/>
      </c>
      <c r="H14" s="11">
        <f>SUM(H5:H13)</f>
        <v/>
      </c>
      <c r="I14" s="11">
        <f>SUM(I5:I13)</f>
        <v/>
      </c>
      <c r="J14" s="10" t="n"/>
    </row>
    <row r="17">
      <c r="A17" s="3" t="inlineStr">
        <is>
          <t>Categoria</t>
        </is>
      </c>
      <c r="B17" s="3" t="inlineStr">
        <is>
          <t>Qtde. bens</t>
        </is>
      </c>
      <c r="C17" s="3" t="inlineStr">
        <is>
          <t>Valor avaliado 2025 (R$)</t>
        </is>
      </c>
      <c r="D17" s="3" t="inlineStr">
        <is>
          <t>Valor no estudo Rafael (R$)</t>
        </is>
      </c>
      <c r="E17" s="3" t="inlineStr"/>
      <c r="F17" s="3" t="inlineStr"/>
      <c r="G17" s="3" t="inlineStr">
        <is>
          <t>Quinhão Valter (R$)</t>
        </is>
      </c>
    </row>
    <row r="18">
      <c r="A18" s="4" t="inlineStr">
        <is>
          <t>Imóvel urbano</t>
        </is>
      </c>
      <c r="B18" s="4">
        <f>COUNTIF(Ativos!$C$5:$C$151,A18)</f>
        <v/>
      </c>
      <c r="C18" s="7">
        <f>SUMIF(Ativos!$C$5:$C$151,A18,Ativos!$J$5:$J$151)</f>
        <v/>
      </c>
      <c r="D18" s="7">
        <f>SUMIF(Ativos!$C$5:$C$151,A18,Ativos!$K$5:$K$151)</f>
        <v/>
      </c>
      <c r="E18" s="4" t="n"/>
      <c r="F18" s="4" t="n"/>
      <c r="G18" s="7">
        <f>SUMIF(Ativos!$C$5:$C$151,A18,Ativos!$M$5:$M$151)</f>
        <v/>
      </c>
    </row>
    <row r="19">
      <c r="A19" s="4" t="inlineStr">
        <is>
          <t>Imóvel rural</t>
        </is>
      </c>
      <c r="B19" s="4">
        <f>COUNTIF(Ativos!$C$5:$C$151,A19)</f>
        <v/>
      </c>
      <c r="C19" s="7">
        <f>SUMIF(Ativos!$C$5:$C$151,A19,Ativos!$J$5:$J$151)</f>
        <v/>
      </c>
      <c r="D19" s="7">
        <f>SUMIF(Ativos!$C$5:$C$151,A19,Ativos!$K$5:$K$151)</f>
        <v/>
      </c>
      <c r="E19" s="4" t="n"/>
      <c r="F19" s="4" t="n"/>
      <c r="G19" s="7">
        <f>SUMIF(Ativos!$C$5:$C$151,A19,Ativos!$M$5:$M$151)</f>
        <v/>
      </c>
    </row>
    <row r="20">
      <c r="A20" s="4" t="inlineStr">
        <is>
          <t>Lote em loteamento</t>
        </is>
      </c>
      <c r="B20" s="4">
        <f>COUNTIF(Ativos!$C$5:$C$151,A20)</f>
        <v/>
      </c>
      <c r="C20" s="7">
        <f>SUMIF(Ativos!$C$5:$C$151,A20,Ativos!$J$5:$J$151)</f>
        <v/>
      </c>
      <c r="D20" s="7">
        <f>SUMIF(Ativos!$C$5:$C$151,A20,Ativos!$K$5:$K$151)</f>
        <v/>
      </c>
      <c r="E20" s="4" t="n"/>
      <c r="F20" s="4" t="n"/>
      <c r="G20" s="7">
        <f>SUMIF(Ativos!$C$5:$C$151,A20,Ativos!$M$5:$M$151)</f>
        <v/>
      </c>
    </row>
    <row r="21">
      <c r="A21" s="4" t="inlineStr">
        <is>
          <t>Benfeitoria / edificação</t>
        </is>
      </c>
      <c r="B21" s="4">
        <f>COUNTIF(Ativos!$C$5:$C$151,A21)</f>
        <v/>
      </c>
      <c r="C21" s="7">
        <f>SUMIF(Ativos!$C$5:$C$151,A21,Ativos!$J$5:$J$151)</f>
        <v/>
      </c>
      <c r="D21" s="7">
        <f>SUMIF(Ativos!$C$5:$C$151,A21,Ativos!$K$5:$K$151)</f>
        <v/>
      </c>
      <c r="E21" s="4" t="n"/>
      <c r="F21" s="4" t="n"/>
      <c r="G21" s="7">
        <f>SUMIF(Ativos!$C$5:$C$151,A21,Ativos!$M$5:$M$151)</f>
        <v/>
      </c>
    </row>
    <row r="22">
      <c r="A22" s="4" t="inlineStr">
        <is>
          <t>Móveis, equipamentos e concessão</t>
        </is>
      </c>
      <c r="B22" s="4">
        <f>COUNTIF(Ativos!$C$5:$C$151,A22)</f>
        <v/>
      </c>
      <c r="C22" s="7">
        <f>SUMIF(Ativos!$C$5:$C$151,A22,Ativos!$J$5:$J$151)</f>
        <v/>
      </c>
      <c r="D22" s="7">
        <f>SUMIF(Ativos!$C$5:$C$151,A22,Ativos!$K$5:$K$151)</f>
        <v/>
      </c>
      <c r="E22" s="4" t="n"/>
      <c r="F22" s="4" t="n"/>
      <c r="G22" s="7">
        <f>SUMIF(Ativos!$C$5:$C$151,A22,Ativos!$M$5:$M$151)</f>
        <v/>
      </c>
    </row>
    <row r="23">
      <c r="A23" s="4" t="inlineStr">
        <is>
          <t>Veículo / máquina</t>
        </is>
      </c>
      <c r="B23" s="4">
        <f>COUNTIF(Ativos!$C$5:$C$151,A23)</f>
        <v/>
      </c>
      <c r="C23" s="7">
        <f>SUMIF(Ativos!$C$5:$C$151,A23,Ativos!$J$5:$J$151)</f>
        <v/>
      </c>
      <c r="D23" s="7">
        <f>SUMIF(Ativos!$C$5:$C$151,A23,Ativos!$K$5:$K$151)</f>
        <v/>
      </c>
      <c r="E23" s="4" t="n"/>
      <c r="F23" s="4" t="n"/>
      <c r="G23" s="7">
        <f>SUMIF(Ativos!$C$5:$C$151,A23,Ativos!$M$5:$M$151)</f>
        <v/>
      </c>
    </row>
    <row r="24">
      <c r="A24" s="10" t="inlineStr">
        <is>
          <t>TOTAL</t>
        </is>
      </c>
      <c r="B24" s="10">
        <f>SUM(B18:B23)</f>
        <v/>
      </c>
      <c r="C24" s="11">
        <f>SUM(C18:C23)</f>
        <v/>
      </c>
      <c r="D24" s="11">
        <f>SUM(D18:D23)</f>
        <v/>
      </c>
      <c r="E24" s="10" t="n"/>
      <c r="F24" s="10" t="n"/>
      <c r="G24" s="11">
        <f>SUM(G18:G23)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8" customWidth="1" min="3" max="3"/>
    <col width="22" customWidth="1" min="4" max="4"/>
    <col width="20" customWidth="1" min="5" max="5"/>
    <col width="64" customWidth="1" min="6" max="6"/>
  </cols>
  <sheetData>
    <row r="1">
      <c r="A1" s="1" t="inlineStr">
        <is>
          <t>Composição dos valores com memória de cálculo</t>
        </is>
      </c>
    </row>
    <row r="2">
      <c r="A2" s="2" t="inlineStr">
        <is>
          <t>Parâmetros em azul transcritos dos inventários; totais por fórmula, comparados ao valor declarado.</t>
        </is>
      </c>
    </row>
    <row r="4">
      <c r="A4" s="3" t="inlineStr">
        <is>
          <t>Parcela</t>
        </is>
      </c>
      <c r="B4" s="3" t="inlineStr">
        <is>
          <t>Quantidade</t>
        </is>
      </c>
      <c r="C4" s="3" t="inlineStr">
        <is>
          <t>Unidade</t>
        </is>
      </c>
      <c r="D4" s="3" t="inlineStr">
        <is>
          <t>Valor unitário / % (R$)</t>
        </is>
      </c>
      <c r="E4" s="3" t="inlineStr">
        <is>
          <t>Valor (R$)</t>
        </is>
      </c>
      <c r="F4" s="3" t="inlineStr">
        <is>
          <t>Observação</t>
        </is>
      </c>
    </row>
    <row r="5">
      <c r="A5" s="12" t="inlineStr">
        <is>
          <t>06 - Hotel Araçá - Item 01 - Hotel (terreno + edifício + móveis)</t>
        </is>
      </c>
    </row>
    <row r="6">
      <c r="A6" s="4" t="inlineStr">
        <is>
          <t>Terreno do hotel (R$ 1.000,00/m²)</t>
        </is>
      </c>
      <c r="B6" s="13" t="n">
        <v>6900</v>
      </c>
      <c r="C6" s="4" t="inlineStr">
        <is>
          <t>m²</t>
        </is>
      </c>
      <c r="D6" s="5" t="n">
        <v>1000</v>
      </c>
      <c r="E6" s="7">
        <f>B6*D6</f>
        <v/>
      </c>
      <c r="F6" s="4" t="inlineStr"/>
    </row>
    <row r="7">
      <c r="A7" s="4" t="inlineStr">
        <is>
          <t>Móveis e equipamentos novos - 36 apartamentos (sem depreciação)</t>
        </is>
      </c>
      <c r="B7" s="13" t="n">
        <v>36</v>
      </c>
      <c r="C7" s="4" t="inlineStr">
        <is>
          <t>apto</t>
        </is>
      </c>
      <c r="D7" s="5" t="n">
        <v>42000</v>
      </c>
      <c r="E7" s="7">
        <f>B7*D7</f>
        <v/>
      </c>
      <c r="F7" s="4" t="inlineStr"/>
    </row>
    <row r="8">
      <c r="A8" s="4" t="inlineStr">
        <is>
          <t>Móveis e equipamentos - 108 apartamentos (R$ 30.000,00 cada, -20%)</t>
        </is>
      </c>
      <c r="B8" s="13" t="n">
        <v>108</v>
      </c>
      <c r="C8" s="4" t="inlineStr">
        <is>
          <t>apto</t>
        </is>
      </c>
      <c r="D8" s="5" t="n">
        <v>30000</v>
      </c>
      <c r="E8" s="7">
        <f>B8*D8*(1-0.2)</f>
        <v/>
      </c>
      <c r="F8" s="4" t="inlineStr">
        <is>
          <t>R$ 3.240.000,00 - 20% = R$ 2.592.000,00.</t>
        </is>
      </c>
    </row>
    <row r="9">
      <c r="A9" s="4" t="inlineStr">
        <is>
          <t>Edifício - obra civil, 10.500 m² x CUB dez/2022 (-20%)</t>
        </is>
      </c>
      <c r="B9" s="13" t="n">
        <v>10500</v>
      </c>
      <c r="C9" s="4" t="inlineStr">
        <is>
          <t>m²</t>
        </is>
      </c>
      <c r="D9" s="5" t="n">
        <v>3170.52</v>
      </c>
      <c r="E9" s="7">
        <f>B9*D9*(1-0.2)</f>
        <v/>
      </c>
      <c r="F9" s="4" t="inlineStr">
        <is>
          <t>R$ 33.290.460,00 - 20% = R$ 26.632.368,00.</t>
        </is>
      </c>
    </row>
    <row r="10">
      <c r="A10" s="4" t="inlineStr">
        <is>
          <t>Móveis e equipamentos diversos (cozinha, restaurante, lavanderia, poço etc.) (-20%)</t>
        </is>
      </c>
      <c r="B10" s="4" t="n"/>
      <c r="C10" s="4" t="n"/>
      <c r="D10" s="4" t="n"/>
      <c r="E10" s="7">
        <f>8000000*(1-0.2)</f>
        <v/>
      </c>
      <c r="F10" s="4" t="inlineStr">
        <is>
          <t>R$ 8.000.000,00 - 20% = R$ 6.400.000,00.</t>
        </is>
      </c>
    </row>
    <row r="11">
      <c r="A11" s="4" t="inlineStr">
        <is>
          <t>Obras / valor agregado = 15% da obra feita</t>
        </is>
      </c>
      <c r="B11" s="4" t="n"/>
      <c r="C11" s="4" t="n"/>
      <c r="D11" s="14" t="n">
        <v>0.15</v>
      </c>
      <c r="E11" s="7">
        <f>D11*SUM(E7:E10)</f>
        <v/>
      </c>
      <c r="F11" s="4" t="inlineStr">
        <is>
          <t>Base R$ 37.136.368,00 = soma das 4 parcelas acima (exceto terreno).</t>
        </is>
      </c>
    </row>
    <row r="12">
      <c r="A12" s="10" t="inlineStr">
        <is>
          <t>Total calculado</t>
        </is>
      </c>
      <c r="B12" s="15" t="n"/>
      <c r="C12" s="15" t="n"/>
      <c r="D12" s="15" t="n"/>
      <c r="E12" s="16">
        <f>SUM(E6:E11)</f>
        <v/>
      </c>
      <c r="F12" s="15" t="inlineStr"/>
    </row>
    <row r="13">
      <c r="A13" s="10" t="inlineStr">
        <is>
          <t>Total declarado no inventário</t>
        </is>
      </c>
      <c r="B13" s="15" t="n"/>
      <c r="C13" s="15" t="n"/>
      <c r="D13" s="15" t="n"/>
      <c r="E13" s="17" t="n">
        <v>49606823.2</v>
      </c>
      <c r="F13" s="15" t="inlineStr"/>
    </row>
    <row r="14">
      <c r="A14" s="10" t="inlineStr">
        <is>
          <t>Diferença (calculado - declarado)</t>
        </is>
      </c>
      <c r="B14" s="15" t="n"/>
      <c r="C14" s="15" t="n"/>
      <c r="D14" s="15" t="n"/>
      <c r="E14" s="16">
        <f>E12-E13</f>
        <v/>
      </c>
      <c r="F14" s="15" t="inlineStr"/>
    </row>
    <row r="16">
      <c r="A16" s="12" t="inlineStr">
        <is>
          <t>08 - Transportadora Irmãos Siviero - Item 01 - Terreno da oficina</t>
        </is>
      </c>
    </row>
    <row r="17">
      <c r="A17" s="4" t="inlineStr">
        <is>
          <t>Terreno (R$ 992,78/m²)</t>
        </is>
      </c>
      <c r="B17" s="13" t="n">
        <v>8700</v>
      </c>
      <c r="C17" s="4" t="inlineStr">
        <is>
          <t>m²</t>
        </is>
      </c>
      <c r="D17" s="5" t="n">
        <v>992.78</v>
      </c>
      <c r="E17" s="7">
        <f>B17*D17</f>
        <v/>
      </c>
      <c r="F17" s="4" t="inlineStr"/>
    </row>
    <row r="18">
      <c r="A18" s="10" t="inlineStr">
        <is>
          <t>Total calculado</t>
        </is>
      </c>
      <c r="B18" s="15" t="n"/>
      <c r="C18" s="15" t="n"/>
      <c r="D18" s="15" t="n"/>
      <c r="E18" s="16">
        <f>SUM(E17:E17)</f>
        <v/>
      </c>
      <c r="F18" s="15" t="inlineStr"/>
    </row>
    <row r="19">
      <c r="A19" s="10" t="inlineStr">
        <is>
          <t>Total declarado no inventário</t>
        </is>
      </c>
      <c r="B19" s="15" t="n"/>
      <c r="C19" s="15" t="n"/>
      <c r="D19" s="15" t="n"/>
      <c r="E19" s="17" t="n">
        <v>8637186</v>
      </c>
      <c r="F19" s="15" t="inlineStr"/>
    </row>
    <row r="20">
      <c r="A20" s="10" t="inlineStr">
        <is>
          <t>Diferença (calculado - declarado)</t>
        </is>
      </c>
      <c r="B20" s="15" t="n"/>
      <c r="C20" s="15" t="n"/>
      <c r="D20" s="15" t="n"/>
      <c r="E20" s="16">
        <f>E18-E19</f>
        <v/>
      </c>
      <c r="F20" s="15" t="inlineStr"/>
    </row>
    <row r="22">
      <c r="A22" s="12" t="inlineStr">
        <is>
          <t>08 - Transportadora Irmãos Siviero - Item 02 - Pavilhão da oficina</t>
        </is>
      </c>
    </row>
    <row r="23">
      <c r="A23" s="4" t="inlineStr">
        <is>
          <t>Pavilhão (sem mezanino), R$ 1.100,00/m²</t>
        </is>
      </c>
      <c r="B23" s="13" t="n">
        <v>1298</v>
      </c>
      <c r="C23" s="4" t="inlineStr">
        <is>
          <t>m²</t>
        </is>
      </c>
      <c r="D23" s="5" t="n">
        <v>1100</v>
      </c>
      <c r="E23" s="7">
        <f>B23*D23</f>
        <v/>
      </c>
      <c r="F23" s="4" t="inlineStr">
        <is>
          <t>Os 30% de obra feita não foram calculados (obra não regularizada).</t>
        </is>
      </c>
    </row>
    <row r="24">
      <c r="A24" s="10" t="inlineStr">
        <is>
          <t>Total calculado</t>
        </is>
      </c>
      <c r="B24" s="15" t="n"/>
      <c r="C24" s="15" t="n"/>
      <c r="D24" s="15" t="n"/>
      <c r="E24" s="16">
        <f>SUM(E23:E23)</f>
        <v/>
      </c>
      <c r="F24" s="15" t="inlineStr"/>
    </row>
    <row r="25">
      <c r="A25" s="10" t="inlineStr">
        <is>
          <t>Total declarado no inventário</t>
        </is>
      </c>
      <c r="B25" s="15" t="n"/>
      <c r="C25" s="15" t="n"/>
      <c r="D25" s="15" t="n"/>
      <c r="E25" s="17" t="n">
        <v>1427800</v>
      </c>
      <c r="F25" s="15" t="inlineStr"/>
    </row>
    <row r="26">
      <c r="A26" s="10" t="inlineStr">
        <is>
          <t>Diferença (calculado - declarado)</t>
        </is>
      </c>
      <c r="B26" s="15" t="n"/>
      <c r="C26" s="15" t="n"/>
      <c r="D26" s="15" t="n"/>
      <c r="E26" s="16">
        <f>E24-E25</f>
        <v/>
      </c>
      <c r="F26" s="15" t="inlineStr"/>
    </row>
    <row r="28">
      <c r="A28" s="12" t="inlineStr">
        <is>
          <t>08 - Transportadora Irmãos Siviero - Item 07 - Lotes rurais 63, 65, 66 e 'N' (Cotiporã)</t>
        </is>
      </c>
    </row>
    <row r="29">
      <c r="A29" s="4" t="inlineStr">
        <is>
          <t>Área rural (R$ 50.000,00/ha)</t>
        </is>
      </c>
      <c r="B29" s="13" t="n">
        <v>69.8</v>
      </c>
      <c r="C29" s="4" t="inlineStr">
        <is>
          <t>ha</t>
        </is>
      </c>
      <c r="D29" s="5" t="n">
        <v>50000</v>
      </c>
      <c r="E29" s="7">
        <f>B29*D29</f>
        <v/>
      </c>
      <c r="F29" s="4" t="inlineStr"/>
    </row>
    <row r="30">
      <c r="A30" s="10" t="inlineStr">
        <is>
          <t>Total calculado</t>
        </is>
      </c>
      <c r="B30" s="15" t="n"/>
      <c r="C30" s="15" t="n"/>
      <c r="D30" s="15" t="n"/>
      <c r="E30" s="16">
        <f>SUM(E29:E29)</f>
        <v/>
      </c>
      <c r="F30" s="15" t="inlineStr"/>
    </row>
    <row r="31">
      <c r="A31" s="10" t="inlineStr">
        <is>
          <t>Total declarado no inventário</t>
        </is>
      </c>
      <c r="B31" s="15" t="n"/>
      <c r="C31" s="15" t="n"/>
      <c r="D31" s="15" t="n"/>
      <c r="E31" s="17" t="n">
        <v>3500000</v>
      </c>
      <c r="F31" s="15" t="inlineStr"/>
    </row>
    <row r="32">
      <c r="A32" s="18" t="inlineStr">
        <is>
          <t>Diferença (calculado - declarado)</t>
        </is>
      </c>
      <c r="B32" s="8" t="n"/>
      <c r="C32" s="8" t="n"/>
      <c r="D32" s="8" t="n"/>
      <c r="E32" s="19">
        <f>E30-E31</f>
        <v/>
      </c>
      <c r="F32" s="8" t="inlineStr">
        <is>
          <t>Inventário arredonda R$ 3.490.000,00 para R$ 3.500.000,00.</t>
        </is>
      </c>
    </row>
    <row r="34">
      <c r="A34" s="12" t="inlineStr">
        <is>
          <t>08 - Transportadora Irmãos Siviero - Item 08 - Parte do lote rural 63 (Cotiporã)</t>
        </is>
      </c>
    </row>
    <row r="35">
      <c r="A35" s="4" t="inlineStr">
        <is>
          <t>Área rural (R$ 50.000,00/ha)</t>
        </is>
      </c>
      <c r="B35" s="13" t="n">
        <v>4.5</v>
      </c>
      <c r="C35" s="4" t="inlineStr">
        <is>
          <t>ha</t>
        </is>
      </c>
      <c r="D35" s="5" t="n">
        <v>50000</v>
      </c>
      <c r="E35" s="7">
        <f>B35*D35</f>
        <v/>
      </c>
      <c r="F35" s="4" t="inlineStr"/>
    </row>
    <row r="36">
      <c r="A36" s="10" t="inlineStr">
        <is>
          <t>Total calculado</t>
        </is>
      </c>
      <c r="B36" s="15" t="n"/>
      <c r="C36" s="15" t="n"/>
      <c r="D36" s="15" t="n"/>
      <c r="E36" s="16">
        <f>SUM(E35:E35)</f>
        <v/>
      </c>
      <c r="F36" s="15" t="inlineStr"/>
    </row>
    <row r="37">
      <c r="A37" s="10" t="inlineStr">
        <is>
          <t>Total declarado no inventário</t>
        </is>
      </c>
      <c r="B37" s="15" t="n"/>
      <c r="C37" s="15" t="n"/>
      <c r="D37" s="15" t="n"/>
      <c r="E37" s="17" t="n">
        <v>250000</v>
      </c>
      <c r="F37" s="15" t="inlineStr"/>
    </row>
    <row r="38">
      <c r="A38" s="18" t="inlineStr">
        <is>
          <t>Diferença (calculado - declarado)</t>
        </is>
      </c>
      <c r="B38" s="8" t="n"/>
      <c r="C38" s="8" t="n"/>
      <c r="D38" s="8" t="n"/>
      <c r="E38" s="19">
        <f>E36-E37</f>
        <v/>
      </c>
      <c r="F38" s="8" t="inlineStr">
        <is>
          <t>Pelo critério declarado o valor seria R$ 225.000,00; inventário registra R$ 250.000,00.</t>
        </is>
      </c>
    </row>
    <row r="40">
      <c r="A40" s="12" t="inlineStr">
        <is>
          <t>Estudo Rafael - 05 Hotel Princesa dos Vales - Item 04 - Sede Campestre (9,4 ha)</t>
        </is>
      </c>
    </row>
    <row r="41">
      <c r="A41" s="4" t="inlineStr">
        <is>
          <t>Área de terras</t>
        </is>
      </c>
      <c r="B41" s="13" t="n">
        <v>9.4</v>
      </c>
      <c r="C41" s="4" t="inlineStr">
        <is>
          <t>ha</t>
        </is>
      </c>
      <c r="D41" s="5" t="n">
        <v>450000</v>
      </c>
      <c r="E41" s="7">
        <f>B41*D41</f>
        <v/>
      </c>
      <c r="F41" s="4" t="inlineStr"/>
    </row>
    <row r="42">
      <c r="A42" s="4" t="inlineStr">
        <is>
          <t>Pavilhão construído - obra civil (CUB ago/2017)</t>
        </is>
      </c>
      <c r="B42" s="13" t="n">
        <v>891</v>
      </c>
      <c r="C42" s="4" t="inlineStr">
        <is>
          <t>m²</t>
        </is>
      </c>
      <c r="D42" s="5" t="n">
        <v>746</v>
      </c>
      <c r="E42" s="7">
        <f>B42*D42</f>
        <v/>
      </c>
      <c r="F42" s="4" t="inlineStr"/>
    </row>
    <row r="43">
      <c r="A43" s="4" t="inlineStr">
        <is>
          <t>Benfeitoria - Quiosque</t>
        </is>
      </c>
      <c r="B43" s="4" t="n"/>
      <c r="C43" s="4" t="n"/>
      <c r="D43" s="4" t="n"/>
      <c r="E43" s="5" t="n">
        <v>150000</v>
      </c>
      <c r="F43" s="4" t="inlineStr"/>
    </row>
    <row r="44">
      <c r="A44" s="4" t="inlineStr">
        <is>
          <t>Casa de alvenaria nos fundos</t>
        </is>
      </c>
      <c r="B44" s="4" t="n"/>
      <c r="C44" s="4" t="n"/>
      <c r="D44" s="4" t="n"/>
      <c r="E44" s="5" t="n">
        <v>250000</v>
      </c>
      <c r="F44" s="4" t="inlineStr">
        <is>
          <t>Área construída em branco no estudo.</t>
        </is>
      </c>
    </row>
    <row r="45">
      <c r="A45" s="4" t="inlineStr">
        <is>
          <t>Obras e infraestrutura = 25% de (pavilhão + quiosque + casa)</t>
        </is>
      </c>
      <c r="B45" s="4" t="n"/>
      <c r="C45" s="4" t="n"/>
      <c r="D45" s="14" t="n">
        <v>0.25</v>
      </c>
      <c r="E45" s="7">
        <f>D45*SUM(E42:E44)</f>
        <v/>
      </c>
      <c r="F45" s="4" t="inlineStr">
        <is>
          <t>Estudo escreve '25,00% (Vinte por cento)'; o valor R$ 266.171,50 corresponde a 25%.</t>
        </is>
      </c>
    </row>
    <row r="46">
      <c r="A46" s="10" t="inlineStr">
        <is>
          <t>Total calculado</t>
        </is>
      </c>
      <c r="B46" s="15" t="n"/>
      <c r="C46" s="15" t="n"/>
      <c r="D46" s="15" t="n"/>
      <c r="E46" s="16">
        <f>SUM(E41:E45)</f>
        <v/>
      </c>
      <c r="F46" s="15" t="inlineStr"/>
    </row>
    <row r="47">
      <c r="A47" s="10" t="inlineStr">
        <is>
          <t>Total declarado no estudo</t>
        </is>
      </c>
      <c r="B47" s="15" t="n"/>
      <c r="C47" s="15" t="n"/>
      <c r="D47" s="15" t="n"/>
      <c r="E47" s="17" t="n">
        <v>5560857.5</v>
      </c>
      <c r="F47" s="15" t="inlineStr"/>
    </row>
    <row r="48">
      <c r="A48" s="10" t="inlineStr">
        <is>
          <t>Diferença (calculado - declarado)</t>
        </is>
      </c>
      <c r="B48" s="15" t="n"/>
      <c r="C48" s="15" t="n"/>
      <c r="D48" s="15" t="n"/>
      <c r="E48" s="16">
        <f>E46-E47</f>
        <v/>
      </c>
      <c r="F48" s="15" t="inlineStr"/>
    </row>
    <row r="50">
      <c r="A50" s="12" t="inlineStr">
        <is>
          <t>Estudo Rafael - 05 Hotel Princesa dos Vales - Item 05 - Fazenda São Crispin (407,53 ha avaliados)</t>
        </is>
      </c>
    </row>
    <row r="51">
      <c r="A51" s="4" t="inlineStr">
        <is>
          <t>Área Dona Rita - parte produtiva (35%)</t>
        </is>
      </c>
      <c r="B51" s="13" t="n">
        <v>100</v>
      </c>
      <c r="C51" s="4" t="inlineStr">
        <is>
          <t>ha</t>
        </is>
      </c>
      <c r="D51" s="5" t="n">
        <v>110000</v>
      </c>
      <c r="E51" s="7">
        <f>B51*D51</f>
        <v/>
      </c>
      <c r="F51" s="4" t="inlineStr"/>
    </row>
    <row r="52">
      <c r="A52" s="4" t="inlineStr">
        <is>
          <t>Área Dona Rita - parte não produtiva (65%)</t>
        </is>
      </c>
      <c r="B52" s="13" t="n">
        <v>186</v>
      </c>
      <c r="C52" s="4" t="inlineStr">
        <is>
          <t>ha</t>
        </is>
      </c>
      <c r="D52" s="5" t="n">
        <v>110000</v>
      </c>
      <c r="E52" s="7">
        <f>B52*D52</f>
        <v/>
      </c>
      <c r="F52" s="4" t="inlineStr"/>
    </row>
    <row r="53">
      <c r="A53" s="4" t="inlineStr">
        <is>
          <t>Área Zancheta - parte produtiva (80%)</t>
        </is>
      </c>
      <c r="B53" s="13" t="n">
        <v>45.6</v>
      </c>
      <c r="C53" s="4" t="inlineStr">
        <is>
          <t>ha</t>
        </is>
      </c>
      <c r="D53" s="5" t="n">
        <v>110000</v>
      </c>
      <c r="E53" s="7">
        <f>B53*D53</f>
        <v/>
      </c>
      <c r="F53" s="4" t="inlineStr"/>
    </row>
    <row r="54">
      <c r="A54" s="4" t="inlineStr">
        <is>
          <t>Área Zancheta - parte não produtiva (20%)</t>
        </is>
      </c>
      <c r="B54" s="13" t="n">
        <v>11.4</v>
      </c>
      <c r="C54" s="4" t="inlineStr">
        <is>
          <t>ha</t>
        </is>
      </c>
      <c r="D54" s="5" t="n">
        <v>110000</v>
      </c>
      <c r="E54" s="7">
        <f>B54*D54</f>
        <v/>
      </c>
      <c r="F54" s="4" t="inlineStr"/>
    </row>
    <row r="55">
      <c r="A55" s="4" t="inlineStr">
        <is>
          <t>Área Jane/João Paulo - produtiva (148,0 ha - 83,47 ha vendidos)</t>
        </is>
      </c>
      <c r="B55" s="13">
        <f>148-83.47</f>
        <v/>
      </c>
      <c r="C55" s="4" t="inlineStr">
        <is>
          <t>ha</t>
        </is>
      </c>
      <c r="D55" s="5" t="n">
        <v>110000</v>
      </c>
      <c r="E55" s="7">
        <f>B55*D55</f>
        <v/>
      </c>
      <c r="F55" s="4" t="inlineStr">
        <is>
          <t>Estudo: 83,47 ha vendidos à Família Rigo. O arquivo da pasta 2025 fala em 190,00 ha vendidos à Família Rigo e 85,32 ha à Família Pellegrini.</t>
        </is>
      </c>
    </row>
    <row r="56">
      <c r="A56" s="10" t="inlineStr">
        <is>
          <t>Total calculado</t>
        </is>
      </c>
      <c r="B56" s="15" t="n"/>
      <c r="C56" s="15" t="n"/>
      <c r="D56" s="15" t="n"/>
      <c r="E56" s="16">
        <f>SUM(E51:E55)</f>
        <v/>
      </c>
      <c r="F56" s="15" t="inlineStr"/>
    </row>
    <row r="57">
      <c r="A57" s="10" t="inlineStr">
        <is>
          <t>Total declarado no estudo</t>
        </is>
      </c>
      <c r="B57" s="15" t="n"/>
      <c r="C57" s="15" t="n"/>
      <c r="D57" s="15" t="n"/>
      <c r="E57" s="17" t="n">
        <v>44828300</v>
      </c>
      <c r="F57" s="15" t="inlineStr"/>
    </row>
    <row r="58">
      <c r="A58" s="10" t="inlineStr">
        <is>
          <t>Diferença (calculado - declarado)</t>
        </is>
      </c>
      <c r="B58" s="15" t="n"/>
      <c r="C58" s="15" t="n"/>
      <c r="D58" s="15" t="n"/>
      <c r="E58" s="16">
        <f>E56-E57</f>
        <v/>
      </c>
      <c r="F58" s="15" t="inlineStr"/>
    </row>
    <row r="60">
      <c r="A60" s="12" t="inlineStr">
        <is>
          <t>Estudo Rafael - Siviero Empreendimentos - Item 04 - Imóvel BR 470, Km 175,4 (Oleoplan)</t>
        </is>
      </c>
    </row>
    <row r="61">
      <c r="A61" s="4" t="inlineStr">
        <is>
          <t>Terreno (R$ 2.000,00/m²)</t>
        </is>
      </c>
      <c r="B61" s="13" t="n">
        <v>4792.03</v>
      </c>
      <c r="C61" s="4" t="inlineStr">
        <is>
          <t>m²</t>
        </is>
      </c>
      <c r="D61" s="5" t="n">
        <v>2000</v>
      </c>
      <c r="E61" s="7">
        <f>B61*D61</f>
        <v/>
      </c>
      <c r="F61" s="4" t="inlineStr">
        <is>
          <t>Estudo: R$ 9.584.060,00.</t>
        </is>
      </c>
    </row>
    <row r="62">
      <c r="A62" s="4" t="inlineStr">
        <is>
          <t>Pavilhões - CUB ago/2017</t>
        </is>
      </c>
      <c r="B62" s="13" t="n">
        <v>4170</v>
      </c>
      <c r="C62" s="4" t="inlineStr">
        <is>
          <t>m²</t>
        </is>
      </c>
      <c r="D62" s="5" t="n">
        <v>746.6</v>
      </c>
      <c r="E62" s="7">
        <f>B62*D62</f>
        <v/>
      </c>
      <c r="F62" s="4" t="inlineStr">
        <is>
          <t>Estudo: R$ 3.113.322,00.</t>
        </is>
      </c>
    </row>
    <row r="63">
      <c r="A63" s="4" t="inlineStr">
        <is>
          <t>Obra civil dos pavilhões = 30% da obra feita</t>
        </is>
      </c>
      <c r="B63" s="4" t="n"/>
      <c r="C63" s="4" t="n"/>
      <c r="D63" s="14" t="n">
        <v>0.3</v>
      </c>
      <c r="E63" s="7">
        <f>D63*E62</f>
        <v/>
      </c>
      <c r="F63" s="4" t="inlineStr">
        <is>
          <t>Estudo: R$ 933.996,60.</t>
        </is>
      </c>
    </row>
    <row r="64">
      <c r="A64" s="10" t="inlineStr">
        <is>
          <t>Total calculado</t>
        </is>
      </c>
      <c r="B64" s="15" t="n"/>
      <c r="C64" s="15" t="n"/>
      <c r="D64" s="15" t="n"/>
      <c r="E64" s="16">
        <f>SUM(E61:E63)</f>
        <v/>
      </c>
      <c r="F64" s="15" t="inlineStr"/>
    </row>
    <row r="65">
      <c r="A65" s="10" t="inlineStr">
        <is>
          <t>Total declarado no estudo</t>
        </is>
      </c>
      <c r="B65" s="15" t="n"/>
      <c r="C65" s="15" t="n"/>
      <c r="D65" s="15" t="n"/>
      <c r="E65" s="17" t="n">
        <v>10631378.6</v>
      </c>
      <c r="F65" s="15" t="inlineStr"/>
    </row>
    <row r="66">
      <c r="A66" s="18" t="inlineStr">
        <is>
          <t>Diferença (calculado - declarado)</t>
        </is>
      </c>
      <c r="B66" s="8" t="n"/>
      <c r="C66" s="8" t="n"/>
      <c r="D66" s="8" t="n"/>
      <c r="E66" s="19">
        <f>E64-E65</f>
        <v/>
      </c>
      <c r="F66" s="8" t="inlineStr">
        <is>
          <t>Diferença de R$ 3.000.000,00: o total do estudo só fecha se o terreno valer R$ 6.584.060,00.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62" customWidth="1" min="1" max="1"/>
    <col width="8" customWidth="1" min="2" max="2"/>
    <col width="12" customWidth="1" min="3" max="3"/>
    <col width="22" customWidth="1" min="4" max="4"/>
    <col width="20" customWidth="1" min="5" max="5"/>
    <col width="80" customWidth="1" min="6" max="6"/>
  </cols>
  <sheetData>
    <row r="1">
      <c r="A1" s="1" t="inlineStr">
        <is>
          <t>Hotel Princesa dos Vales - áreas vendidas e créditos em produto</t>
        </is>
      </c>
    </row>
    <row r="2">
      <c r="A2" s="2" t="inlineStr">
        <is>
          <t>Fonte: Hotel Princesa dos Vales - Áreas vendidas + loteamentos SEI.docx. Fazenda São Crispin: 686,75 ha - 190,00 ha (Rigo) - 85,32 ha (Pellegrini) = 411,43 ha remanescentes.</t>
        </is>
      </c>
    </row>
    <row r="4">
      <c r="A4" s="3" t="inlineStr">
        <is>
          <t>Venda</t>
        </is>
      </c>
      <c r="B4" s="3" t="inlineStr">
        <is>
          <t>Ano</t>
        </is>
      </c>
      <c r="C4" s="3" t="inlineStr">
        <is>
          <t>Área (ha)</t>
        </is>
      </c>
      <c r="D4" s="3" t="inlineStr">
        <is>
          <t>R$ / ha</t>
        </is>
      </c>
      <c r="E4" s="3" t="inlineStr">
        <is>
          <t>Valor da venda (R$)</t>
        </is>
      </c>
      <c r="F4" s="3" t="inlineStr">
        <is>
          <t>Forma de pagamento / observação</t>
        </is>
      </c>
    </row>
    <row r="5">
      <c r="A5" s="4" t="inlineStr">
        <is>
          <t>Fazenda São Crispin - Família Rigo</t>
        </is>
      </c>
      <c r="B5" s="4" t="n">
        <v>2018</v>
      </c>
      <c r="C5" s="13" t="n">
        <v>190</v>
      </c>
      <c r="D5" s="5" t="n">
        <v>49726.3</v>
      </c>
      <c r="E5" s="5" t="n">
        <v>9448000</v>
      </c>
      <c r="F5" s="4" t="inlineStr">
        <is>
          <t>118.100 sacas de soja a R$ 80,00 (out/2018): R$ 3.000.000,00 à vista (37.500 sc) + 4 x 20.150 sc (maio/2019 a maio/2022). Safras 2021 e 2022 constam como 'falta receber'.</t>
        </is>
      </c>
    </row>
    <row r="6">
      <c r="A6" s="4" t="inlineStr">
        <is>
          <t>Fazenda São Crispin - Família Pellegrini</t>
        </is>
      </c>
      <c r="B6" s="4" t="n">
        <v>2018</v>
      </c>
      <c r="C6" s="13" t="n">
        <v>85.31999999999999</v>
      </c>
      <c r="D6" s="5" t="n">
        <v>23441.16</v>
      </c>
      <c r="E6" s="5" t="n">
        <v>2100000</v>
      </c>
      <c r="F6" s="4" t="inlineStr">
        <is>
          <t>R$ 2.000.000,00 pela área + R$ 100.000,00 em 41 cabeças de gado. R$ 1.100.000,00 à vista + R$ 1.000.000,00 em jun/2019.</t>
        </is>
      </c>
    </row>
    <row r="7">
      <c r="A7" s="4" t="inlineStr">
        <is>
          <t>Cotiporã - parte do lote rural 24 e 24/E (Mat. 2.424 e 2.425) - Sr. Angeli</t>
        </is>
      </c>
      <c r="B7" s="4" t="n">
        <v>2018</v>
      </c>
      <c r="C7" s="13" t="n">
        <v>10.2</v>
      </c>
      <c r="D7" s="5" t="n">
        <v>50000</v>
      </c>
      <c r="E7" s="5" t="n">
        <v>510000</v>
      </c>
      <c r="F7" s="4" t="inlineStr">
        <is>
          <t>À vista. Adquirida de Celito Pierozan. CCIR 2.481.949-2.</t>
        </is>
      </c>
    </row>
    <row r="8">
      <c r="A8" s="10" t="inlineStr">
        <is>
          <t>Total recebido das áreas vendidas</t>
        </is>
      </c>
      <c r="B8" s="10" t="n"/>
      <c r="C8" s="20">
        <f>SUM(C5:C7)</f>
        <v/>
      </c>
      <c r="D8" s="10" t="n"/>
      <c r="E8" s="11">
        <f>SUM(E5:E7)</f>
        <v/>
      </c>
      <c r="F8" s="10" t="n"/>
    </row>
    <row r="9">
      <c r="A9" s="4" t="inlineStr">
        <is>
          <t>Total declarado no documento</t>
        </is>
      </c>
      <c r="B9" s="4" t="n"/>
      <c r="C9" s="4" t="n"/>
      <c r="D9" s="4" t="n"/>
      <c r="E9" s="5" t="n">
        <v>12058000</v>
      </c>
      <c r="F9" s="4" t="n"/>
    </row>
    <row r="10">
      <c r="A10" s="4" t="inlineStr">
        <is>
          <t>Diferença</t>
        </is>
      </c>
      <c r="B10" s="4" t="n"/>
      <c r="C10" s="4" t="n"/>
      <c r="D10" s="4" t="n"/>
      <c r="E10" s="7">
        <f>E8-E9</f>
        <v/>
      </c>
      <c r="F10" s="4" t="n"/>
    </row>
    <row r="12">
      <c r="A12" s="12" t="inlineStr">
        <is>
          <t>Créditos em sacas de soja ainda não vendidos (documento deixa o preço em branco)</t>
        </is>
      </c>
    </row>
    <row r="13">
      <c r="A13" s="12" t="inlineStr">
        <is>
          <t>Preço da saca de soja (R$) - preencher:</t>
        </is>
      </c>
      <c r="E13" s="21" t="n"/>
    </row>
    <row r="14">
      <c r="A14" s="3" t="inlineStr">
        <is>
          <t>Crédito</t>
        </is>
      </c>
      <c r="B14" s="3" t="inlineStr"/>
      <c r="C14" s="3" t="inlineStr">
        <is>
          <t>Sacas</t>
        </is>
      </c>
      <c r="D14" s="3" t="inlineStr"/>
      <c r="E14" s="3" t="inlineStr">
        <is>
          <t>Valor (R$)</t>
        </is>
      </c>
      <c r="F14" s="3" t="inlineStr">
        <is>
          <t>Observação</t>
        </is>
      </c>
    </row>
    <row r="15">
      <c r="A15" s="4" t="inlineStr">
        <is>
          <t>Família Rigo - safra maio/2021</t>
        </is>
      </c>
      <c r="B15" s="4" t="n"/>
      <c r="C15" s="22" t="n">
        <v>20150</v>
      </c>
      <c r="D15" s="4" t="n"/>
      <c r="E15" s="7">
        <f>C15*$E$13</f>
        <v/>
      </c>
      <c r="F15" s="4" t="inlineStr">
        <is>
          <t>Vendidas 2.606 sacas em 2024 para aquisição da escavadeira hidráulica.</t>
        </is>
      </c>
    </row>
    <row r="16">
      <c r="A16" s="4" t="inlineStr">
        <is>
          <t>Família Rigo - safra maio/2021 - vendidas em 2024</t>
        </is>
      </c>
      <c r="B16" s="4" t="n"/>
      <c r="C16" s="22" t="n">
        <v>-2606</v>
      </c>
      <c r="D16" s="4" t="n"/>
      <c r="E16" s="7">
        <f>C16*$E$13</f>
        <v/>
      </c>
      <c r="F16" s="4" t="inlineStr"/>
    </row>
    <row r="17">
      <c r="A17" s="4" t="inlineStr">
        <is>
          <t>Família Rigo - safra maio/2022</t>
        </is>
      </c>
      <c r="B17" s="4" t="n"/>
      <c r="C17" s="22" t="n">
        <v>20150</v>
      </c>
      <c r="D17" s="4" t="n"/>
      <c r="E17" s="7">
        <f>C17*$E$13</f>
        <v/>
      </c>
      <c r="F17" s="4" t="inlineStr"/>
    </row>
    <row r="18">
      <c r="A18" s="4" t="inlineStr">
        <is>
          <t>Família Lorenzetti - 2021 (Hotel/Oleoplan)</t>
        </is>
      </c>
      <c r="B18" s="4" t="n"/>
      <c r="C18" s="22" t="n">
        <v>2606</v>
      </c>
      <c r="D18" s="4" t="n"/>
      <c r="E18" s="7">
        <f>C18*$E$13</f>
        <v/>
      </c>
      <c r="F18" s="4" t="inlineStr"/>
    </row>
    <row r="19">
      <c r="A19" s="4" t="inlineStr">
        <is>
          <t>Família Lorenzetti - 2022 (Hotel/Oleoplan)</t>
        </is>
      </c>
      <c r="B19" s="4" t="n"/>
      <c r="C19" s="22" t="n">
        <v>3206</v>
      </c>
      <c r="D19" s="4" t="n"/>
      <c r="E19" s="7">
        <f>C19*$E$13</f>
        <v/>
      </c>
      <c r="F19" s="4" t="inlineStr"/>
    </row>
    <row r="20">
      <c r="A20" s="4" t="inlineStr">
        <is>
          <t>Família Lorenzetti - 2023 (Hotel/Oleoplan)</t>
        </is>
      </c>
      <c r="B20" s="4" t="n"/>
      <c r="C20" s="22" t="n">
        <v>3591</v>
      </c>
      <c r="D20" s="4" t="n"/>
      <c r="E20" s="7">
        <f>C20*$E$13</f>
        <v/>
      </c>
      <c r="F20" s="4" t="inlineStr"/>
    </row>
    <row r="21">
      <c r="A21" s="4" t="inlineStr">
        <is>
          <t>Família Lorenzetti - 2024 (Agropecuária/Oleoplan)</t>
        </is>
      </c>
      <c r="B21" s="4" t="n"/>
      <c r="C21" s="22" t="n">
        <v>3682</v>
      </c>
      <c r="D21" s="4" t="n"/>
      <c r="E21" s="7">
        <f>C21*$E$13</f>
        <v/>
      </c>
      <c r="F21" s="4" t="inlineStr"/>
    </row>
    <row r="22">
      <c r="A22" s="10" t="inlineStr">
        <is>
          <t>Total de sacas a receber / vender</t>
        </is>
      </c>
      <c r="B22" s="10" t="n"/>
      <c r="C22" s="23">
        <f>SUM(C15:C21)</f>
        <v/>
      </c>
      <c r="D22" s="10" t="n"/>
      <c r="E22" s="11">
        <f>SUM(E15:E21)</f>
        <v/>
      </c>
      <c r="F22" s="10" t="inlineStr">
        <is>
          <t>Documento: Rigo 37.694 sacas + Lorenzetti 13.085 sacas = 50.779 sacas.</t>
        </is>
      </c>
    </row>
    <row r="24">
      <c r="A24" s="12" t="inlineStr">
        <is>
          <t>Arrendamento à Família Lorenzetti (02/05/2023 a 30/04/2026) - receita anual em produto</t>
        </is>
      </c>
    </row>
    <row r="25">
      <c r="A25" s="3" t="inlineStr">
        <is>
          <t>Área arrendada</t>
        </is>
      </c>
      <c r="B25" s="3" t="inlineStr"/>
      <c r="C25" s="3" t="inlineStr">
        <is>
          <t>Área (ha)</t>
        </is>
      </c>
      <c r="D25" s="3" t="inlineStr">
        <is>
          <t>Produto / ano</t>
        </is>
      </c>
      <c r="E25" s="3" t="inlineStr"/>
      <c r="F25" s="3" t="inlineStr">
        <is>
          <t>Observação</t>
        </is>
      </c>
    </row>
    <row r="26">
      <c r="A26" s="4" t="inlineStr">
        <is>
          <t>a) Lavoura - 18 sacas de soja/ha</t>
        </is>
      </c>
      <c r="B26" s="4" t="n"/>
      <c r="C26" s="13" t="n">
        <v>155</v>
      </c>
      <c r="D26" s="4" t="inlineStr">
        <is>
          <t>2.790 sacas de soja</t>
        </is>
      </c>
      <c r="E26" s="4" t="n"/>
      <c r="F26" s="4" t="inlineStr"/>
    </row>
    <row r="27">
      <c r="A27" s="4" t="inlineStr">
        <is>
          <t>b) Batata - 30 sacas de soja/ha</t>
        </is>
      </c>
      <c r="B27" s="4" t="n"/>
      <c r="C27" s="13" t="n">
        <v>30</v>
      </c>
      <c r="D27" s="4" t="inlineStr">
        <is>
          <t>900 sacas de soja</t>
        </is>
      </c>
      <c r="E27" s="4" t="n"/>
      <c r="F27" s="4" t="inlineStr"/>
    </row>
    <row r="28">
      <c r="A28" s="4" t="inlineStr">
        <is>
          <t>c) Campo nativo para bovinos</t>
        </is>
      </c>
      <c r="B28" s="4" t="n"/>
      <c r="C28" s="13" t="n">
        <v>157.5</v>
      </c>
      <c r="D28" s="4" t="inlineStr">
        <is>
          <t>3.000 kg de boi por 100 ha</t>
        </is>
      </c>
      <c r="E28" s="4" t="n"/>
      <c r="F28" s="4" t="inlineStr">
        <is>
          <t>Pago em dezembro, ao preço da época.</t>
        </is>
      </c>
    </row>
    <row r="29">
      <c r="A29" s="4" t="inlineStr">
        <is>
          <t>d) Matos, capões e pedras - sem pagamento</t>
        </is>
      </c>
      <c r="B29" s="4" t="n"/>
      <c r="C29" s="13" t="n">
        <v>68.90000000000001</v>
      </c>
      <c r="D29" s="4" t="inlineStr">
        <is>
          <t>-</t>
        </is>
      </c>
      <c r="E29" s="4" t="n"/>
      <c r="F29" s="4" t="inlineStr"/>
    </row>
    <row r="30">
      <c r="A30" s="10" t="inlineStr">
        <is>
          <t>Total</t>
        </is>
      </c>
      <c r="B30" s="10" t="n"/>
      <c r="C30" s="20">
        <f>SUM(C26:C29)</f>
        <v/>
      </c>
      <c r="D30" s="10" t="n"/>
      <c r="E30" s="10" t="n"/>
      <c r="F30" s="10" t="inlineStr">
        <is>
          <t>Documento: área total de 411,4 ha.</t>
        </is>
      </c>
    </row>
    <row r="32">
      <c r="A32" s="12" t="inlineStr">
        <is>
          <t>Áreas contratadas pela Siviero Empreendimentos Imobiliários para urbanização - sem obras e sem valor atribuído</t>
        </is>
      </c>
    </row>
    <row r="33">
      <c r="A33" s="3" t="inlineStr">
        <is>
          <t>Loteamento</t>
        </is>
      </c>
      <c r="B33" s="3" t="inlineStr">
        <is>
          <t>Nº</t>
        </is>
      </c>
      <c r="C33" s="3" t="n"/>
      <c r="D33" s="3" t="inlineStr">
        <is>
          <t>Cidade</t>
        </is>
      </c>
      <c r="E33" s="3" t="inlineStr">
        <is>
          <t>Valor (R$)</t>
        </is>
      </c>
      <c r="F33" s="3" t="inlineStr">
        <is>
          <t>Observação</t>
        </is>
      </c>
    </row>
    <row r="34">
      <c r="A34" s="4" t="inlineStr">
        <is>
          <t>Loteamento Alto das Graças II</t>
        </is>
      </c>
      <c r="B34" s="4" t="inlineStr">
        <is>
          <t>01</t>
        </is>
      </c>
      <c r="C34" s="13" t="n"/>
      <c r="D34" s="4" t="inlineStr">
        <is>
          <t>Caxias do Sul</t>
        </is>
      </c>
      <c r="E34" s="4" t="n"/>
      <c r="F34" s="4" t="inlineStr">
        <is>
          <t>Documento: áreas contratadas para urbanização, sem obras e ainda em estudo de viabilidade ambiental, e/ou com obras em execução com saldo zero e possíveis prejuízos a apurar na conclusão do empreendimento. Sem valor no documento.</t>
        </is>
      </c>
    </row>
    <row r="35">
      <c r="A35" s="4" t="inlineStr">
        <is>
          <t>Loteamento Santa Corona III</t>
        </is>
      </c>
      <c r="B35" s="4" t="inlineStr">
        <is>
          <t>02</t>
        </is>
      </c>
      <c r="C35" s="13" t="n"/>
      <c r="D35" s="4" t="inlineStr">
        <is>
          <t>Caxias do Sul</t>
        </is>
      </c>
      <c r="E35" s="4" t="n"/>
      <c r="F35" s="4" t="n"/>
    </row>
    <row r="36">
      <c r="A36" s="4" t="inlineStr">
        <is>
          <t>Condomínio Morada dos Ipês II</t>
        </is>
      </c>
      <c r="B36" s="4" t="inlineStr">
        <is>
          <t>03</t>
        </is>
      </c>
      <c r="C36" s="13" t="n"/>
      <c r="D36" s="4" t="inlineStr">
        <is>
          <t>Passo Fundo</t>
        </is>
      </c>
      <c r="E36" s="4" t="n"/>
      <c r="F36" s="4" t="n"/>
    </row>
    <row r="37">
      <c r="A37" s="4" t="inlineStr">
        <is>
          <t>Loteamento da Congregação das Irmãos de São Carlos (grafia do documento)</t>
        </is>
      </c>
      <c r="B37" s="4" t="inlineStr">
        <is>
          <t>04</t>
        </is>
      </c>
      <c r="C37" s="13" t="n"/>
      <c r="D37" s="4" t="inlineStr">
        <is>
          <t>Passo Fundo</t>
        </is>
      </c>
      <c r="E37" s="4" t="n"/>
      <c r="F37" s="4" t="n"/>
    </row>
    <row r="38">
      <c r="A38" s="4" t="inlineStr">
        <is>
          <t>Loteamento Bella Visione</t>
        </is>
      </c>
      <c r="B38" s="4" t="inlineStr">
        <is>
          <t>05</t>
        </is>
      </c>
      <c r="C38" s="13" t="n"/>
      <c r="D38" s="4" t="inlineStr">
        <is>
          <t>Nova Prata</t>
        </is>
      </c>
      <c r="E38" s="4" t="n"/>
      <c r="F38" s="4" t="n"/>
    </row>
    <row r="39">
      <c r="A39" s="4" t="inlineStr">
        <is>
          <t>Loteamento Bonetto</t>
        </is>
      </c>
      <c r="B39" s="4" t="inlineStr">
        <is>
          <t>06</t>
        </is>
      </c>
      <c r="C39" s="13" t="n"/>
      <c r="D39" s="4" t="inlineStr">
        <is>
          <t>Farroupilha</t>
        </is>
      </c>
      <c r="E39" s="4" t="n"/>
      <c r="F39" s="4" t="n"/>
    </row>
    <row r="40">
      <c r="A40" s="4" t="inlineStr">
        <is>
          <t>Loteamento Pascoal</t>
        </is>
      </c>
      <c r="B40" s="4" t="inlineStr">
        <is>
          <t>07</t>
        </is>
      </c>
      <c r="C40" s="13" t="n"/>
      <c r="D40" s="4" t="inlineStr">
        <is>
          <t>Farroupilha</t>
        </is>
      </c>
      <c r="E40" s="4" t="n"/>
      <c r="F40" s="4" t="n"/>
    </row>
    <row r="41">
      <c r="A41" s="4" t="inlineStr">
        <is>
          <t>Loteamento Letti</t>
        </is>
      </c>
      <c r="B41" s="4" t="inlineStr">
        <is>
          <t>08</t>
        </is>
      </c>
      <c r="C41" s="13" t="n"/>
      <c r="D41" s="4" t="inlineStr">
        <is>
          <t>Farroupilha</t>
        </is>
      </c>
      <c r="E41" s="4" t="n"/>
      <c r="F41" s="4" t="n"/>
    </row>
    <row r="42">
      <c r="A42" s="4" t="inlineStr">
        <is>
          <t>Loteamento Colombo</t>
        </is>
      </c>
      <c r="B42" s="4" t="inlineStr">
        <is>
          <t>09</t>
        </is>
      </c>
      <c r="C42" s="13" t="n"/>
      <c r="D42" s="4" t="inlineStr">
        <is>
          <t>Farroupilha</t>
        </is>
      </c>
      <c r="E42" s="4" t="n"/>
      <c r="F42" s="4" t="n"/>
    </row>
    <row r="43">
      <c r="A43" s="4" t="inlineStr">
        <is>
          <t>Loteamento Champagnat</t>
        </is>
      </c>
      <c r="B43" s="4" t="inlineStr">
        <is>
          <t>10</t>
        </is>
      </c>
      <c r="C43" s="13" t="n"/>
      <c r="D43" s="4" t="inlineStr">
        <is>
          <t>Veranópolis</t>
        </is>
      </c>
      <c r="E43" s="4" t="n"/>
      <c r="F43" s="4" t="n"/>
    </row>
    <row r="44">
      <c r="A44" s="4" t="inlineStr">
        <is>
          <t>Loteamento Simioni</t>
        </is>
      </c>
      <c r="B44" s="4" t="inlineStr">
        <is>
          <t>11</t>
        </is>
      </c>
      <c r="C44" s="13" t="n"/>
      <c r="D44" s="4" t="inlineStr">
        <is>
          <t>Veranópolis</t>
        </is>
      </c>
      <c r="E44" s="4" t="n"/>
      <c r="F44" s="4" t="n"/>
    </row>
    <row r="45">
      <c r="A45" s="4" t="inlineStr">
        <is>
          <t>Loteamento Sol Nascente</t>
        </is>
      </c>
      <c r="B45" s="4" t="inlineStr">
        <is>
          <t>12</t>
        </is>
      </c>
      <c r="C45" s="13" t="n"/>
      <c r="D45" s="4" t="inlineStr">
        <is>
          <t>Antônio Prado</t>
        </is>
      </c>
      <c r="E45" s="4" t="n"/>
      <c r="F45" s="4" t="n"/>
    </row>
    <row r="46">
      <c r="A46" s="10" t="inlineStr">
        <is>
          <t>Total</t>
        </is>
      </c>
      <c r="B46" s="10">
        <f>COUNTA(B34:B45)</f>
        <v/>
      </c>
      <c r="C46" s="20" t="n"/>
      <c r="D46" s="10" t="n"/>
      <c r="E46" s="10">
        <f>SUM(E34:E45)</f>
        <v/>
      </c>
      <c r="F46" s="10" t="inlineStr">
        <is>
          <t>Documento: 12 áreas, nenhuma com valor atribuído.</t>
        </is>
      </c>
    </row>
    <row r="48">
      <c r="A48" s="2" t="inlineStr">
        <is>
          <t>Fonte: segunda parte do mesmo .docx (Siviero Empreendimentos Imobiliários Ltda., CNPJ 89.472.195/0001-86). Lista informativa; não entra nos totais de bens avaliados.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8" customWidth="1" min="3" max="3"/>
    <col width="20" customWidth="1" min="4" max="4"/>
    <col width="20" customWidth="1" min="5" max="5"/>
    <col width="80" customWidth="1" min="6" max="6"/>
  </cols>
  <sheetData>
    <row r="1">
      <c r="A1" s="1" t="inlineStr">
        <is>
          <t>Acertos com terceiros (comissões, distratos, acordos judiciais, devoluções)</t>
        </is>
      </c>
    </row>
    <row r="2">
      <c r="A2" s="2" t="inlineStr">
        <is>
          <t>Fonte: ACERTOS E ACORDOS.pdf, páginas 1-3. As páginas não identificam a empresa. Lotes valorados conforme o 'Resumo dos acordos' do documento.</t>
        </is>
      </c>
    </row>
    <row r="4">
      <c r="A4" s="3" t="inlineStr">
        <is>
          <t>Nº</t>
        </is>
      </c>
      <c r="B4" s="3" t="inlineStr">
        <is>
          <t>Credor / parte</t>
        </is>
      </c>
      <c r="C4" s="3" t="inlineStr">
        <is>
          <t>Lotes</t>
        </is>
      </c>
      <c r="D4" s="3" t="inlineStr">
        <is>
          <t>Valor em dinheiro (R$)</t>
        </is>
      </c>
      <c r="E4" s="3" t="inlineStr">
        <is>
          <t>Valor atribuído a lote (R$)</t>
        </is>
      </c>
      <c r="F4" s="3" t="inlineStr">
        <is>
          <t>Descrição</t>
        </is>
      </c>
    </row>
    <row r="5">
      <c r="A5" s="4" t="n">
        <v>1</v>
      </c>
      <c r="B5" s="4" t="inlineStr">
        <is>
          <t>Valdir Angest</t>
        </is>
      </c>
      <c r="C5" s="24" t="n">
        <v>1</v>
      </c>
      <c r="D5" s="5" t="n"/>
      <c r="E5" s="5" t="n"/>
      <c r="F5" s="4" t="inlineStr">
        <is>
          <t>01 lote (05/6372 - Altos das Graças).</t>
        </is>
      </c>
    </row>
    <row r="6">
      <c r="A6" s="4" t="n">
        <v>2</v>
      </c>
      <c r="B6" s="4" t="inlineStr">
        <is>
          <t>Valdir Angest</t>
        </is>
      </c>
      <c r="C6" s="24" t="n"/>
      <c r="D6" s="5" t="n">
        <v>270000</v>
      </c>
      <c r="E6" s="5" t="n"/>
      <c r="F6" s="4" t="inlineStr">
        <is>
          <t>Pago em dinheiro.</t>
        </is>
      </c>
    </row>
    <row r="7">
      <c r="A7" s="4" t="n">
        <v>3</v>
      </c>
      <c r="B7" s="4" t="inlineStr">
        <is>
          <t>Alexandre Susin</t>
        </is>
      </c>
      <c r="C7" s="24" t="n">
        <v>7</v>
      </c>
      <c r="D7" s="5" t="n"/>
      <c r="E7" s="5" t="n"/>
      <c r="F7" s="4" t="inlineStr">
        <is>
          <t>07 lotes em um acordo.</t>
        </is>
      </c>
    </row>
    <row r="8">
      <c r="A8" s="4" t="n">
        <v>4</v>
      </c>
      <c r="B8" s="4" t="inlineStr">
        <is>
          <t>Alexandre Susin</t>
        </is>
      </c>
      <c r="C8" s="24" t="n">
        <v>17</v>
      </c>
      <c r="D8" s="5" t="n"/>
      <c r="E8" s="5" t="n"/>
      <c r="F8" s="4" t="inlineStr">
        <is>
          <t>17 lotes em um acordo.</t>
        </is>
      </c>
    </row>
    <row r="9">
      <c r="A9" s="4" t="n">
        <v>5</v>
      </c>
      <c r="B9" s="4" t="inlineStr">
        <is>
          <t>Alexandre Susin</t>
        </is>
      </c>
      <c r="C9" s="24" t="n"/>
      <c r="D9" s="5" t="n">
        <v>200000</v>
      </c>
      <c r="E9" s="5" t="n"/>
      <c r="F9" s="4" t="inlineStr">
        <is>
          <t>Pago em dinheiro.</t>
        </is>
      </c>
    </row>
    <row r="10">
      <c r="A10" s="4" t="n">
        <v>6</v>
      </c>
      <c r="B10" s="4" t="inlineStr">
        <is>
          <t>Ambitec</t>
        </is>
      </c>
      <c r="C10" s="24" t="n">
        <v>11</v>
      </c>
      <c r="D10" s="5" t="n"/>
      <c r="E10" s="5" t="n"/>
      <c r="F10" s="4" t="inlineStr">
        <is>
          <t>11 lotes em acordo.</t>
        </is>
      </c>
    </row>
    <row r="11">
      <c r="A11" s="4" t="n">
        <v>7</v>
      </c>
      <c r="B11" s="4" t="inlineStr">
        <is>
          <t>Ambitec</t>
        </is>
      </c>
      <c r="C11" s="24" t="n"/>
      <c r="D11" s="5" t="n">
        <v>15000</v>
      </c>
      <c r="E11" s="5" t="n"/>
      <c r="F11" s="4" t="inlineStr">
        <is>
          <t>Pago em dinheiro.</t>
        </is>
      </c>
    </row>
    <row r="12">
      <c r="A12" s="4" t="n">
        <v>8</v>
      </c>
      <c r="B12" s="4" t="inlineStr">
        <is>
          <t>Família Farina</t>
        </is>
      </c>
      <c r="C12" s="24" t="n">
        <v>17</v>
      </c>
      <c r="D12" s="5" t="n"/>
      <c r="E12" s="5" t="n"/>
      <c r="F12" s="4" t="inlineStr">
        <is>
          <t>17 lotes - acordo judicial.</t>
        </is>
      </c>
    </row>
    <row r="13">
      <c r="A13" s="4" t="n">
        <v>9</v>
      </c>
      <c r="B13" s="4" t="inlineStr">
        <is>
          <t>Família Farina</t>
        </is>
      </c>
      <c r="C13" s="24" t="n">
        <v>1</v>
      </c>
      <c r="D13" s="5" t="n"/>
      <c r="E13" s="5" t="n">
        <v>830000</v>
      </c>
      <c r="F13" s="4" t="inlineStr">
        <is>
          <t>01 lote de R$ 830.000,00 (honorários). Novo acordo trocou este lote (Lot. Industrial Vicentino) por 04 lotes em Farroupilha.</t>
        </is>
      </c>
    </row>
    <row r="14">
      <c r="A14" s="4" t="n">
        <v>10</v>
      </c>
      <c r="B14" s="4" t="inlineStr">
        <is>
          <t>Família Farina</t>
        </is>
      </c>
      <c r="C14" s="24" t="n"/>
      <c r="D14" s="5" t="n">
        <v>220000</v>
      </c>
      <c r="E14" s="5" t="n"/>
      <c r="F14" s="4" t="inlineStr">
        <is>
          <t>Honorários advocatícios - pago em dinheiro.</t>
        </is>
      </c>
    </row>
    <row r="15">
      <c r="A15" s="4" t="n">
        <v>11</v>
      </c>
      <c r="B15" s="4" t="inlineStr">
        <is>
          <t>Alceones Salvador</t>
        </is>
      </c>
      <c r="C15" s="24" t="n">
        <v>4</v>
      </c>
      <c r="D15" s="5" t="n"/>
      <c r="E15" s="5" t="n"/>
      <c r="F15" s="4" t="inlineStr">
        <is>
          <t>04 lotes em acordo.</t>
        </is>
      </c>
    </row>
    <row r="16">
      <c r="A16" s="4" t="n">
        <v>12</v>
      </c>
      <c r="B16" s="4" t="inlineStr">
        <is>
          <t>Telmo Fantinel</t>
        </is>
      </c>
      <c r="C16" s="24" t="n">
        <v>1</v>
      </c>
      <c r="D16" s="5" t="n"/>
      <c r="E16" s="5" t="n"/>
      <c r="F16" s="4" t="inlineStr">
        <is>
          <t>01 lote em acordo - Loteamento Monte Vêneto.</t>
        </is>
      </c>
    </row>
    <row r="17">
      <c r="A17" s="4" t="n">
        <v>13</v>
      </c>
      <c r="B17" s="4" t="inlineStr">
        <is>
          <t>Fochesato - Caxias do Sul</t>
        </is>
      </c>
      <c r="C17" s="24" t="n">
        <v>4</v>
      </c>
      <c r="D17" s="5" t="n"/>
      <c r="E17" s="5" t="n"/>
      <c r="F17" s="4" t="inlineStr">
        <is>
          <t>04 lotes em acordo, referente a lotes negociados no Loteamento Zanandréa.</t>
        </is>
      </c>
    </row>
    <row r="18">
      <c r="A18" s="4" t="n">
        <v>14</v>
      </c>
      <c r="B18" s="4" t="inlineStr">
        <is>
          <t>Via Nova - Boschetti + Sandro + Rafael</t>
        </is>
      </c>
      <c r="C18" s="24" t="n">
        <v>9</v>
      </c>
      <c r="D18" s="5" t="n"/>
      <c r="E18" s="5" t="n"/>
      <c r="F18" s="4" t="inlineStr">
        <is>
          <t>09 lotes em acordo.</t>
        </is>
      </c>
    </row>
    <row r="19">
      <c r="A19" s="4" t="n">
        <v>15</v>
      </c>
      <c r="B19" s="4" t="inlineStr">
        <is>
          <t>Via Nova - Boschetti + Sandro + Rafael</t>
        </is>
      </c>
      <c r="C19" s="24" t="n"/>
      <c r="D19" s="5" t="n">
        <v>90000</v>
      </c>
      <c r="E19" s="5" t="n"/>
      <c r="F19" s="4" t="inlineStr">
        <is>
          <t>Pago em dinheiro.</t>
        </is>
      </c>
    </row>
    <row r="20">
      <c r="A20" s="4" t="n">
        <v>16</v>
      </c>
      <c r="B20" s="4" t="inlineStr">
        <is>
          <t>Flávia Mânica Siviero</t>
        </is>
      </c>
      <c r="C20" s="24" t="n"/>
      <c r="D20" s="5" t="n">
        <v>500000</v>
      </c>
      <c r="E20" s="5" t="n"/>
      <c r="F20" s="4" t="inlineStr">
        <is>
          <t>Acordo sendo pago em dinheiro - 24/50 parcelas.</t>
        </is>
      </c>
    </row>
    <row r="21">
      <c r="A21" s="4" t="n">
        <v>17</v>
      </c>
      <c r="B21" s="4" t="inlineStr">
        <is>
          <t>Verona - Farroupilha</t>
        </is>
      </c>
      <c r="C21" s="24" t="n">
        <v>2</v>
      </c>
      <c r="D21" s="5" t="n"/>
      <c r="E21" s="5" t="n"/>
      <c r="F21" s="4" t="inlineStr">
        <is>
          <t>02 lotes (01 San Marino + 01 Altos da Julieta).</t>
        </is>
      </c>
    </row>
    <row r="22">
      <c r="A22" s="4" t="n">
        <v>18</v>
      </c>
      <c r="B22" s="4" t="inlineStr">
        <is>
          <t>Celestino Rossi</t>
        </is>
      </c>
      <c r="C22" s="24" t="n"/>
      <c r="D22" s="5" t="n"/>
      <c r="E22" s="5" t="n"/>
      <c r="F22" s="4" t="inlineStr">
        <is>
          <t>A acertar os honorários (sem valor).</t>
        </is>
      </c>
    </row>
    <row r="23">
      <c r="A23" s="4" t="n">
        <v>19</v>
      </c>
      <c r="B23" s="4" t="inlineStr">
        <is>
          <t>Antônio Ansolin</t>
        </is>
      </c>
      <c r="C23" s="24" t="n"/>
      <c r="D23" s="5" t="n">
        <v>55000</v>
      </c>
      <c r="E23" s="5" t="n"/>
      <c r="F23" s="4" t="inlineStr">
        <is>
          <t>Compra de 06 lotes.</t>
        </is>
      </c>
    </row>
    <row r="24">
      <c r="A24" s="4" t="n">
        <v>20</v>
      </c>
      <c r="B24" s="4" t="inlineStr">
        <is>
          <t>Antônio Ansolin</t>
        </is>
      </c>
      <c r="C24" s="24" t="n"/>
      <c r="D24" s="5" t="n">
        <v>156666</v>
      </c>
      <c r="E24" s="5" t="n"/>
      <c r="F24" s="4" t="inlineStr">
        <is>
          <t>Em dinheiro, referente à compra de 7,0 ha.</t>
        </is>
      </c>
    </row>
    <row r="25">
      <c r="A25" s="4" t="n">
        <v>21</v>
      </c>
      <c r="B25" s="4" t="inlineStr">
        <is>
          <t>Antônio Ansolin</t>
        </is>
      </c>
      <c r="C25" s="24" t="n">
        <v>1</v>
      </c>
      <c r="D25" s="5" t="n"/>
      <c r="E25" s="5" t="n">
        <v>375000</v>
      </c>
      <c r="F25" s="4" t="inlineStr">
        <is>
          <t>01 lote no Loteamento Industrial Pedra Lisa, referente à compra de 7,0 ha.</t>
        </is>
      </c>
    </row>
    <row r="26">
      <c r="A26" s="4" t="n">
        <v>22</v>
      </c>
      <c r="B26" s="4" t="inlineStr">
        <is>
          <t>Lori Fioreze</t>
        </is>
      </c>
      <c r="C26" s="24" t="n"/>
      <c r="D26" s="5" t="n">
        <v>120000</v>
      </c>
      <c r="E26" s="5" t="n"/>
      <c r="F26" s="4" t="inlineStr">
        <is>
          <t>Compra de 02 lotes.</t>
        </is>
      </c>
    </row>
    <row r="27">
      <c r="A27" s="4" t="n">
        <v>23</v>
      </c>
      <c r="B27" s="4" t="inlineStr">
        <is>
          <t>Ezequiel Fioreze</t>
        </is>
      </c>
      <c r="C27" s="24" t="n"/>
      <c r="D27" s="5" t="n">
        <v>170000</v>
      </c>
      <c r="E27" s="5" t="n"/>
      <c r="F27" s="4" t="inlineStr">
        <is>
          <t>Compra de 01 ha, que está sendo pago.</t>
        </is>
      </c>
    </row>
    <row r="28">
      <c r="A28" s="4" t="n">
        <v>24</v>
      </c>
      <c r="B28" s="4" t="inlineStr">
        <is>
          <t>Cândido Fioreze</t>
        </is>
      </c>
      <c r="C28" s="24" t="n"/>
      <c r="D28" s="5" t="n">
        <v>120000</v>
      </c>
      <c r="E28" s="5" t="n"/>
      <c r="F28" s="4" t="inlineStr">
        <is>
          <t>Compra de 02 lotes.</t>
        </is>
      </c>
    </row>
    <row r="29">
      <c r="A29" s="4" t="n">
        <v>25</v>
      </c>
      <c r="B29" s="4" t="inlineStr">
        <is>
          <t>Asdrubal Antoniazzi - Colunata</t>
        </is>
      </c>
      <c r="C29" s="24" t="n">
        <v>3</v>
      </c>
      <c r="D29" s="5" t="n"/>
      <c r="E29" s="5" t="n"/>
      <c r="F29" s="4" t="inlineStr">
        <is>
          <t>01 lote no Vale das Colinas + 02 lotes no Basso.</t>
        </is>
      </c>
    </row>
    <row r="30">
      <c r="A30" s="4" t="n">
        <v>26</v>
      </c>
      <c r="B30" s="4" t="inlineStr">
        <is>
          <t>Rodrigo Razera - Susin</t>
        </is>
      </c>
      <c r="C30" s="24" t="n">
        <v>1</v>
      </c>
      <c r="D30" s="5" t="n"/>
      <c r="E30" s="5" t="n"/>
      <c r="F30" s="4" t="inlineStr">
        <is>
          <t>01 lote em Farroupilha - Viero.</t>
        </is>
      </c>
    </row>
    <row r="31">
      <c r="A31" s="4" t="n">
        <v>27</v>
      </c>
      <c r="B31" s="4" t="inlineStr">
        <is>
          <t>Inês Colombo</t>
        </is>
      </c>
      <c r="C31" s="24" t="n">
        <v>2</v>
      </c>
      <c r="D31" s="5" t="n"/>
      <c r="E31" s="5" t="n"/>
      <c r="F31" s="4" t="inlineStr">
        <is>
          <t>02 lotes no Altos da Julieta - multa por rescisão de contrato.</t>
        </is>
      </c>
    </row>
    <row r="32">
      <c r="A32" s="4" t="n">
        <v>28</v>
      </c>
      <c r="B32" s="4" t="inlineStr">
        <is>
          <t>Edoardo Bovo - Farroupilha</t>
        </is>
      </c>
      <c r="C32" s="24" t="n"/>
      <c r="D32" s="5" t="n">
        <v>120000</v>
      </c>
      <c r="E32" s="5" t="n"/>
      <c r="F32" s="4" t="inlineStr">
        <is>
          <t>Acordo judicial.</t>
        </is>
      </c>
    </row>
    <row r="33">
      <c r="A33" s="4" t="n">
        <v>29</v>
      </c>
      <c r="B33" s="4" t="inlineStr">
        <is>
          <t>Família Acordi - Farroupilha - TAC Ministério Público</t>
        </is>
      </c>
      <c r="C33" s="24" t="n"/>
      <c r="D33" s="5" t="n">
        <v>88457.52</v>
      </c>
      <c r="E33" s="5" t="n"/>
      <c r="F33" s="4" t="inlineStr">
        <is>
          <t>Multa de +/- R$ 1.200.000,00 acordada nas 3 parcelas do item 29.</t>
        </is>
      </c>
    </row>
    <row r="34">
      <c r="A34" s="4" t="n">
        <v>29</v>
      </c>
      <c r="B34" s="4" t="inlineStr">
        <is>
          <t>Família Acordi - Farroupilha - multa na Prefeitura</t>
        </is>
      </c>
      <c r="C34" s="24" t="n"/>
      <c r="D34" s="5" t="n">
        <v>61920.3</v>
      </c>
      <c r="E34" s="5" t="n"/>
      <c r="F34" s="4" t="inlineStr"/>
    </row>
    <row r="35">
      <c r="A35" s="4" t="n">
        <v>29</v>
      </c>
      <c r="B35" s="4" t="inlineStr">
        <is>
          <t>Família Acordi - Farroupilha - acerto com o Município</t>
        </is>
      </c>
      <c r="C35" s="24" t="n"/>
      <c r="D35" s="5" t="n">
        <v>130000</v>
      </c>
      <c r="E35" s="5" t="n"/>
      <c r="F35" s="4" t="inlineStr"/>
    </row>
    <row r="36">
      <c r="A36" s="4" t="n">
        <v>30</v>
      </c>
      <c r="B36" s="4" t="inlineStr">
        <is>
          <t>Família Basso - dívida na Prefeitura de Caxias do Sul</t>
        </is>
      </c>
      <c r="C36" s="24" t="n"/>
      <c r="D36" s="5" t="n">
        <v>156100.41</v>
      </c>
      <c r="E36" s="5" t="n"/>
      <c r="F36" s="4" t="inlineStr">
        <is>
          <t>40 parcelas; pagas 11/40 de R$ 4.473,71.</t>
        </is>
      </c>
    </row>
    <row r="37">
      <c r="A37" s="4" t="n">
        <v>30</v>
      </c>
      <c r="B37" s="4" t="inlineStr">
        <is>
          <t>Família Basso - dívida na Prefeitura de Caxias do Sul</t>
        </is>
      </c>
      <c r="C37" s="24" t="n"/>
      <c r="D37" s="5" t="n">
        <v>69060.32000000001</v>
      </c>
      <c r="E37" s="5" t="n"/>
      <c r="F37" s="4" t="inlineStr">
        <is>
          <t>40 parcelas; pagas 11/40 de R$ 1.971,21.</t>
        </is>
      </c>
    </row>
    <row r="38">
      <c r="A38" s="4" t="n">
        <v>31</v>
      </c>
      <c r="B38" s="4" t="inlineStr">
        <is>
          <t>Família Pedrotti - Casa Fochesatto - Nova Prata</t>
        </is>
      </c>
      <c r="C38" s="24" t="n"/>
      <c r="D38" s="5" t="n">
        <v>270000</v>
      </c>
      <c r="E38" s="5" t="n"/>
      <c r="F38" s="4" t="inlineStr">
        <is>
          <t>R$ 190.000,00 + R$ 80.000,00.</t>
        </is>
      </c>
    </row>
    <row r="39">
      <c r="A39" s="4" t="n">
        <v>32</v>
      </c>
      <c r="B39" s="4" t="inlineStr">
        <is>
          <t>Alan - advogado das famílias do Lot. Monte Vêneto</t>
        </is>
      </c>
      <c r="C39" s="24" t="n">
        <v>1</v>
      </c>
      <c r="D39" s="5" t="n"/>
      <c r="E39" s="5" t="n"/>
      <c r="F39" s="4" t="inlineStr">
        <is>
          <t>01 lote no Loteamento Monte Vêneto - L.11/Q.09.</t>
        </is>
      </c>
    </row>
    <row r="40">
      <c r="A40" s="4" t="n">
        <v>32</v>
      </c>
      <c r="B40" s="4" t="inlineStr">
        <is>
          <t>Alan - advogado das famílias do Lot. Monte Vêneto</t>
        </is>
      </c>
      <c r="C40" s="24" t="n"/>
      <c r="D40" s="5" t="n">
        <v>70000</v>
      </c>
      <c r="E40" s="5" t="n"/>
      <c r="F40" s="4" t="inlineStr">
        <is>
          <t>Pago em dinheiro.</t>
        </is>
      </c>
    </row>
    <row r="41">
      <c r="A41" s="10" t="n"/>
      <c r="B41" s="10" t="inlineStr">
        <is>
          <t>TOTAIS</t>
        </is>
      </c>
      <c r="C41" s="10">
        <f>SUM(C5:C40)</f>
        <v/>
      </c>
      <c r="D41" s="11">
        <f>SUM(D5:D40)</f>
        <v/>
      </c>
      <c r="E41" s="11">
        <f>SUM(E5:E40)</f>
        <v/>
      </c>
      <c r="F41" s="10" t="n"/>
    </row>
    <row r="43">
      <c r="B43" s="12" t="inlineStr">
        <is>
          <t>Resumo dos acordos (conforme documento)</t>
        </is>
      </c>
    </row>
    <row r="44">
      <c r="A44" s="3" t="inlineStr"/>
      <c r="B44" s="3" t="inlineStr">
        <is>
          <t>Componente</t>
        </is>
      </c>
      <c r="C44" s="3" t="inlineStr">
        <is>
          <t>Lotes</t>
        </is>
      </c>
      <c r="D44" s="3" t="inlineStr">
        <is>
          <t>Valor unitário (R$)</t>
        </is>
      </c>
      <c r="E44" s="3" t="inlineStr">
        <is>
          <t>Valor (R$)</t>
        </is>
      </c>
      <c r="F44" s="3" t="inlineStr">
        <is>
          <t>Observação</t>
        </is>
      </c>
    </row>
    <row r="45">
      <c r="A45" s="4" t="n"/>
      <c r="B45" s="4" t="inlineStr">
        <is>
          <t>Lotes sem valor individual</t>
        </is>
      </c>
      <c r="C45" s="4">
        <f>C41-COUNT(E5:E40)</f>
        <v/>
      </c>
      <c r="D45" s="5" t="n">
        <v>100000</v>
      </c>
      <c r="E45" s="7">
        <f>C45*D45</f>
        <v/>
      </c>
      <c r="F45" s="4" t="inlineStr">
        <is>
          <t>Documento: 80 lotes x R$ 100.000,00.</t>
        </is>
      </c>
    </row>
    <row r="46">
      <c r="A46" s="4" t="n"/>
      <c r="B46" s="4" t="inlineStr">
        <is>
          <t>Lote de R$ 830.000,00 (item 9)</t>
        </is>
      </c>
      <c r="C46" s="4" t="n">
        <v>1</v>
      </c>
      <c r="D46" s="5" t="n">
        <v>830000</v>
      </c>
      <c r="E46" s="7">
        <f>C46*D46</f>
        <v/>
      </c>
      <c r="F46" s="4" t="inlineStr"/>
    </row>
    <row r="47">
      <c r="A47" s="4" t="n"/>
      <c r="B47" s="4" t="inlineStr">
        <is>
          <t>Lote de R$ 375.000,00 (item 21)</t>
        </is>
      </c>
      <c r="C47" s="4" t="n">
        <v>1</v>
      </c>
      <c r="D47" s="5" t="n">
        <v>375000</v>
      </c>
      <c r="E47" s="7">
        <f>C47*D47</f>
        <v/>
      </c>
      <c r="F47" s="4" t="inlineStr"/>
    </row>
    <row r="48">
      <c r="A48" s="4" t="n"/>
      <c r="B48" s="4" t="inlineStr">
        <is>
          <t>Em espécie</t>
        </is>
      </c>
      <c r="C48" s="4" t="n"/>
      <c r="D48" s="4" t="n"/>
      <c r="E48" s="7">
        <f>D41</f>
        <v/>
      </c>
      <c r="F48" s="4" t="inlineStr">
        <is>
          <t>Documento: R$ 2.882.204,55.</t>
        </is>
      </c>
    </row>
    <row r="49">
      <c r="A49" s="10" t="n"/>
      <c r="B49" s="10" t="inlineStr">
        <is>
          <t>TOTAL calculado</t>
        </is>
      </c>
      <c r="C49" s="10">
        <f>SUM(C45:C48)</f>
        <v/>
      </c>
      <c r="D49" s="10" t="n"/>
      <c r="E49" s="11">
        <f>SUM(E45:E48)</f>
        <v/>
      </c>
      <c r="F49" s="10" t="n"/>
    </row>
    <row r="50">
      <c r="A50" s="10" t="n"/>
      <c r="B50" s="10" t="inlineStr">
        <is>
          <t>TOTAL declarado no documento</t>
        </is>
      </c>
      <c r="C50" s="10" t="n">
        <v>82</v>
      </c>
      <c r="D50" s="10" t="n"/>
      <c r="E50" s="11" t="n">
        <v>12087204.55</v>
      </c>
      <c r="F50" s="10" t="n"/>
    </row>
    <row r="51">
      <c r="A51" s="10" t="n"/>
      <c r="B51" s="10" t="inlineStr">
        <is>
          <t>Diferença</t>
        </is>
      </c>
      <c r="C51" s="10">
        <f>C49-C50</f>
        <v/>
      </c>
      <c r="D51" s="10" t="n"/>
      <c r="E51" s="11">
        <f>E49-E50</f>
        <v/>
      </c>
      <c r="F51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6" customWidth="1" min="1" max="1"/>
    <col width="56" customWidth="1" min="2" max="2"/>
    <col width="18" customWidth="1" min="3" max="3"/>
    <col width="60" customWidth="1" min="4" max="4"/>
    <col width="18" customWidth="1" min="5" max="5"/>
  </cols>
  <sheetData>
    <row r="1">
      <c r="A1" s="1" t="inlineStr">
        <is>
          <t>Siviero Empreendimentos Imobiliários - contratos com a Família Boff (Caxias do Sul)</t>
        </is>
      </c>
    </row>
    <row r="2">
      <c r="A2" s="2" t="inlineStr">
        <is>
          <t>Fonte: ACERTOS E ACORDOS.pdf, páginas 4-6. Pagamentos e depósitos antecipados pela Siviero para execução do loteamento. Valores nominais, sem correção.</t>
        </is>
      </c>
    </row>
    <row r="4">
      <c r="A4" s="3" t="inlineStr">
        <is>
          <t>Contrato</t>
        </is>
      </c>
      <c r="B4" s="3" t="inlineStr">
        <is>
          <t>Pagamento</t>
        </is>
      </c>
      <c r="C4" s="3" t="inlineStr">
        <is>
          <t>Valor (R$)</t>
        </is>
      </c>
      <c r="D4" s="3" t="inlineStr">
        <is>
          <t>Contrapartida prevista em contrato</t>
        </is>
      </c>
      <c r="E4" s="3" t="inlineStr">
        <is>
          <t>Corrigir a partir de</t>
        </is>
      </c>
    </row>
    <row r="5">
      <c r="A5" s="4" t="inlineStr">
        <is>
          <t>Família Boff (Ludovico Dante Boff)</t>
        </is>
      </c>
      <c r="B5" s="4" t="inlineStr">
        <is>
          <t>Impostos das 3 áreas e adiantamentos (corrigido até mar/2010)</t>
        </is>
      </c>
      <c r="C5" s="5" t="n">
        <v>983724.02</v>
      </c>
      <c r="D5" s="4" t="inlineStr">
        <is>
          <t>05 lotes de frente para a Rodovia (junto com a linha abaixo)</t>
        </is>
      </c>
      <c r="E5" s="4" t="inlineStr">
        <is>
          <t>mar/2010 até 2022</t>
        </is>
      </c>
    </row>
    <row r="6">
      <c r="A6" s="4" t="inlineStr">
        <is>
          <t>Família Boff (Ludovico Dante Boff)</t>
        </is>
      </c>
      <c r="B6" s="4" t="inlineStr">
        <is>
          <t>Adiantamento para despesas do Sr. Ludovico Dante Boff</t>
        </is>
      </c>
      <c r="C6" s="5" t="n">
        <v>140000</v>
      </c>
      <c r="D6" s="4" t="inlineStr">
        <is>
          <t>05 lotes de frente para a Rodovia (total firmado R$ 1.123.724,02)</t>
        </is>
      </c>
      <c r="E6" s="4" t="inlineStr">
        <is>
          <t>mar/2010 até 2022</t>
        </is>
      </c>
    </row>
    <row r="7">
      <c r="A7" s="4" t="inlineStr">
        <is>
          <t>Família Boff (Ludovico Dante Boff)</t>
        </is>
      </c>
      <c r="B7" s="4" t="inlineStr">
        <is>
          <t>Adiantamento para despesas do Sr. Ludovico Dante Boff</t>
        </is>
      </c>
      <c r="C7" s="5" t="n">
        <v>100000</v>
      </c>
      <c r="D7" s="4" t="inlineStr">
        <is>
          <t>01 lote na rua paralela à Rodovia, fundos com a Área Verde</t>
        </is>
      </c>
      <c r="E7" s="4" t="inlineStr">
        <is>
          <t>mar/2010 até 2022</t>
        </is>
      </c>
    </row>
    <row r="8">
      <c r="A8" s="4" t="inlineStr">
        <is>
          <t>Família Boff</t>
        </is>
      </c>
      <c r="B8" s="4" t="inlineStr">
        <is>
          <t>IPTU das 3 áreas do loteamento, 2011 a 2022</t>
        </is>
      </c>
      <c r="C8" s="5" t="n">
        <v>1555898.94</v>
      </c>
      <c r="D8" s="4" t="inlineStr">
        <is>
          <t>- (IPTU de R$ 3,30/m² pela área total)</t>
        </is>
      </c>
      <c r="E8" s="4" t="inlineStr">
        <is>
          <t>2011 até 2022</t>
        </is>
      </c>
    </row>
    <row r="9">
      <c r="A9" s="4" t="inlineStr">
        <is>
          <t>Dorval Francisco Boff</t>
        </is>
      </c>
      <c r="B9" s="4" t="inlineStr">
        <is>
          <t>Ação trabalhista em Gramado (fev/2013)</t>
        </is>
      </c>
      <c r="C9" s="5" t="n">
        <v>221052.27</v>
      </c>
      <c r="D9" s="4" t="inlineStr">
        <is>
          <t>03 lotes na primeira quadra do loteamento (Termo de Divisão)</t>
        </is>
      </c>
      <c r="E9" s="4" t="inlineStr">
        <is>
          <t>fev/2013 até 2022</t>
        </is>
      </c>
    </row>
    <row r="10">
      <c r="A10" s="4" t="inlineStr">
        <is>
          <t>Dorval Francisco Boff</t>
        </is>
      </c>
      <c r="B10" s="4" t="inlineStr">
        <is>
          <t>Compra de 02 lotes (contrato de 03/09/2012)</t>
        </is>
      </c>
      <c r="C10" s="5" t="n">
        <v>165000</v>
      </c>
      <c r="D10" s="4" t="inlineStr">
        <is>
          <t>02 lotes na divisa do colégio</t>
        </is>
      </c>
      <c r="E10" s="4" t="inlineStr">
        <is>
          <t>set/2012 até 2022</t>
        </is>
      </c>
    </row>
    <row r="11">
      <c r="A11" s="4" t="inlineStr">
        <is>
          <t>Odir Marcos Boff</t>
        </is>
      </c>
      <c r="B11" s="4" t="inlineStr">
        <is>
          <t>Compra de 01 lote (contrato de 23/02/2011)</t>
        </is>
      </c>
      <c r="C11" s="5" t="n">
        <v>50000</v>
      </c>
      <c r="D11" s="4" t="inlineStr">
        <is>
          <t>01 lote de 390,00 m² nos fundos da casa do Sr. Odir</t>
        </is>
      </c>
      <c r="E11" s="4" t="inlineStr">
        <is>
          <t>fev/2011 até 2022</t>
        </is>
      </c>
    </row>
    <row r="12">
      <c r="A12" s="4" t="inlineStr">
        <is>
          <t>Odir Marcos Boff</t>
        </is>
      </c>
      <c r="B12" s="4" t="inlineStr">
        <is>
          <t>Compra de 01 lote (contrato de 05/03/2012)</t>
        </is>
      </c>
      <c r="C12" s="5" t="n">
        <v>100000</v>
      </c>
      <c r="D12" s="4" t="inlineStr">
        <is>
          <t>01 lote de 360,00 m² na rua paralela à Rodovia, divisa com a Área Verde</t>
        </is>
      </c>
      <c r="E12" s="4" t="inlineStr">
        <is>
          <t>mar/2012 até 2022</t>
        </is>
      </c>
    </row>
    <row r="13">
      <c r="A13" s="10" t="inlineStr">
        <is>
          <t>Total calculado</t>
        </is>
      </c>
      <c r="B13" s="10" t="n"/>
      <c r="C13" s="11">
        <f>SUM(C5:C12)</f>
        <v/>
      </c>
      <c r="D13" s="10" t="n"/>
      <c r="E13" s="10" t="n"/>
    </row>
    <row r="14">
      <c r="A14" s="10" t="inlineStr">
        <is>
          <t>Total declarado no documento</t>
        </is>
      </c>
      <c r="B14" s="10" t="n"/>
      <c r="C14" s="11" t="n">
        <v>3315675.23</v>
      </c>
      <c r="D14" s="10" t="n"/>
      <c r="E14" s="10" t="n"/>
    </row>
    <row r="15">
      <c r="A15" s="10" t="inlineStr">
        <is>
          <t>Diferença</t>
        </is>
      </c>
      <c r="B15" s="10" t="n"/>
      <c r="C15" s="11">
        <f>C13-C14</f>
        <v/>
      </c>
      <c r="D15" s="10" t="n"/>
      <c r="E15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80" customWidth="1" min="3" max="3"/>
    <col width="18" customWidth="1" min="4" max="4"/>
    <col width="12" customWidth="1" min="5" max="5"/>
    <col width="52" customWidth="1" min="6" max="6"/>
  </cols>
  <sheetData>
    <row r="1">
      <c r="A1" s="1" t="inlineStr">
        <is>
          <t>Passivos, contingências, créditos a receber e reduções estimadas citados nos inventários</t>
        </is>
      </c>
    </row>
    <row r="2">
      <c r="A2" s="2" t="inlineStr">
        <is>
          <t>Valores estimados pelos próprios inventários; não estão deduzidos dos valores da aba 'Ativos'.</t>
        </is>
      </c>
    </row>
    <row r="4">
      <c r="A4" s="3" t="inlineStr">
        <is>
          <t>Empresa</t>
        </is>
      </c>
      <c r="B4" s="3" t="inlineStr">
        <is>
          <t>Tipo</t>
        </is>
      </c>
      <c r="C4" s="3" t="inlineStr">
        <is>
          <t>Descrição</t>
        </is>
      </c>
      <c r="D4" s="3" t="inlineStr">
        <is>
          <t>Valor (R$)</t>
        </is>
      </c>
      <c r="E4" s="3" t="inlineStr">
        <is>
          <t>% sobre o total</t>
        </is>
      </c>
      <c r="F4" s="3" t="inlineStr">
        <is>
          <t>Arquivo</t>
        </is>
      </c>
    </row>
    <row r="5">
      <c r="A5" s="4" t="inlineStr">
        <is>
          <t>06 - Hotel Araçá Ltda.</t>
        </is>
      </c>
      <c r="B5" s="4" t="inlineStr">
        <is>
          <t>Redução estimada</t>
        </is>
      </c>
      <c r="C5" s="4" t="inlineStr">
        <is>
          <t>Regularização do hotel (item 01) - redução estimada de ~4%</t>
        </is>
      </c>
      <c r="D5" s="5" t="n">
        <v>2000000</v>
      </c>
      <c r="E5" s="4" t="n"/>
      <c r="F5" s="4" t="inlineStr">
        <is>
          <t>06. Inventário 31.12.2024 - Hotel Araçá</t>
        </is>
      </c>
    </row>
    <row r="6">
      <c r="A6" s="4" t="inlineStr">
        <is>
          <t>06 - Hotel Araçá Ltda.</t>
        </is>
      </c>
      <c r="B6" s="4" t="inlineStr">
        <is>
          <t>Custo de regularização</t>
        </is>
      </c>
      <c r="C6" s="4" t="inlineStr">
        <is>
          <t>INSS da obra do hotel (fora APPCI, ART, engenheiro, taxas, emolumentos)</t>
        </is>
      </c>
      <c r="D6" s="5" t="n">
        <v>1601357.9</v>
      </c>
      <c r="E6" s="4" t="n"/>
      <c r="F6" s="4" t="inlineStr">
        <is>
          <t>06. Inventário 31.12.2024 - Hotel Araçá</t>
        </is>
      </c>
    </row>
    <row r="7">
      <c r="A7" s="4" t="inlineStr">
        <is>
          <t>07 - Rádio Comunidade Princesa dos Vales FM Ltda.</t>
        </is>
      </c>
      <c r="B7" s="4" t="inlineStr">
        <is>
          <t>Redução estimada</t>
        </is>
      </c>
      <c r="C7" s="4" t="inlineStr">
        <is>
          <t>Regularização dos imóveis - 8% do valor total</t>
        </is>
      </c>
      <c r="D7" s="7">
        <f>'Resumo'!C8*E7</f>
        <v/>
      </c>
      <c r="E7" s="14" t="n">
        <v>0.08</v>
      </c>
      <c r="F7" s="4" t="inlineStr">
        <is>
          <t>07. Inventário 31.12.2024 - Rádio Comunidade Princesa dos Vales FM</t>
        </is>
      </c>
    </row>
    <row r="8">
      <c r="A8" s="4" t="inlineStr">
        <is>
          <t>08 - Transportadora Irmãos Siviero Ltda.</t>
        </is>
      </c>
      <c r="B8" s="4" t="inlineStr">
        <is>
          <t>Redução estimada</t>
        </is>
      </c>
      <c r="C8" s="4" t="inlineStr">
        <is>
          <t>Regularização dos imóveis - 1,5% do valor total</t>
        </is>
      </c>
      <c r="D8" s="7">
        <f>'Resumo'!C9*E8</f>
        <v/>
      </c>
      <c r="E8" s="14" t="n">
        <v>0.015</v>
      </c>
      <c r="F8" s="4" t="inlineStr">
        <is>
          <t>08. Inventário 31.12.2024 - Transportadora Irmãos Siviero</t>
        </is>
      </c>
    </row>
    <row r="9">
      <c r="A9" s="4" t="inlineStr">
        <is>
          <t>08 - Transportadora Irmãos Siviero Ltda.</t>
        </is>
      </c>
      <c r="B9" s="4" t="inlineStr">
        <is>
          <t>Custo de regularização</t>
        </is>
      </c>
      <c r="C9" s="4" t="inlineStr">
        <is>
          <t>INSS da obra do pavilhão da oficina mecânica</t>
        </is>
      </c>
      <c r="D9" s="5" t="n">
        <v>122254.73</v>
      </c>
      <c r="E9" s="4" t="n"/>
      <c r="F9" s="4" t="inlineStr">
        <is>
          <t>08. Inventário 31.12.2024 - Transportadora Irmãos Siviero</t>
        </is>
      </c>
    </row>
    <row r="10">
      <c r="A10" s="4" t="inlineStr">
        <is>
          <t>08 - Transportadora Irmãos Siviero Ltda.</t>
        </is>
      </c>
      <c r="B10" s="4" t="inlineStr">
        <is>
          <t>Custo de regularização</t>
        </is>
      </c>
      <c r="C10" s="4" t="inlineStr">
        <is>
          <t>INSS das obras da borracharia e rampa de lavagem</t>
        </is>
      </c>
      <c r="D10" s="5" t="n">
        <v>62555.51</v>
      </c>
      <c r="E10" s="4" t="n"/>
      <c r="F10" s="4" t="inlineStr">
        <is>
          <t>08. Inventário 31.12.2024 - Transportadora Irmãos Siviero</t>
        </is>
      </c>
    </row>
    <row r="11">
      <c r="A11" s="4" t="inlineStr">
        <is>
          <t>08 - Transportadora Irmãos Siviero Ltda.</t>
        </is>
      </c>
      <c r="B11" s="4" t="inlineStr">
        <is>
          <t>Crédito a receber (processo)</t>
        </is>
      </c>
      <c r="C11" s="4" t="inlineStr">
        <is>
          <t>Cobrança judicial contra Joveni Transportes / JBS / Frangosul (dez/2011 a abr/2012) - valor aproximado, sujeito a acordo</t>
        </is>
      </c>
      <c r="D11" s="5" t="n">
        <v>340000</v>
      </c>
      <c r="E11" s="4" t="n"/>
      <c r="F11" s="4" t="inlineStr">
        <is>
          <t>08. Inventário 31.12.2024 - Transportadora Irmãos Siviero</t>
        </is>
      </c>
    </row>
    <row r="12">
      <c r="A12" s="4" t="inlineStr">
        <is>
          <t>08 - Transportadora Irmãos Siviero Ltda.</t>
        </is>
      </c>
      <c r="B12" s="4" t="inlineStr">
        <is>
          <t>Contingência (processo)</t>
        </is>
      </c>
      <c r="C12" s="4" t="inlineStr">
        <is>
          <t>Processo Sottili (Bahia) - pensão estimada: R$ 1.518,00 x 12 x 20 anos</t>
        </is>
      </c>
      <c r="D12" s="5" t="n">
        <v>364320</v>
      </c>
      <c r="E12" s="4" t="n"/>
      <c r="F12" s="4" t="inlineStr">
        <is>
          <t>08. Inventário 31.12.2024 - Transportadora Irmãos Siviero</t>
        </is>
      </c>
    </row>
    <row r="13">
      <c r="A13" s="4" t="inlineStr">
        <is>
          <t>08 - Transportadora Irmãos Siviero Ltda.</t>
        </is>
      </c>
      <c r="B13" s="4" t="inlineStr">
        <is>
          <t>Contingência (processo)</t>
        </is>
      </c>
      <c r="C13" s="4" t="inlineStr">
        <is>
          <t>Processo Sottili - dano moral pedido: 1.000 salários mínimos</t>
        </is>
      </c>
      <c r="D13" s="5" t="n">
        <v>1518000</v>
      </c>
      <c r="E13" s="4" t="n"/>
      <c r="F13" s="4" t="inlineStr">
        <is>
          <t>08. Inventário 31.12.2024 - Transportadora Irmãos Siviero</t>
        </is>
      </c>
    </row>
    <row r="14">
      <c r="A14" s="4" t="inlineStr">
        <is>
          <t>08 - Transportadora Irmãos Siviero Ltda.</t>
        </is>
      </c>
      <c r="B14" s="4" t="inlineStr">
        <is>
          <t>Contingência (processo)</t>
        </is>
      </c>
      <c r="C14" s="4" t="inlineStr">
        <is>
          <t>Processo Sottili - dano moral alternativo: 150 SM de 2001 com juros e correção</t>
        </is>
      </c>
      <c r="D14" s="5" t="n">
        <v>627000</v>
      </c>
      <c r="E14" s="4" t="n"/>
      <c r="F14" s="4" t="inlineStr">
        <is>
          <t>08. Inventário 31.12.2024 - Transportadora Irmãos Siviero</t>
        </is>
      </c>
    </row>
    <row r="15">
      <c r="A15" s="4" t="inlineStr">
        <is>
          <t>10 - Siviero Transportes Ltda.</t>
        </is>
      </c>
      <c r="B15" s="4" t="inlineStr">
        <is>
          <t>Crédito a receber (processo)</t>
        </is>
      </c>
      <c r="C15" s="4" t="inlineStr">
        <is>
          <t>Venda do ônibus IXO 6000 - acordo judicial (R$ 20.000,00 de despesas + parcelas de R$ 5.000,00 desde nov/2024)</t>
        </is>
      </c>
      <c r="D15" s="5" t="n">
        <v>115000</v>
      </c>
      <c r="E15" s="4" t="n"/>
      <c r="F15" s="4" t="inlineStr">
        <is>
          <t>10. Inventário 31.12.2024 - Siviero Transportes</t>
        </is>
      </c>
    </row>
    <row r="16">
      <c r="A16" s="4" t="inlineStr">
        <is>
          <t>08 - Transportadora Irmãos Siviero Ltda.</t>
        </is>
      </c>
      <c r="B16" s="4" t="inlineStr">
        <is>
          <t>Nota contábil</t>
        </is>
      </c>
      <c r="C16" s="4" t="inlineStr">
        <is>
          <t>Inventário informa ter acrescentado R$ 1.135.000,00 ao capital de bens do balanço patrimonial (código 1060), itens 03, 04 e 05. A soma desses itens no inventário é R$ 1.020.000,00 (500.000 + 300.000 + 220.000); a diferença de R$ 115.000,00 não está explicada no documento.</t>
        </is>
      </c>
      <c r="D16" s="5" t="n">
        <v>1135000</v>
      </c>
      <c r="E16" s="4" t="n"/>
      <c r="F16" s="4" t="inlineStr">
        <is>
          <t>08. Inventário 31.12.2024 - Transportadora Irmãos Siviero</t>
        </is>
      </c>
    </row>
    <row r="17">
      <c r="A17" s="4" t="inlineStr">
        <is>
          <t>08 - Transportadora Irmãos Siviero Ltda.</t>
        </is>
      </c>
      <c r="B17" s="4" t="inlineStr">
        <is>
          <t>Alteração societária</t>
        </is>
      </c>
      <c r="C17" s="4" t="inlineStr">
        <is>
          <t>Venda das quotas de Rovílio Siviero (2,00%) aos demais sócios, em partes iguais - instrumento particular de compra e venda de quotas de 28/08/2025. Não altera a tabela 'valor real de cada sócio' do inventário, que já distribui em 6 partes de 16,66%.</t>
        </is>
      </c>
      <c r="D17" s="5" t="n"/>
      <c r="E17" s="4" t="n"/>
      <c r="F17" s="4" t="inlineStr">
        <is>
          <t>08. Inventário 31.12.2024 - Transportadora Irmãos Siviero</t>
        </is>
      </c>
    </row>
    <row r="18">
      <c r="A18" s="4" t="inlineStr">
        <is>
          <t>09 - Turismo Siviero Ltda.</t>
        </is>
      </c>
      <c r="B18" s="4" t="inlineStr">
        <is>
          <t>Alteração societária</t>
        </is>
      </c>
      <c r="C18" s="4" t="inlineStr">
        <is>
          <t>Venda das quotas de Rovílio Siviero (1,00%) aos demais sócios, em partes iguais - instrumento particular de compra e venda de quotas de 28/08/2025. Não altera a tabela 'valor real de cada sócio' do inventário, que já distribui em 6 partes de 16,66%.</t>
        </is>
      </c>
      <c r="D18" s="5" t="n"/>
      <c r="E18" s="4" t="n"/>
      <c r="F18" s="4" t="inlineStr">
        <is>
          <t>09. Inventário 31.12.2024 - Turismo Siviero</t>
        </is>
      </c>
    </row>
    <row r="19">
      <c r="A19" s="4" t="inlineStr">
        <is>
          <t>10 - Siviero Transportes Ltda.</t>
        </is>
      </c>
      <c r="B19" s="4" t="inlineStr">
        <is>
          <t>Alteração societária</t>
        </is>
      </c>
      <c r="C19" s="4" t="inlineStr">
        <is>
          <t>Venda das quotas de Rovílio Siviero (1,00%) aos demais sócios, em partes iguais - instrumento particular de compra e venda de quotas de 28/08/2025. Não altera a tabela 'valor real de cada sócio' do inventário, que já distribui em 6 partes de 16,66%.</t>
        </is>
      </c>
      <c r="D19" s="5" t="n"/>
      <c r="E19" s="4" t="n"/>
      <c r="F19" s="4" t="inlineStr">
        <is>
          <t>10. Inventário 31.12.2024 - Siviero Transportes</t>
        </is>
      </c>
    </row>
    <row r="20">
      <c r="A20" s="4" t="inlineStr">
        <is>
          <t>09 - Turismo Siviero Ltda.</t>
        </is>
      </c>
      <c r="B20" s="4" t="inlineStr">
        <is>
          <t>Pendência</t>
        </is>
      </c>
      <c r="C20" s="4" t="inlineStr">
        <is>
          <t>Rescindir o contrato particular das quotas societárias e dar baixa dos lançamentos na declaração do IRPF junto à Receita Federal (empresa baixada em 04/09/2023).</t>
        </is>
      </c>
      <c r="D20" s="5" t="n"/>
      <c r="E20" s="4" t="n"/>
      <c r="F20" s="4" t="inlineStr">
        <is>
          <t>09. Inventário 31.12.2024 - Turismo Siviero</t>
        </is>
      </c>
    </row>
    <row r="21">
      <c r="A21" s="4" t="inlineStr">
        <is>
          <t>10 - Siviero Transportes Ltda.</t>
        </is>
      </c>
      <c r="B21" s="4" t="inlineStr">
        <is>
          <t>Pendência</t>
        </is>
      </c>
      <c r="C21" s="4" t="inlineStr">
        <is>
          <t>Rescindir o contrato particular das quotas societárias e dar baixa dos lançamentos na declaração do IRPF junto à Receita Federal (empresa baixada em 08/04/2024).</t>
        </is>
      </c>
      <c r="D21" s="5" t="n"/>
      <c r="E21" s="4" t="n"/>
      <c r="F21" s="4" t="inlineStr">
        <is>
          <t>10. Inventário 31.12.2024 - Siviero Transportes</t>
        </is>
      </c>
    </row>
    <row r="23">
      <c r="A23" s="2" t="inlineStr">
        <is>
          <t>Observação: o inventário 08 informa que a condenação no processo Sottili pode superar R$ 1.000.000,00; as três linhas do processo são cenários alternativos e não devem ser somadas.</t>
        </is>
      </c>
    </row>
    <row r="24">
      <c r="A24" s="2" t="inlineStr">
        <is>
          <t>Observação: as linhas 'Nota contábil', 'Alteração societária' e 'Pendência' são informativas e não representam passivo nem redução de valor.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90" customWidth="1" min="4" max="4"/>
    <col width="46" customWidth="1" min="5" max="5"/>
  </cols>
  <sheetData>
    <row r="1">
      <c r="A1" s="1" t="inlineStr">
        <is>
          <t>Correções aplicadas e pendências desta versão</t>
        </is>
      </c>
    </row>
    <row r="2">
      <c r="A2" s="2" t="inlineStr">
        <is>
          <t>Fonte: conferencia-discrepancias.md (26/10/2026). Valores das fontes não foram alterados; itens pendentes estão marcados com comentário nas células indicadas.</t>
        </is>
      </c>
    </row>
    <row r="4">
      <c r="A4" s="3" t="inlineStr">
        <is>
          <t>Nº</t>
        </is>
      </c>
      <c r="B4" s="3" t="inlineStr">
        <is>
          <t>Situação</t>
        </is>
      </c>
      <c r="C4" s="3" t="inlineStr">
        <is>
          <t>Aba / células</t>
        </is>
      </c>
      <c r="D4" s="3" t="inlineStr">
        <is>
          <t>Descrição</t>
        </is>
      </c>
      <c r="E4" s="3" t="inlineStr">
        <is>
          <t>O que falta</t>
        </is>
      </c>
    </row>
    <row r="5">
      <c r="A5" s="4" t="n">
        <v>1</v>
      </c>
      <c r="B5" s="4" t="inlineStr">
        <is>
          <t>Corrigido</t>
        </is>
      </c>
      <c r="C5" s="4" t="inlineStr">
        <is>
          <t>Ativos!F8</t>
        </is>
      </c>
      <c r="D5" s="4" t="inlineStr">
        <is>
          <t>Descrição dos lotes do Hotel Araçá passou de '01 a 22 (vários)' para '01-12, 18-22 + nesga', conforme o inventário 06.</t>
        </is>
      </c>
      <c r="E5" s="4" t="inlineStr">
        <is>
          <t>-</t>
        </is>
      </c>
    </row>
    <row r="6">
      <c r="A6" s="4" t="n">
        <v>2</v>
      </c>
      <c r="B6" s="4" t="inlineStr">
        <is>
          <t>Corrigido</t>
        </is>
      </c>
      <c r="C6" s="4" t="inlineStr">
        <is>
          <t>Composição!A47, A57, A65</t>
        </is>
      </c>
      <c r="D6" s="4" t="inlineStr">
        <is>
          <t>Rótulo dos blocos do estudo Rafael passou de 'Total declarado no inventário' para 'Total declarado no estudo'.</t>
        </is>
      </c>
      <c r="E6" s="4" t="inlineStr">
        <is>
          <t>-</t>
        </is>
      </c>
    </row>
    <row r="7">
      <c r="A7" s="4" t="n">
        <v>3</v>
      </c>
      <c r="B7" s="4" t="inlineStr">
        <is>
          <t>Incluído</t>
        </is>
      </c>
      <c r="C7" s="4" t="inlineStr">
        <is>
          <t>Vendas e créditos!A32:F48</t>
        </is>
      </c>
      <c r="D7" s="4" t="inlineStr">
        <is>
          <t>Lista dos 12 loteamentos contratados pela Siviero Empreendimentos sem obras e sem valor atribuído (2ª parte do .docx do Hotel Princesa dos Vales).</t>
        </is>
      </c>
      <c r="E7" s="4" t="inlineStr">
        <is>
          <t>-</t>
        </is>
      </c>
    </row>
    <row r="8">
      <c r="A8" s="4" t="n">
        <v>4</v>
      </c>
      <c r="B8" s="4" t="inlineStr">
        <is>
          <t>Incluído</t>
        </is>
      </c>
      <c r="C8" s="4" t="inlineStr">
        <is>
          <t>Passivos e contingências!A16:F21</t>
        </is>
      </c>
      <c r="D8" s="4" t="inlineStr">
        <is>
          <t>Nota contábil de R$ 1.135.000,00 da Transportadora, venda das quotas de Rovílio Siviero (inventários 08, 09 e 10) e pendência de rescisão do contrato de quotas (09 e 10).</t>
        </is>
      </c>
      <c r="E8" s="4" t="inlineStr">
        <is>
          <t>-</t>
        </is>
      </c>
    </row>
    <row r="9">
      <c r="A9" s="4" t="n">
        <v>5</v>
      </c>
      <c r="B9" s="4" t="inlineStr">
        <is>
          <t>Pendente</t>
        </is>
      </c>
      <c r="C9" s="4" t="inlineStr">
        <is>
          <t>Ativos!H51</t>
        </is>
      </c>
      <c r="D9" s="4" t="inlineStr">
        <is>
          <t>Matrícula 00.760 aparece duas vezes no estudo (48,0 ha e 100,0 ha).</t>
        </is>
      </c>
      <c r="E9" s="4" t="inlineStr">
        <is>
          <t>Confirmar a matrícula correta com o autor do estudo.</t>
        </is>
      </c>
    </row>
    <row r="10">
      <c r="A10" s="4" t="n">
        <v>6</v>
      </c>
      <c r="B10" s="4" t="inlineStr">
        <is>
          <t>Pendente</t>
        </is>
      </c>
      <c r="C10" s="4" t="inlineStr">
        <is>
          <t>Ativos!I51, K51; Composição!A55</t>
        </is>
      </c>
      <c r="D10" s="4" t="inlineStr">
        <is>
          <t>Fazenda São Crispin: estudo avalia 407,53 ha; pasta 2025 indica 411,43 ha remanescentes e vendas de 190,00 ha (Rigo) e 85,32 ha (Pellegrini), contra 83,47 ha no estudo.</t>
        </is>
      </c>
      <c r="E10" s="4" t="inlineStr">
        <is>
          <t>Decidir qual base de área vale; o valor de R$ 44.828.300,00 depende disso.</t>
        </is>
      </c>
    </row>
    <row r="11">
      <c r="A11" s="4" t="n">
        <v>7</v>
      </c>
      <c r="B11" s="4" t="inlineStr">
        <is>
          <t>Pendente</t>
        </is>
      </c>
      <c r="C11" s="4" t="inlineStr">
        <is>
          <t>Ativos!K59; Composição!E60:E66</t>
        </is>
      </c>
      <c r="D11" s="4" t="inlineStr">
        <is>
          <t>Imóvel BR 470 (Oleoplan): total declarado R$ 10.631.378,60; parcelas somam R$ 13.631.378,60.</t>
        </is>
      </c>
      <c r="E11" s="4" t="inlineStr">
        <is>
          <t>Confirmar com o autor qual número está errado.</t>
        </is>
      </c>
    </row>
    <row r="12">
      <c r="A12" s="4" t="n">
        <v>8</v>
      </c>
      <c r="B12" s="4" t="inlineStr">
        <is>
          <t>Pendente</t>
        </is>
      </c>
      <c r="C12" s="4" t="inlineStr">
        <is>
          <t>Passivos e contingências!D16</t>
        </is>
      </c>
      <c r="D12" s="4" t="inlineStr">
        <is>
          <t>Nota contábil de R$ 1.135.000,00 contra R$ 1.020.000,00 dos itens 03 a 05 do inventário 08.</t>
        </is>
      </c>
      <c r="E12" s="4" t="inlineStr">
        <is>
          <t>Confirmar a origem da diferença de R$ 115.000,00.</t>
        </is>
      </c>
    </row>
    <row r="13">
      <c r="A13" s="4" t="n">
        <v>9</v>
      </c>
      <c r="B13" s="4" t="inlineStr">
        <is>
          <t>Premissa</t>
        </is>
      </c>
      <c r="C13" s="4" t="inlineStr">
        <is>
          <t>Ativos!L5:L49</t>
        </is>
      </c>
      <c r="D13" s="4" t="inlineStr">
        <is>
          <t>Participação da Valter segue a tabela 'valor real de cada sócio' de cada inventário (1/6, ou 16,50% na Rádio), e não o quadro societário original (18,00% a 18,60%).</t>
        </is>
      </c>
      <c r="E13" s="4" t="inlineStr">
        <is>
          <t>Confirmar a premissa.</t>
        </is>
      </c>
    </row>
    <row r="14">
      <c r="A14" s="4" t="n">
        <v>10</v>
      </c>
      <c r="B14" s="4" t="inlineStr">
        <is>
          <t>Ausente</t>
        </is>
      </c>
      <c r="C14" s="4" t="inlineStr">
        <is>
          <t>Resumo!A12:A13</t>
        </is>
      </c>
      <c r="D14" s="4" t="inlineStr">
        <is>
          <t>Sem inventário de 31.12.2024 na pasta 2025 para as empresas 01, 02, 05 (Hotel Princesa dos Vales), 11 e Siviero Empreendimentos Imobiliários; valores dessas empresas vêm só do estudo.</t>
        </is>
      </c>
      <c r="E14" s="4" t="inlineStr">
        <is>
          <t>Localizar os inventários, se existirem.</t>
        </is>
      </c>
    </row>
    <row r="15">
      <c r="A15" s="4" t="n">
        <v>11</v>
      </c>
      <c r="B15" s="4" t="inlineStr">
        <is>
          <t>Arquivo</t>
        </is>
      </c>
      <c r="C15" s="4" t="inlineStr">
        <is>
          <t>-</t>
        </is>
      </c>
      <c r="D15" s="4" t="inlineStr">
        <is>
          <t>Existe outra versão em inventario-irmaos/inventario-2025-siviero.xlsx, diferente desta e não conferida.</t>
        </is>
      </c>
      <c r="E15" s="4" t="inlineStr">
        <is>
          <t>Definir qual é a versão oficial.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2026-10-26T18:09:43Z</dcterms:created>
  <dcterms:modified xmlns:dcterms="http://purl.org/dc/terms/" xmlns:xsi="http://www.w3.org/2001/XMLSchema-instance" xsi:type="dcterms:W3CDTF">2026-10-26T18:47:18Z</dcterms:modified>
</cp:coreProperties>
</file>