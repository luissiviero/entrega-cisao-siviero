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ivos" sheetId="1" state="visible" r:id="rId1"/>
    <sheet name="Resumo" sheetId="2" state="visible" r:id="rId2"/>
    <sheet name="Composição" sheetId="3" state="visible" r:id="rId3"/>
  </sheets>
  <definedNames>
    <definedName name="_xlnm._FilterDatabase" localSheetId="0" hidden="1">'Ativos'!$A$5:$O$113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0" fontId="4" fillId="2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pivotButton="0" quotePrefix="0" xfId="0"/>
    <xf numFmtId="164" fontId="3" fillId="5" borderId="1" pivotButton="0" quotePrefix="0" xfId="0"/>
    <xf numFmtId="0" fontId="6" fillId="0" borderId="1" pivotButton="0" quotePrefix="0" xfId="0"/>
    <xf numFmtId="164" fontId="6" fillId="0" borderId="1" pivotButton="0" quotePrefix="0" xfId="0"/>
    <xf numFmtId="10" fontId="6" fillId="0" borderId="1" pivotButton="0" quotePrefix="0" xfId="0"/>
    <xf numFmtId="10" fontId="3" fillId="5" borderId="1" pivotButton="0" quotePrefix="0" xfId="0"/>
    <xf numFmtId="4" fontId="0" fillId="0" borderId="0" pivotButton="0" quotePrefix="0" xfId="0"/>
    <xf numFmtId="4" fontId="4" fillId="0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4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4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E3" authorId="0" shapeId="0">
      <text>
        <t>Premissa do documento, seção 'Da participação patrimonial': 1/6 (um sexto). Editável.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7" customWidth="1" min="3" max="3"/>
    <col width="8" customWidth="1" min="4" max="4"/>
    <col width="60" customWidth="1" min="5" max="5"/>
    <col width="34" customWidth="1" min="6" max="6"/>
    <col width="8" customWidth="1" min="7" max="7"/>
    <col width="11" customWidth="1" min="8" max="8"/>
    <col width="24" customWidth="1" min="9" max="9"/>
    <col width="18" customWidth="1" min="10" max="10"/>
    <col width="18" customWidth="1" min="11" max="11"/>
    <col width="12" customWidth="1" min="12" max="12"/>
    <col width="18" customWidth="1" min="13" max="13"/>
    <col width="8" customWidth="1" min="14" max="14"/>
    <col width="50" customWidth="1" min="15" max="15"/>
  </cols>
  <sheetData>
    <row r="1">
      <c r="A1" s="1" t="inlineStr">
        <is>
          <t>Ativos com avaliação de valor - selecionados pela Valter Participações Societárias Ltda.</t>
        </is>
      </c>
    </row>
    <row r="2">
      <c r="A2" s="2" t="inlineStr">
        <is>
          <t>Fonte: inventário-estudo-rafael.pdf (Diretrizes para seleção de ativos na separação patrimonial). Valores em azul transcritos do documento.</t>
        </is>
      </c>
    </row>
    <row r="3">
      <c r="A3" s="3" t="inlineStr">
        <is>
          <t>Participação atribuível à Valter (documento: 1/6):</t>
        </is>
      </c>
      <c r="E3" s="4">
        <f>1/6</f>
        <v/>
      </c>
      <c r="F3" s="2" t="inlineStr">
        <is>
          <t>Células amarelas são editáveis: participação da Valter (E3) e participação da sociedade titular (coluna L, padrão 100%, a confirmar por ativo).</t>
        </is>
      </c>
    </row>
    <row r="5">
      <c r="A5" s="5" t="inlineStr">
        <is>
          <t>Nº</t>
        </is>
      </c>
      <c r="B5" s="5" t="inlineStr">
        <is>
          <t>Empresa</t>
        </is>
      </c>
      <c r="C5" s="5" t="inlineStr">
        <is>
          <t>Categoria</t>
        </is>
      </c>
      <c r="D5" s="5" t="inlineStr">
        <is>
          <t>Item no doc.</t>
        </is>
      </c>
      <c r="E5" s="5" t="inlineStr">
        <is>
          <t>Descrição</t>
        </is>
      </c>
      <c r="F5" s="5" t="inlineStr">
        <is>
          <t>Loteamento</t>
        </is>
      </c>
      <c r="G5" s="5" t="inlineStr">
        <is>
          <t>Lote</t>
        </is>
      </c>
      <c r="H5" s="5" t="inlineStr">
        <is>
          <t>Quadra / ref.</t>
        </is>
      </c>
      <c r="I5" s="5" t="inlineStr">
        <is>
          <t>Matrícula</t>
        </is>
      </c>
      <c r="J5" s="5" t="inlineStr">
        <is>
          <t>Área</t>
        </is>
      </c>
      <c r="K5" s="5" t="inlineStr">
        <is>
          <t>Valor avaliado (R$)</t>
        </is>
      </c>
      <c r="L5" s="5" t="inlineStr">
        <is>
          <t>Particip. sociedade titular</t>
        </is>
      </c>
      <c r="M5" s="5" t="inlineStr">
        <is>
          <t>Quinhão Valter (R$)</t>
        </is>
      </c>
      <c r="N5" s="5" t="inlineStr">
        <is>
          <t>Página</t>
        </is>
      </c>
      <c r="O5" s="5" t="inlineStr">
        <is>
          <t>Observações</t>
        </is>
      </c>
    </row>
    <row r="6">
      <c r="A6" s="6" t="n">
        <v>1</v>
      </c>
      <c r="B6" s="6" t="inlineStr">
        <is>
          <t>05 - Hotel Princesa dos Vales Ltda.</t>
        </is>
      </c>
      <c r="C6" s="6" t="inlineStr">
        <is>
          <t>Imóvel rural</t>
        </is>
      </c>
      <c r="D6" s="6" t="inlineStr">
        <is>
          <t>04</t>
        </is>
      </c>
      <c r="E6" s="6" t="inlineStr">
        <is>
          <t>Terreno rural - SEDE CAMPESTRE (pavilhão, piscinas, casa, campos de futebol, lagos, alicerces de cabanas), Rua Luiz Siviero, Bairro Femaçã, Veranópolis-RS</t>
        </is>
      </c>
      <c r="F6" s="6" t="inlineStr"/>
      <c r="G6" s="6" t="inlineStr"/>
      <c r="H6" s="6" t="inlineStr"/>
      <c r="I6" s="6" t="inlineStr">
        <is>
          <t>1.941 e 7.104</t>
        </is>
      </c>
      <c r="J6" s="6" t="inlineStr">
        <is>
          <t>9,4 ha</t>
        </is>
      </c>
      <c r="K6" s="7" t="n">
        <v>5560857.5</v>
      </c>
      <c r="L6" s="8" t="n">
        <v>1</v>
      </c>
      <c r="M6" s="9">
        <f>K6*L6*$E$3</f>
        <v/>
      </c>
      <c r="N6" s="6" t="inlineStr">
        <is>
          <t>4-5</t>
        </is>
      </c>
      <c r="O6" s="6" t="inlineStr">
        <is>
          <t>Composição detalhada na aba 'Composição'. CCIR 2.481.947-6.</t>
        </is>
      </c>
    </row>
    <row r="7">
      <c r="A7" s="6" t="n">
        <v>2</v>
      </c>
      <c r="B7" s="6" t="inlineStr">
        <is>
          <t>05 - Hotel Princesa dos Vales Ltda.</t>
        </is>
      </c>
      <c r="C7" s="6" t="inlineStr">
        <is>
          <t>Imóvel rural</t>
        </is>
      </c>
      <c r="D7" s="6" t="inlineStr">
        <is>
          <t>05</t>
        </is>
      </c>
      <c r="E7" s="6" t="inlineStr">
        <is>
          <t>FAZENDA SÃO CRISPIN - Capela de São Sebastião, Distrito do Chimarrão, André da Rocha-RS</t>
        </is>
      </c>
      <c r="F7" s="6" t="inlineStr"/>
      <c r="G7" s="6" t="inlineStr"/>
      <c r="H7" s="6" t="inlineStr"/>
      <c r="I7" s="6" t="inlineStr">
        <is>
          <t>14.221, 13.615, 13.650, 00.760, 11.462, 05.435, 09.959, 04.443, 12.473</t>
        </is>
      </c>
      <c r="J7" s="6" t="inlineStr">
        <is>
          <t>407,53 ha (de 491,0 ha)</t>
        </is>
      </c>
      <c r="K7" s="7" t="n">
        <v>44828300</v>
      </c>
      <c r="L7" s="8" t="n">
        <v>1</v>
      </c>
      <c r="M7" s="9">
        <f>K7*L7*$E$3</f>
        <v/>
      </c>
      <c r="N7" s="6" t="inlineStr">
        <is>
          <t>5</t>
        </is>
      </c>
      <c r="O7" s="6" t="inlineStr">
        <is>
          <t>83,47 ha da Matrícula 00.760 VENDIDOS à Família Rigo; avaliados 407,53 ha a R$ 110.000,00/ha. Composição na aba 'Composição'. CCIR 2.898.196-0.</t>
        </is>
      </c>
    </row>
    <row r="8">
      <c r="A8" s="6" t="n">
        <v>3</v>
      </c>
      <c r="B8" s="6" t="inlineStr">
        <is>
          <t>05 - Hotel Princesa dos Vales Ltda.</t>
        </is>
      </c>
      <c r="C8" s="6" t="inlineStr">
        <is>
          <t>Imóvel rural</t>
        </is>
      </c>
      <c r="D8" s="6" t="inlineStr">
        <is>
          <t>06</t>
        </is>
      </c>
      <c r="E8" s="6" t="inlineStr">
        <is>
          <t>FAZENDA SÃO CRISPIN - área dentro de um todo maior, adquirida de Dirceu Prestes e Lairton (contrato de compra e venda, dez/2015), André da Rocha-RS</t>
        </is>
      </c>
      <c r="F8" s="6" t="inlineStr"/>
      <c r="G8" s="6" t="inlineStr"/>
      <c r="H8" s="6" t="inlineStr"/>
      <c r="I8" s="6" t="inlineStr">
        <is>
          <t>11.090</t>
        </is>
      </c>
      <c r="J8" s="6" t="inlineStr">
        <is>
          <t>4,0 ha</t>
        </is>
      </c>
      <c r="K8" s="7" t="n">
        <v>440000</v>
      </c>
      <c r="L8" s="8" t="n">
        <v>1</v>
      </c>
      <c r="M8" s="9">
        <f>K8*L8*$E$3</f>
        <v/>
      </c>
      <c r="N8" s="6" t="inlineStr">
        <is>
          <t>5</t>
        </is>
      </c>
      <c r="O8" s="6" t="inlineStr">
        <is>
          <t>4,0 ha x R$ 110.000,00/ha.</t>
        </is>
      </c>
    </row>
    <row r="9">
      <c r="A9" s="6" t="n">
        <v>4</v>
      </c>
      <c r="B9" s="6" t="inlineStr">
        <is>
          <t>05 - Hotel Princesa dos Vales Ltda.</t>
        </is>
      </c>
      <c r="C9" s="6" t="inlineStr">
        <is>
          <t>Veículo</t>
        </is>
      </c>
      <c r="D9" s="6" t="inlineStr">
        <is>
          <t>08</t>
        </is>
      </c>
      <c r="E9" s="6" t="inlineStr">
        <is>
          <t>Mercedinha MB 709 com boiadeiro, Mercedes-Benz, ano/modelo 1991, placa JTB 8585</t>
        </is>
      </c>
      <c r="F9" s="6" t="inlineStr"/>
      <c r="G9" s="6" t="inlineStr"/>
      <c r="H9" s="6" t="inlineStr"/>
      <c r="I9" s="6" t="inlineStr"/>
      <c r="J9" s="6" t="inlineStr"/>
      <c r="K9" s="7" t="n">
        <v>85000</v>
      </c>
      <c r="L9" s="8" t="n">
        <v>1</v>
      </c>
      <c r="M9" s="9">
        <f>K9*L9*$E$3</f>
        <v/>
      </c>
      <c r="N9" s="6" t="inlineStr">
        <is>
          <t>5-6</t>
        </is>
      </c>
      <c r="O9" s="6" t="inlineStr"/>
    </row>
    <row r="10">
      <c r="A10" s="6" t="n">
        <v>5</v>
      </c>
      <c r="B10" s="6" t="inlineStr">
        <is>
          <t>06 - Hotel Araçá Ltda.</t>
        </is>
      </c>
      <c r="C10" s="6" t="inlineStr">
        <is>
          <t>Imóvel urbano</t>
        </is>
      </c>
      <c r="D10" s="6" t="inlineStr">
        <is>
          <t>12</t>
        </is>
      </c>
      <c r="E10" s="6" t="inlineStr">
        <is>
          <t>Lote urbano nº 10 - Quadra 38, próximo ao Hotel Araçá, Capão da Canoa-RS. Adquirido de Hugo Ferri</t>
        </is>
      </c>
      <c r="F10" s="6" t="inlineStr"/>
      <c r="G10" s="6" t="inlineStr">
        <is>
          <t>10</t>
        </is>
      </c>
      <c r="H10" s="6" t="inlineStr">
        <is>
          <t>38</t>
        </is>
      </c>
      <c r="I10" s="6" t="inlineStr">
        <is>
          <t>11.990</t>
        </is>
      </c>
      <c r="J10" s="6" t="inlineStr">
        <is>
          <t>360,00 m²</t>
        </is>
      </c>
      <c r="K10" s="7" t="n">
        <v>390000</v>
      </c>
      <c r="L10" s="8" t="n">
        <v>1</v>
      </c>
      <c r="M10" s="9">
        <f>K10*L10*$E$3</f>
        <v/>
      </c>
      <c r="N10" s="6" t="inlineStr">
        <is>
          <t>6</t>
        </is>
      </c>
      <c r="O10" s="6" t="inlineStr">
        <is>
          <t>Inscrição 360.0038.010.000; Código 039411.</t>
        </is>
      </c>
    </row>
    <row r="11">
      <c r="A11" s="6" t="n">
        <v>6</v>
      </c>
      <c r="B11" s="6" t="inlineStr">
        <is>
          <t>06 - Hotel Araçá Ltda.</t>
        </is>
      </c>
      <c r="C11" s="6" t="inlineStr">
        <is>
          <t>Imóvel urbano</t>
        </is>
      </c>
      <c r="D11" s="6" t="inlineStr">
        <is>
          <t>11</t>
        </is>
      </c>
      <c r="E11" s="6" t="inlineStr">
        <is>
          <t>Lote urbano nº 09 - Quadra 38, próximo ao Hotel Araçá, Capão da Canoa-RS. Adquirido de Hugo Ferri</t>
        </is>
      </c>
      <c r="F11" s="6" t="inlineStr"/>
      <c r="G11" s="6" t="inlineStr">
        <is>
          <t>09</t>
        </is>
      </c>
      <c r="H11" s="6" t="inlineStr">
        <is>
          <t>38</t>
        </is>
      </c>
      <c r="I11" s="6" t="inlineStr">
        <is>
          <t>37.846</t>
        </is>
      </c>
      <c r="J11" s="6" t="inlineStr">
        <is>
          <t>360,00 m²</t>
        </is>
      </c>
      <c r="K11" s="7" t="n">
        <v>390000</v>
      </c>
      <c r="L11" s="8" t="n">
        <v>1</v>
      </c>
      <c r="M11" s="9">
        <f>K11*L11*$E$3</f>
        <v/>
      </c>
      <c r="N11" s="6" t="inlineStr">
        <is>
          <t>6</t>
        </is>
      </c>
      <c r="O11" s="6" t="inlineStr">
        <is>
          <t>Inscrição 360.0038.009.000; Código 039410.</t>
        </is>
      </c>
    </row>
    <row r="12">
      <c r="A12" s="6" t="n">
        <v>7</v>
      </c>
      <c r="B12" s="6" t="inlineStr">
        <is>
          <t>06 - Hotel Araçá Ltda.</t>
        </is>
      </c>
      <c r="C12" s="6" t="inlineStr">
        <is>
          <t>Imóvel urbano</t>
        </is>
      </c>
      <c r="D12" s="6" t="inlineStr">
        <is>
          <t>02</t>
        </is>
      </c>
      <c r="E12" s="6" t="inlineStr">
        <is>
          <t>Lote urbano nº 03 - Quadra 19 - Casa da Praça, próximo ao Hotel Araçá, Capão da Canoa-RS</t>
        </is>
      </c>
      <c r="F12" s="6" t="inlineStr"/>
      <c r="G12" s="6" t="inlineStr">
        <is>
          <t>03</t>
        </is>
      </c>
      <c r="H12" s="6" t="inlineStr">
        <is>
          <t>19</t>
        </is>
      </c>
      <c r="I12" s="6" t="inlineStr">
        <is>
          <t>77.832 (antiga 37.549)</t>
        </is>
      </c>
      <c r="J12" s="6" t="inlineStr">
        <is>
          <t>450,00 m²</t>
        </is>
      </c>
      <c r="K12" s="7" t="n">
        <v>400000</v>
      </c>
      <c r="L12" s="8" t="n">
        <v>1</v>
      </c>
      <c r="M12" s="9">
        <f>K12*L12*$E$3</f>
        <v/>
      </c>
      <c r="N12" s="6" t="inlineStr">
        <is>
          <t>6</t>
        </is>
      </c>
      <c r="O12" s="6" t="inlineStr">
        <is>
          <t>Inscrição 360.0019.003.000; Código 038998.</t>
        </is>
      </c>
    </row>
    <row r="13">
      <c r="A13" s="6" t="n">
        <v>8</v>
      </c>
      <c r="B13" s="6" t="inlineStr">
        <is>
          <t>06 - Hotel Araçá Ltda.</t>
        </is>
      </c>
      <c r="C13" s="6" t="inlineStr">
        <is>
          <t>Imóvel urbano</t>
        </is>
      </c>
      <c r="D13" s="6" t="inlineStr">
        <is>
          <t>18</t>
        </is>
      </c>
      <c r="E13" s="6" t="inlineStr">
        <is>
          <t>Lote urbano nº 27 - Quadra 38 - Lote Estacionamento do Bigode, Capão da Canoa-RS</t>
        </is>
      </c>
      <c r="F13" s="6" t="inlineStr"/>
      <c r="G13" s="6" t="inlineStr">
        <is>
          <t>27</t>
        </is>
      </c>
      <c r="H13" s="6" t="inlineStr">
        <is>
          <t>38</t>
        </is>
      </c>
      <c r="I13" s="6" t="inlineStr">
        <is>
          <t>73.482</t>
        </is>
      </c>
      <c r="J13" s="6" t="inlineStr">
        <is>
          <t>360,00 m²</t>
        </is>
      </c>
      <c r="K13" s="7" t="n">
        <v>350000</v>
      </c>
      <c r="L13" s="8" t="n">
        <v>1</v>
      </c>
      <c r="M13" s="9">
        <f>K13*L13*$E$3</f>
        <v/>
      </c>
      <c r="N13" s="6" t="inlineStr">
        <is>
          <t>6-7</t>
        </is>
      </c>
      <c r="O13" s="6" t="inlineStr">
        <is>
          <t>Inscrição 360.0038.027.000; Código 039426. Documento indica a mesma matrícula do item 19.</t>
        </is>
      </c>
    </row>
    <row r="14">
      <c r="A14" s="6" t="n">
        <v>9</v>
      </c>
      <c r="B14" s="6" t="inlineStr">
        <is>
          <t>06 - Hotel Araçá Ltda.</t>
        </is>
      </c>
      <c r="C14" s="6" t="inlineStr">
        <is>
          <t>Imóvel urbano</t>
        </is>
      </c>
      <c r="D14" s="6" t="inlineStr">
        <is>
          <t>19</t>
        </is>
      </c>
      <c r="E14" s="6" t="inlineStr">
        <is>
          <t>Lote urbano nº 28 - Quadra 38 - Lote Estacionamento do Bigode, Capão da Canoa-RS</t>
        </is>
      </c>
      <c r="F14" s="6" t="inlineStr"/>
      <c r="G14" s="6" t="inlineStr">
        <is>
          <t>28</t>
        </is>
      </c>
      <c r="H14" s="6" t="inlineStr">
        <is>
          <t>38</t>
        </is>
      </c>
      <c r="I14" s="6" t="inlineStr">
        <is>
          <t>73.482</t>
        </is>
      </c>
      <c r="J14" s="6" t="inlineStr">
        <is>
          <t>360,00 m²</t>
        </is>
      </c>
      <c r="K14" s="7" t="n">
        <v>350000</v>
      </c>
      <c r="L14" s="8" t="n">
        <v>1</v>
      </c>
      <c r="M14" s="9">
        <f>K14*L14*$E$3</f>
        <v/>
      </c>
      <c r="N14" s="6" t="inlineStr">
        <is>
          <t>7</t>
        </is>
      </c>
      <c r="O14" s="6" t="inlineStr">
        <is>
          <t>Inscrição 360.0038.028.000; Código 039427. Documento indica a mesma matrícula do item 18.</t>
        </is>
      </c>
    </row>
    <row r="15">
      <c r="A15" s="6" t="n">
        <v>10</v>
      </c>
      <c r="B15" s="6" t="inlineStr">
        <is>
          <t>07 - Rádio Comunidade Princesa dos Vales FM Ltda.</t>
        </is>
      </c>
      <c r="C15" s="6" t="inlineStr">
        <is>
          <t>Veículo</t>
        </is>
      </c>
      <c r="D15" s="6" t="inlineStr"/>
      <c r="E15" s="6" t="inlineStr">
        <is>
          <t>Toyota Bandeirante, diesel, ano/modelo 1980, verde, placa IHW 0285</t>
        </is>
      </c>
      <c r="F15" s="6" t="inlineStr"/>
      <c r="G15" s="6" t="inlineStr"/>
      <c r="H15" s="6" t="inlineStr"/>
      <c r="I15" s="6" t="inlineStr"/>
      <c r="J15" s="6" t="inlineStr"/>
      <c r="K15" s="7" t="n">
        <v>70000</v>
      </c>
      <c r="L15" s="8" t="n">
        <v>1</v>
      </c>
      <c r="M15" s="9">
        <f>K15*L15*$E$3</f>
        <v/>
      </c>
      <c r="N15" s="6" t="inlineStr">
        <is>
          <t>7</t>
        </is>
      </c>
      <c r="O15" s="6" t="inlineStr"/>
    </row>
    <row r="16">
      <c r="A16" s="6" t="n">
        <v>11</v>
      </c>
      <c r="B16" s="6" t="inlineStr">
        <is>
          <t>10 - Siviero Empreendimentos Imobiliários Ltda.</t>
        </is>
      </c>
      <c r="C16" s="6" t="inlineStr">
        <is>
          <t>Veículo</t>
        </is>
      </c>
      <c r="D16" s="6" t="inlineStr">
        <is>
          <t>14</t>
        </is>
      </c>
      <c r="E16" s="6" t="inlineStr">
        <is>
          <t>Camionete Ford Ranger, prata, ano 2010, placa NPQ OI67</t>
        </is>
      </c>
      <c r="F16" s="6" t="inlineStr"/>
      <c r="G16" s="6" t="inlineStr"/>
      <c r="H16" s="6" t="inlineStr"/>
      <c r="I16" s="6" t="inlineStr"/>
      <c r="J16" s="6" t="inlineStr"/>
      <c r="K16" s="7" t="n">
        <v>67000</v>
      </c>
      <c r="L16" s="8" t="n">
        <v>1</v>
      </c>
      <c r="M16" s="9">
        <f>K16*L16*$E$3</f>
        <v/>
      </c>
      <c r="N16" s="6" t="inlineStr">
        <is>
          <t>8</t>
        </is>
      </c>
      <c r="O16" s="6" t="inlineStr"/>
    </row>
    <row r="17">
      <c r="A17" s="6" t="n">
        <v>12</v>
      </c>
      <c r="B17" s="6" t="inlineStr">
        <is>
          <t>10 - Siviero Empreendimentos Imobiliários Ltda.</t>
        </is>
      </c>
      <c r="C17" s="6" t="inlineStr">
        <is>
          <t>Imóvel urbano</t>
        </is>
      </c>
      <c r="D17" s="6" t="inlineStr">
        <is>
          <t>03</t>
        </is>
      </c>
      <c r="E17" s="6" t="inlineStr">
        <is>
          <t>Lote urbano com casa/prédio - escritório velho, Av. Osvaldo Aranha, 1398, Bairro Palugana, Veranópolis-RS (alugado - Bar do André)</t>
        </is>
      </c>
      <c r="F17" s="6" t="inlineStr"/>
      <c r="G17" s="6" t="inlineStr"/>
      <c r="H17" s="6" t="inlineStr"/>
      <c r="I17" s="6" t="inlineStr">
        <is>
          <t>9</t>
        </is>
      </c>
      <c r="J17" s="6" t="inlineStr">
        <is>
          <t>570,00 m² (19 x 30 m)</t>
        </is>
      </c>
      <c r="K17" s="7" t="n">
        <v>850000</v>
      </c>
      <c r="L17" s="8" t="n">
        <v>1</v>
      </c>
      <c r="M17" s="9">
        <f>K17*L17*$E$3</f>
        <v/>
      </c>
      <c r="N17" s="6" t="inlineStr">
        <is>
          <t>8</t>
        </is>
      </c>
      <c r="O17" s="6" t="inlineStr"/>
    </row>
    <row r="18">
      <c r="A18" s="6" t="n">
        <v>13</v>
      </c>
      <c r="B18" s="6" t="inlineStr">
        <is>
          <t>10 - Siviero Empreendimentos Imobiliários Ltda.</t>
        </is>
      </c>
      <c r="C18" s="6" t="inlineStr">
        <is>
          <t>Imóvel urbano</t>
        </is>
      </c>
      <c r="D18" s="6" t="inlineStr">
        <is>
          <t>05</t>
        </is>
      </c>
      <c r="E18" s="6" t="inlineStr">
        <is>
          <t>Lote urbano, Av. Osvaldo Aranha esq. Rua Eduardo Duarte, Veranópolis-RS (alugado - Paulinho das baterias)</t>
        </is>
      </c>
      <c r="F18" s="6" t="inlineStr"/>
      <c r="G18" s="6" t="inlineStr"/>
      <c r="H18" s="6" t="inlineStr"/>
      <c r="I18" s="6" t="inlineStr">
        <is>
          <t>1.507</t>
        </is>
      </c>
      <c r="J18" s="6" t="inlineStr">
        <is>
          <t>345,00 m² (23 x 15 m)</t>
        </is>
      </c>
      <c r="K18" s="7" t="n">
        <v>550000</v>
      </c>
      <c r="L18" s="8" t="n">
        <v>1</v>
      </c>
      <c r="M18" s="9">
        <f>K18*L18*$E$3</f>
        <v/>
      </c>
      <c r="N18" s="6" t="inlineStr">
        <is>
          <t>8</t>
        </is>
      </c>
      <c r="O18" s="6" t="inlineStr"/>
    </row>
    <row r="19">
      <c r="A19" s="6" t="n">
        <v>14</v>
      </c>
      <c r="B19" s="6" t="inlineStr">
        <is>
          <t>10 - Siviero Empreendimentos Imobiliários Ltda.</t>
        </is>
      </c>
      <c r="C19" s="6" t="inlineStr">
        <is>
          <t>Imóvel urbano</t>
        </is>
      </c>
      <c r="D19" s="6" t="inlineStr">
        <is>
          <t>06</t>
        </is>
      </c>
      <c r="E19" s="6" t="inlineStr">
        <is>
          <t>Lote urbano nº 0092, quadra 020, zona 02, Rua General Flores da Cunha, Centro, Veranópolis-RS (adquirido da Família Dal Ponte)</t>
        </is>
      </c>
      <c r="F19" s="6" t="inlineStr"/>
      <c r="G19" s="6" t="inlineStr">
        <is>
          <t>0092</t>
        </is>
      </c>
      <c r="H19" s="6" t="inlineStr">
        <is>
          <t>020</t>
        </is>
      </c>
      <c r="I19" s="6" t="inlineStr">
        <is>
          <t>3.788</t>
        </is>
      </c>
      <c r="J19" s="6" t="inlineStr">
        <is>
          <t>750,00 m²</t>
        </is>
      </c>
      <c r="K19" s="7" t="n">
        <v>1010000</v>
      </c>
      <c r="L19" s="8" t="n">
        <v>1</v>
      </c>
      <c r="M19" s="9">
        <f>K19*L19*$E$3</f>
        <v/>
      </c>
      <c r="N19" s="6" t="inlineStr">
        <is>
          <t>8</t>
        </is>
      </c>
      <c r="O19" s="6" t="inlineStr"/>
    </row>
    <row r="20">
      <c r="A20" s="6" t="n">
        <v>15</v>
      </c>
      <c r="B20" s="6" t="inlineStr">
        <is>
          <t>10 - Siviero Empreendimentos Imobiliários Ltda.</t>
        </is>
      </c>
      <c r="C20" s="6" t="inlineStr">
        <is>
          <t>Imóvel urbano</t>
        </is>
      </c>
      <c r="D20" s="6" t="inlineStr">
        <is>
          <t>08</t>
        </is>
      </c>
      <c r="E20" s="6" t="inlineStr">
        <is>
          <t>Lote urbano nº 188/62 - Quadra 163/G, Loteamento Verona, Bento Gonçalves-RS (cadastro PM 12482700)</t>
        </is>
      </c>
      <c r="F20" s="6" t="inlineStr"/>
      <c r="G20" s="6" t="inlineStr">
        <is>
          <t>188/62</t>
        </is>
      </c>
      <c r="H20" s="6" t="inlineStr">
        <is>
          <t>163/G</t>
        </is>
      </c>
      <c r="I20" s="6" t="inlineStr">
        <is>
          <t>(em branco no documento)</t>
        </is>
      </c>
      <c r="J20" s="6" t="inlineStr">
        <is>
          <t>(em branco no documento)</t>
        </is>
      </c>
      <c r="K20" s="7" t="n">
        <v>160000</v>
      </c>
      <c r="L20" s="8" t="n">
        <v>1</v>
      </c>
      <c r="M20" s="9">
        <f>K20*L20*$E$3</f>
        <v/>
      </c>
      <c r="N20" s="6" t="inlineStr">
        <is>
          <t>8</t>
        </is>
      </c>
      <c r="O20" s="10" t="inlineStr">
        <is>
          <t>Área e matrícula não preenchidas no documento.</t>
        </is>
      </c>
    </row>
    <row r="21">
      <c r="A21" s="6" t="n">
        <v>16</v>
      </c>
      <c r="B21" s="6" t="inlineStr">
        <is>
          <t>10 - Siviero Empreendimentos Imobiliários Ltda.</t>
        </is>
      </c>
      <c r="C21" s="6" t="inlineStr">
        <is>
          <t>Imóvel urbano</t>
        </is>
      </c>
      <c r="D21" s="6" t="inlineStr">
        <is>
          <t>04</t>
        </is>
      </c>
      <c r="E21" s="6" t="inlineStr">
        <is>
          <t>Imóvel urbano com PAVILHÕES (4.170,00 m² construídos), Rodovia BR 470, Km 175,4, Bairro Valverde, Veranópolis-RS - locado à Oleoplan S/A</t>
        </is>
      </c>
      <c r="F21" s="6" t="inlineStr"/>
      <c r="G21" s="6" t="inlineStr"/>
      <c r="H21" s="6" t="inlineStr"/>
      <c r="I21" s="6" t="inlineStr">
        <is>
          <t>29.954 (unificação 17.409 e 6.136)</t>
        </is>
      </c>
      <c r="J21" s="6" t="inlineStr">
        <is>
          <t>4.792,03 m²</t>
        </is>
      </c>
      <c r="K21" s="7" t="n">
        <v>10631378.6</v>
      </c>
      <c r="L21" s="8" t="n">
        <v>1</v>
      </c>
      <c r="M21" s="9">
        <f>K21*L21*$E$3</f>
        <v/>
      </c>
      <c r="N21" s="6" t="inlineStr">
        <is>
          <t>8-9</t>
        </is>
      </c>
      <c r="O21" s="10" t="inlineStr">
        <is>
          <t>Valor total conforme documento. A soma das parcelas descritas dá R$ 13.631.378,60 (diferença de R$ 3.000.000,00) - ver aba 'Composição'.</t>
        </is>
      </c>
    </row>
    <row r="22">
      <c r="A22" s="6" t="n">
        <v>17</v>
      </c>
      <c r="B22" s="6" t="inlineStr">
        <is>
          <t>10 - Siviero Empreendimentos Imobiliários Ltda.</t>
        </is>
      </c>
      <c r="C22" s="6" t="inlineStr">
        <is>
          <t>Imóvel urbano</t>
        </is>
      </c>
      <c r="D22" s="6" t="inlineStr">
        <is>
          <t>02</t>
        </is>
      </c>
      <c r="E22" s="6" t="inlineStr">
        <is>
          <t>Área de terras urbanas, lote nº 0292, quadra 009, zona 12, Linha Tomaz Flores, Estrada Velha da Vacaria, Sapopema, Veranópolis-RS (adquirida da Família Lago)</t>
        </is>
      </c>
      <c r="F22" s="6" t="inlineStr"/>
      <c r="G22" s="6" t="inlineStr">
        <is>
          <t>0292</t>
        </is>
      </c>
      <c r="H22" s="6" t="inlineStr">
        <is>
          <t>009</t>
        </is>
      </c>
      <c r="I22" s="6" t="inlineStr">
        <is>
          <t>33.516</t>
        </is>
      </c>
      <c r="J22" s="6" t="inlineStr">
        <is>
          <t>4,0 ha (40.027,41 m²)</t>
        </is>
      </c>
      <c r="K22" s="7" t="n">
        <v>1500000</v>
      </c>
      <c r="L22" s="8" t="n">
        <v>1</v>
      </c>
      <c r="M22" s="9">
        <f>K22*L22*$E$3</f>
        <v/>
      </c>
      <c r="N22" s="6" t="inlineStr">
        <is>
          <t>9</t>
        </is>
      </c>
      <c r="O22" s="6" t="inlineStr">
        <is>
          <t>Listado sob o título 'Áreas rurais', mas descrito como área urbana.</t>
        </is>
      </c>
    </row>
    <row r="23">
      <c r="A23" s="6" t="n">
        <v>18</v>
      </c>
      <c r="B23" s="6" t="inlineStr">
        <is>
          <t>10 - Siviero Empreendimentos Imobiliários Ltda.</t>
        </is>
      </c>
      <c r="C23" s="6" t="inlineStr">
        <is>
          <t>Lote em loteamento</t>
        </is>
      </c>
      <c r="D23" s="6" t="inlineStr"/>
      <c r="E23" s="6" t="inlineStr">
        <is>
          <t>Lote 021 - D - 01. Loteamento Sol Nascente I</t>
        </is>
      </c>
      <c r="F23" s="6" t="inlineStr">
        <is>
          <t>01. Loteamento Sol Nascente I</t>
        </is>
      </c>
      <c r="G23" s="6" t="inlineStr">
        <is>
          <t>021</t>
        </is>
      </c>
      <c r="H23" s="6" t="inlineStr">
        <is>
          <t>D</t>
        </is>
      </c>
      <c r="I23" s="6" t="inlineStr"/>
      <c r="J23" s="6" t="inlineStr"/>
      <c r="K23" s="7" t="n">
        <v>389000</v>
      </c>
      <c r="L23" s="8" t="n">
        <v>1</v>
      </c>
      <c r="M23" s="9">
        <f>K23*L23*$E$3</f>
        <v/>
      </c>
      <c r="N23" s="6" t="inlineStr">
        <is>
          <t>9</t>
        </is>
      </c>
      <c r="O23" s="6" t="inlineStr"/>
    </row>
    <row r="24">
      <c r="A24" s="6" t="n">
        <v>19</v>
      </c>
      <c r="B24" s="6" t="inlineStr">
        <is>
          <t>10 - Siviero Empreendimentos Imobiliários Ltda.</t>
        </is>
      </c>
      <c r="C24" s="6" t="inlineStr">
        <is>
          <t>Lote em loteamento</t>
        </is>
      </c>
      <c r="D24" s="6" t="inlineStr"/>
      <c r="E24" s="6" t="inlineStr">
        <is>
          <t>Lote 022 - D - 01. Loteamento Sol Nascente I</t>
        </is>
      </c>
      <c r="F24" s="6" t="inlineStr">
        <is>
          <t>01. Loteamento Sol Nascente I</t>
        </is>
      </c>
      <c r="G24" s="6" t="inlineStr">
        <is>
          <t>022</t>
        </is>
      </c>
      <c r="H24" s="6" t="inlineStr">
        <is>
          <t>D</t>
        </is>
      </c>
      <c r="I24" s="6" t="inlineStr"/>
      <c r="J24" s="6" t="inlineStr"/>
      <c r="K24" s="7" t="n">
        <v>354000</v>
      </c>
      <c r="L24" s="8" t="n">
        <v>1</v>
      </c>
      <c r="M24" s="9">
        <f>K24*L24*$E$3</f>
        <v/>
      </c>
      <c r="N24" s="6" t="inlineStr">
        <is>
          <t>9</t>
        </is>
      </c>
      <c r="O24" s="6" t="inlineStr"/>
    </row>
    <row r="25">
      <c r="A25" s="6" t="n">
        <v>20</v>
      </c>
      <c r="B25" s="6" t="inlineStr">
        <is>
          <t>10 - Siviero Empreendimentos Imobiliários Ltda.</t>
        </is>
      </c>
      <c r="C25" s="6" t="inlineStr">
        <is>
          <t>Lote em loteamento</t>
        </is>
      </c>
      <c r="D25" s="6" t="inlineStr"/>
      <c r="E25" s="6" t="inlineStr">
        <is>
          <t>Lote 003 - 1 - 06. Loteamento Aditivo Medianeira</t>
        </is>
      </c>
      <c r="F25" s="6" t="inlineStr">
        <is>
          <t>06. Loteamento Aditivo Medianeira</t>
        </is>
      </c>
      <c r="G25" s="6" t="inlineStr">
        <is>
          <t>003</t>
        </is>
      </c>
      <c r="H25" s="6" t="inlineStr">
        <is>
          <t>1</t>
        </is>
      </c>
      <c r="I25" s="6" t="inlineStr"/>
      <c r="J25" s="6" t="inlineStr"/>
      <c r="K25" s="7" t="n">
        <v>214000</v>
      </c>
      <c r="L25" s="8" t="n">
        <v>1</v>
      </c>
      <c r="M25" s="9">
        <f>K25*L25*$E$3</f>
        <v/>
      </c>
      <c r="N25" s="6" t="inlineStr">
        <is>
          <t>9</t>
        </is>
      </c>
      <c r="O25" s="6" t="inlineStr"/>
    </row>
    <row r="26">
      <c r="A26" s="6" t="n">
        <v>21</v>
      </c>
      <c r="B26" s="6" t="inlineStr">
        <is>
          <t>10 - Siviero Empreendimentos Imobiliários Ltda.</t>
        </is>
      </c>
      <c r="C26" s="6" t="inlineStr">
        <is>
          <t>Lote em loteamento</t>
        </is>
      </c>
      <c r="D26" s="6" t="inlineStr"/>
      <c r="E26" s="6" t="inlineStr">
        <is>
          <t>Lote 002 - 6 - 06. Loteamento Aditivo Medianeira</t>
        </is>
      </c>
      <c r="F26" s="6" t="inlineStr">
        <is>
          <t>06. Loteamento Aditivo Medianeira</t>
        </is>
      </c>
      <c r="G26" s="6" t="inlineStr">
        <is>
          <t>002</t>
        </is>
      </c>
      <c r="H26" s="6" t="inlineStr">
        <is>
          <t>6</t>
        </is>
      </c>
      <c r="I26" s="6" t="inlineStr"/>
      <c r="J26" s="6" t="inlineStr"/>
      <c r="K26" s="7" t="n">
        <v>156000</v>
      </c>
      <c r="L26" s="8" t="n">
        <v>1</v>
      </c>
      <c r="M26" s="9">
        <f>K26*L26*$E$3</f>
        <v/>
      </c>
      <c r="N26" s="6" t="inlineStr">
        <is>
          <t>9</t>
        </is>
      </c>
      <c r="O26" s="6" t="inlineStr"/>
    </row>
    <row r="27">
      <c r="A27" s="6" t="n">
        <v>22</v>
      </c>
      <c r="B27" s="6" t="inlineStr">
        <is>
          <t>10 - Siviero Empreendimentos Imobiliários Ltda.</t>
        </is>
      </c>
      <c r="C27" s="6" t="inlineStr">
        <is>
          <t>Lote em loteamento</t>
        </is>
      </c>
      <c r="D27" s="6" t="inlineStr"/>
      <c r="E27" s="6" t="inlineStr">
        <is>
          <t>Lote 003 - 6 - 06. Loteamento Aditivo Medianeira</t>
        </is>
      </c>
      <c r="F27" s="6" t="inlineStr">
        <is>
          <t>06. Loteamento Aditivo Medianeira</t>
        </is>
      </c>
      <c r="G27" s="6" t="inlineStr">
        <is>
          <t>003</t>
        </is>
      </c>
      <c r="H27" s="6" t="inlineStr">
        <is>
          <t>6</t>
        </is>
      </c>
      <c r="I27" s="6" t="inlineStr"/>
      <c r="J27" s="6" t="inlineStr"/>
      <c r="K27" s="7" t="n">
        <v>156000</v>
      </c>
      <c r="L27" s="8" t="n">
        <v>1</v>
      </c>
      <c r="M27" s="9">
        <f>K27*L27*$E$3</f>
        <v/>
      </c>
      <c r="N27" s="6" t="inlineStr">
        <is>
          <t>9</t>
        </is>
      </c>
      <c r="O27" s="6" t="inlineStr"/>
    </row>
    <row r="28">
      <c r="A28" s="6" t="n">
        <v>23</v>
      </c>
      <c r="B28" s="6" t="inlineStr">
        <is>
          <t>10 - Siviero Empreendimentos Imobiliários Ltda.</t>
        </is>
      </c>
      <c r="C28" s="6" t="inlineStr">
        <is>
          <t>Lote em loteamento</t>
        </is>
      </c>
      <c r="D28" s="6" t="inlineStr"/>
      <c r="E28" s="6" t="inlineStr">
        <is>
          <t>Lote 007 - 8 - 06. Loteamento Aditivo Medianeira</t>
        </is>
      </c>
      <c r="F28" s="6" t="inlineStr">
        <is>
          <t>06. Loteamento Aditivo Medianeira</t>
        </is>
      </c>
      <c r="G28" s="6" t="inlineStr">
        <is>
          <t>007</t>
        </is>
      </c>
      <c r="H28" s="6" t="inlineStr">
        <is>
          <t>8</t>
        </is>
      </c>
      <c r="I28" s="6" t="inlineStr"/>
      <c r="J28" s="6" t="inlineStr"/>
      <c r="K28" s="7" t="n">
        <v>152000</v>
      </c>
      <c r="L28" s="8" t="n">
        <v>1</v>
      </c>
      <c r="M28" s="9">
        <f>K28*L28*$E$3</f>
        <v/>
      </c>
      <c r="N28" s="6" t="inlineStr">
        <is>
          <t>9</t>
        </is>
      </c>
      <c r="O28" s="6" t="inlineStr"/>
    </row>
    <row r="29">
      <c r="A29" s="6" t="n">
        <v>24</v>
      </c>
      <c r="B29" s="6" t="inlineStr">
        <is>
          <t>10 - Siviero Empreendimentos Imobiliários Ltda.</t>
        </is>
      </c>
      <c r="C29" s="6" t="inlineStr">
        <is>
          <t>Lote em loteamento</t>
        </is>
      </c>
      <c r="D29" s="6" t="inlineStr"/>
      <c r="E29" s="6" t="inlineStr">
        <is>
          <t>Lote 002 - 05 - 07. Colina do Retiro</t>
        </is>
      </c>
      <c r="F29" s="6" t="inlineStr">
        <is>
          <t>07. Colina do Retiro</t>
        </is>
      </c>
      <c r="G29" s="6" t="inlineStr">
        <is>
          <t>002</t>
        </is>
      </c>
      <c r="H29" s="6" t="inlineStr">
        <is>
          <t>05</t>
        </is>
      </c>
      <c r="I29" s="6" t="inlineStr"/>
      <c r="J29" s="6" t="inlineStr"/>
      <c r="K29" s="7" t="n">
        <v>160000</v>
      </c>
      <c r="L29" s="8" t="n">
        <v>1</v>
      </c>
      <c r="M29" s="9">
        <f>K29*L29*$E$3</f>
        <v/>
      </c>
      <c r="N29" s="6" t="inlineStr">
        <is>
          <t>9</t>
        </is>
      </c>
      <c r="O29" s="6" t="inlineStr"/>
    </row>
    <row r="30">
      <c r="A30" s="6" t="n">
        <v>25</v>
      </c>
      <c r="B30" s="6" t="inlineStr">
        <is>
          <t>10 - Siviero Empreendimentos Imobiliários Ltda.</t>
        </is>
      </c>
      <c r="C30" s="6" t="inlineStr">
        <is>
          <t>Lote em loteamento</t>
        </is>
      </c>
      <c r="D30" s="6" t="inlineStr"/>
      <c r="E30" s="6" t="inlineStr">
        <is>
          <t>Lote 002 - 09 - 07. Colina do Retiro</t>
        </is>
      </c>
      <c r="F30" s="6" t="inlineStr">
        <is>
          <t>07. Colina do Retiro</t>
        </is>
      </c>
      <c r="G30" s="6" t="inlineStr">
        <is>
          <t>002</t>
        </is>
      </c>
      <c r="H30" s="6" t="inlineStr">
        <is>
          <t>09</t>
        </is>
      </c>
      <c r="I30" s="6" t="inlineStr"/>
      <c r="J30" s="6" t="inlineStr"/>
      <c r="K30" s="7" t="n">
        <v>159000</v>
      </c>
      <c r="L30" s="8" t="n">
        <v>1</v>
      </c>
      <c r="M30" s="9">
        <f>K30*L30*$E$3</f>
        <v/>
      </c>
      <c r="N30" s="6" t="inlineStr">
        <is>
          <t>9</t>
        </is>
      </c>
      <c r="O30" s="6" t="inlineStr"/>
    </row>
    <row r="31">
      <c r="A31" s="6" t="n">
        <v>26</v>
      </c>
      <c r="B31" s="6" t="inlineStr">
        <is>
          <t>10 - Siviero Empreendimentos Imobiliários Ltda.</t>
        </is>
      </c>
      <c r="C31" s="6" t="inlineStr">
        <is>
          <t>Lote em loteamento</t>
        </is>
      </c>
      <c r="D31" s="6" t="inlineStr"/>
      <c r="E31" s="6" t="inlineStr">
        <is>
          <t>Lote 003 - 09 - 07. Colina do Retiro</t>
        </is>
      </c>
      <c r="F31" s="6" t="inlineStr">
        <is>
          <t>07. Colina do Retiro</t>
        </is>
      </c>
      <c r="G31" s="6" t="inlineStr">
        <is>
          <t>003</t>
        </is>
      </c>
      <c r="H31" s="6" t="inlineStr">
        <is>
          <t>09</t>
        </is>
      </c>
      <c r="I31" s="6" t="inlineStr"/>
      <c r="J31" s="6" t="inlineStr"/>
      <c r="K31" s="7" t="n">
        <v>159000</v>
      </c>
      <c r="L31" s="8" t="n">
        <v>1</v>
      </c>
      <c r="M31" s="9">
        <f>K31*L31*$E$3</f>
        <v/>
      </c>
      <c r="N31" s="6" t="inlineStr">
        <is>
          <t>9</t>
        </is>
      </c>
      <c r="O31" s="6" t="inlineStr"/>
    </row>
    <row r="32">
      <c r="A32" s="6" t="n">
        <v>27</v>
      </c>
      <c r="B32" s="6" t="inlineStr">
        <is>
          <t>10 - Siviero Empreendimentos Imobiliários Ltda.</t>
        </is>
      </c>
      <c r="C32" s="6" t="inlineStr">
        <is>
          <t>Lote em loteamento</t>
        </is>
      </c>
      <c r="D32" s="6" t="inlineStr"/>
      <c r="E32" s="6" t="inlineStr">
        <is>
          <t>Lote 002 - 02 - 08. Loteamento Salvador - Alberto Salvador - Femaçã II</t>
        </is>
      </c>
      <c r="F32" s="6" t="inlineStr">
        <is>
          <t>08. Loteamento Salvador - Alberto Salvador - Femaçã II</t>
        </is>
      </c>
      <c r="G32" s="6" t="inlineStr">
        <is>
          <t>002</t>
        </is>
      </c>
      <c r="H32" s="6" t="inlineStr">
        <is>
          <t>02</t>
        </is>
      </c>
      <c r="I32" s="6" t="inlineStr"/>
      <c r="J32" s="6" t="inlineStr"/>
      <c r="K32" s="7" t="n">
        <v>413000</v>
      </c>
      <c r="L32" s="8" t="n">
        <v>1</v>
      </c>
      <c r="M32" s="9">
        <f>K32*L32*$E$3</f>
        <v/>
      </c>
      <c r="N32" s="6" t="inlineStr">
        <is>
          <t>10</t>
        </is>
      </c>
      <c r="O32" s="6" t="inlineStr"/>
    </row>
    <row r="33">
      <c r="A33" s="6" t="n">
        <v>28</v>
      </c>
      <c r="B33" s="6" t="inlineStr">
        <is>
          <t>10 - Siviero Empreendimentos Imobiliários Ltda.</t>
        </is>
      </c>
      <c r="C33" s="6" t="inlineStr">
        <is>
          <t>Lote em loteamento</t>
        </is>
      </c>
      <c r="D33" s="6" t="inlineStr"/>
      <c r="E33" s="6" t="inlineStr">
        <is>
          <t>Lote 004 - 02 - 08. Loteamento Salvador - Alberto Salvador - Femaçã II</t>
        </is>
      </c>
      <c r="F33" s="6" t="inlineStr">
        <is>
          <t>08. Loteamento Salvador - Alberto Salvador - Femaçã II</t>
        </is>
      </c>
      <c r="G33" s="6" t="inlineStr">
        <is>
          <t>004</t>
        </is>
      </c>
      <c r="H33" s="6" t="inlineStr">
        <is>
          <t>02</t>
        </is>
      </c>
      <c r="I33" s="6" t="inlineStr"/>
      <c r="J33" s="6" t="inlineStr"/>
      <c r="K33" s="7" t="n">
        <v>440000</v>
      </c>
      <c r="L33" s="8" t="n">
        <v>1</v>
      </c>
      <c r="M33" s="9">
        <f>K33*L33*$E$3</f>
        <v/>
      </c>
      <c r="N33" s="6" t="inlineStr">
        <is>
          <t>10</t>
        </is>
      </c>
      <c r="O33" s="6" t="inlineStr"/>
    </row>
    <row r="34">
      <c r="A34" s="6" t="n">
        <v>29</v>
      </c>
      <c r="B34" s="6" t="inlineStr">
        <is>
          <t>10 - Siviero Empreendimentos Imobiliários Ltda.</t>
        </is>
      </c>
      <c r="C34" s="6" t="inlineStr">
        <is>
          <t>Lote em loteamento</t>
        </is>
      </c>
      <c r="D34" s="6" t="inlineStr"/>
      <c r="E34" s="6" t="inlineStr">
        <is>
          <t>Lote 005 - 02 - 08. Loteamento Salvador - Alberto Salvador - Femaçã II</t>
        </is>
      </c>
      <c r="F34" s="6" t="inlineStr">
        <is>
          <t>08. Loteamento Salvador - Alberto Salvador - Femaçã II</t>
        </is>
      </c>
      <c r="G34" s="6" t="inlineStr">
        <is>
          <t>005</t>
        </is>
      </c>
      <c r="H34" s="6" t="inlineStr">
        <is>
          <t>02</t>
        </is>
      </c>
      <c r="I34" s="6" t="inlineStr"/>
      <c r="J34" s="6" t="inlineStr"/>
      <c r="K34" s="7" t="n">
        <v>326000</v>
      </c>
      <c r="L34" s="8" t="n">
        <v>1</v>
      </c>
      <c r="M34" s="9">
        <f>K34*L34*$E$3</f>
        <v/>
      </c>
      <c r="N34" s="6" t="inlineStr">
        <is>
          <t>10</t>
        </is>
      </c>
      <c r="O34" s="6" t="inlineStr"/>
    </row>
    <row r="35">
      <c r="A35" s="6" t="n">
        <v>30</v>
      </c>
      <c r="B35" s="6" t="inlineStr">
        <is>
          <t>10 - Siviero Empreendimentos Imobiliários Ltda.</t>
        </is>
      </c>
      <c r="C35" s="6" t="inlineStr">
        <is>
          <t>Lote em loteamento</t>
        </is>
      </c>
      <c r="D35" s="6" t="inlineStr"/>
      <c r="E35" s="6" t="inlineStr">
        <is>
          <t>Lote 006 - 02 - 08. Loteamento Salvador - Alberto Salvador - Femaçã II</t>
        </is>
      </c>
      <c r="F35" s="6" t="inlineStr">
        <is>
          <t>08. Loteamento Salvador - Alberto Salvador - Femaçã II</t>
        </is>
      </c>
      <c r="G35" s="6" t="inlineStr">
        <is>
          <t>006</t>
        </is>
      </c>
      <c r="H35" s="6" t="inlineStr">
        <is>
          <t>02</t>
        </is>
      </c>
      <c r="I35" s="6" t="inlineStr"/>
      <c r="J35" s="6" t="inlineStr"/>
      <c r="K35" s="7" t="n">
        <v>309000</v>
      </c>
      <c r="L35" s="8" t="n">
        <v>1</v>
      </c>
      <c r="M35" s="9">
        <f>K35*L35*$E$3</f>
        <v/>
      </c>
      <c r="N35" s="6" t="inlineStr">
        <is>
          <t>10</t>
        </is>
      </c>
      <c r="O35" s="6" t="inlineStr"/>
    </row>
    <row r="36">
      <c r="A36" s="6" t="n">
        <v>31</v>
      </c>
      <c r="B36" s="6" t="inlineStr">
        <is>
          <t>10 - Siviero Empreendimentos Imobiliários Ltda.</t>
        </is>
      </c>
      <c r="C36" s="6" t="inlineStr">
        <is>
          <t>Lote em loteamento</t>
        </is>
      </c>
      <c r="D36" s="6" t="inlineStr"/>
      <c r="E36" s="6" t="inlineStr">
        <is>
          <t>Lote 007 - 02 - 08. Loteamento Salvador - Alberto Salvador - Femaçã II</t>
        </is>
      </c>
      <c r="F36" s="6" t="inlineStr">
        <is>
          <t>08. Loteamento Salvador - Alberto Salvador - Femaçã II</t>
        </is>
      </c>
      <c r="G36" s="6" t="inlineStr">
        <is>
          <t>007</t>
        </is>
      </c>
      <c r="H36" s="6" t="inlineStr">
        <is>
          <t>02</t>
        </is>
      </c>
      <c r="I36" s="6" t="inlineStr"/>
      <c r="J36" s="6" t="inlineStr"/>
      <c r="K36" s="7" t="n">
        <v>301000</v>
      </c>
      <c r="L36" s="8" t="n">
        <v>1</v>
      </c>
      <c r="M36" s="9">
        <f>K36*L36*$E$3</f>
        <v/>
      </c>
      <c r="N36" s="6" t="inlineStr">
        <is>
          <t>10</t>
        </is>
      </c>
      <c r="O36" s="6" t="inlineStr"/>
    </row>
    <row r="37">
      <c r="A37" s="6" t="n">
        <v>32</v>
      </c>
      <c r="B37" s="6" t="inlineStr">
        <is>
          <t>10 - Siviero Empreendimentos Imobiliários Ltda.</t>
        </is>
      </c>
      <c r="C37" s="6" t="inlineStr">
        <is>
          <t>Lote em loteamento</t>
        </is>
      </c>
      <c r="D37" s="6" t="inlineStr"/>
      <c r="E37" s="6" t="inlineStr">
        <is>
          <t>Lote 003 - 01 - 09. Loteamento Colina do Retiro II</t>
        </is>
      </c>
      <c r="F37" s="6" t="inlineStr">
        <is>
          <t>09. Loteamento Colina do Retiro II</t>
        </is>
      </c>
      <c r="G37" s="6" t="inlineStr">
        <is>
          <t>003</t>
        </is>
      </c>
      <c r="H37" s="6" t="inlineStr">
        <is>
          <t>01</t>
        </is>
      </c>
      <c r="I37" s="6" t="inlineStr"/>
      <c r="J37" s="6" t="inlineStr"/>
      <c r="K37" s="7" t="n">
        <v>225000</v>
      </c>
      <c r="L37" s="8" t="n">
        <v>1</v>
      </c>
      <c r="M37" s="9">
        <f>K37*L37*$E$3</f>
        <v/>
      </c>
      <c r="N37" s="6" t="inlineStr">
        <is>
          <t>10</t>
        </is>
      </c>
      <c r="O37" s="6" t="inlineStr"/>
    </row>
    <row r="38">
      <c r="A38" s="6" t="n">
        <v>33</v>
      </c>
      <c r="B38" s="6" t="inlineStr">
        <is>
          <t>10 - Siviero Empreendimentos Imobiliários Ltda.</t>
        </is>
      </c>
      <c r="C38" s="6" t="inlineStr">
        <is>
          <t>Lote em loteamento</t>
        </is>
      </c>
      <c r="D38" s="6" t="inlineStr"/>
      <c r="E38" s="6" t="inlineStr">
        <is>
          <t>Lote 004 - 01 - 09. Loteamento Colina do Retiro II</t>
        </is>
      </c>
      <c r="F38" s="6" t="inlineStr">
        <is>
          <t>09. Loteamento Colina do Retiro II</t>
        </is>
      </c>
      <c r="G38" s="6" t="inlineStr">
        <is>
          <t>004</t>
        </is>
      </c>
      <c r="H38" s="6" t="inlineStr">
        <is>
          <t>01</t>
        </is>
      </c>
      <c r="I38" s="6" t="inlineStr"/>
      <c r="J38" s="6" t="inlineStr"/>
      <c r="K38" s="7" t="n">
        <v>232000</v>
      </c>
      <c r="L38" s="8" t="n">
        <v>1</v>
      </c>
      <c r="M38" s="9">
        <f>K38*L38*$E$3</f>
        <v/>
      </c>
      <c r="N38" s="6" t="inlineStr">
        <is>
          <t>10</t>
        </is>
      </c>
      <c r="O38" s="6" t="inlineStr"/>
    </row>
    <row r="39">
      <c r="A39" s="6" t="n">
        <v>34</v>
      </c>
      <c r="B39" s="6" t="inlineStr">
        <is>
          <t>10 - Siviero Empreendimentos Imobiliários Ltda.</t>
        </is>
      </c>
      <c r="C39" s="6" t="inlineStr">
        <is>
          <t>Lote em loteamento</t>
        </is>
      </c>
      <c r="D39" s="6" t="inlineStr"/>
      <c r="E39" s="6" t="inlineStr">
        <is>
          <t>Lote 002 - 02 - 09. Loteamento Colina do Retiro II</t>
        </is>
      </c>
      <c r="F39" s="6" t="inlineStr">
        <is>
          <t>09. Loteamento Colina do Retiro II</t>
        </is>
      </c>
      <c r="G39" s="6" t="inlineStr">
        <is>
          <t>002</t>
        </is>
      </c>
      <c r="H39" s="6" t="inlineStr">
        <is>
          <t>02</t>
        </is>
      </c>
      <c r="I39" s="6" t="inlineStr"/>
      <c r="J39" s="6" t="inlineStr"/>
      <c r="K39" s="7" t="n">
        <v>189000</v>
      </c>
      <c r="L39" s="8" t="n">
        <v>1</v>
      </c>
      <c r="M39" s="9">
        <f>K39*L39*$E$3</f>
        <v/>
      </c>
      <c r="N39" s="6" t="inlineStr">
        <is>
          <t>10</t>
        </is>
      </c>
      <c r="O39" s="6" t="inlineStr"/>
    </row>
    <row r="40">
      <c r="A40" s="6" t="n">
        <v>35</v>
      </c>
      <c r="B40" s="6" t="inlineStr">
        <is>
          <t>10 - Siviero Empreendimentos Imobiliários Ltda.</t>
        </is>
      </c>
      <c r="C40" s="6" t="inlineStr">
        <is>
          <t>Lote em loteamento</t>
        </is>
      </c>
      <c r="D40" s="6" t="inlineStr"/>
      <c r="E40" s="6" t="inlineStr">
        <is>
          <t>Lote 006 - 02 - 09. Loteamento Colina do Retiro II</t>
        </is>
      </c>
      <c r="F40" s="6" t="inlineStr">
        <is>
          <t>09. Loteamento Colina do Retiro II</t>
        </is>
      </c>
      <c r="G40" s="6" t="inlineStr">
        <is>
          <t>006</t>
        </is>
      </c>
      <c r="H40" s="6" t="inlineStr">
        <is>
          <t>02</t>
        </is>
      </c>
      <c r="I40" s="6" t="inlineStr"/>
      <c r="J40" s="6" t="inlineStr"/>
      <c r="K40" s="7" t="n">
        <v>199000</v>
      </c>
      <c r="L40" s="8" t="n">
        <v>1</v>
      </c>
      <c r="M40" s="9">
        <f>K40*L40*$E$3</f>
        <v/>
      </c>
      <c r="N40" s="6" t="inlineStr">
        <is>
          <t>10</t>
        </is>
      </c>
      <c r="O40" s="6" t="inlineStr"/>
    </row>
    <row r="41">
      <c r="A41" s="6" t="n">
        <v>36</v>
      </c>
      <c r="B41" s="6" t="inlineStr">
        <is>
          <t>10 - Siviero Empreendimentos Imobiliários Ltda.</t>
        </is>
      </c>
      <c r="C41" s="6" t="inlineStr">
        <is>
          <t>Lote em loteamento</t>
        </is>
      </c>
      <c r="D41" s="6" t="inlineStr"/>
      <c r="E41" s="6" t="inlineStr">
        <is>
          <t>Lote 007 - 02 - 09. Loteamento Colina do Retiro II</t>
        </is>
      </c>
      <c r="F41" s="6" t="inlineStr">
        <is>
          <t>09. Loteamento Colina do Retiro II</t>
        </is>
      </c>
      <c r="G41" s="6" t="inlineStr">
        <is>
          <t>007</t>
        </is>
      </c>
      <c r="H41" s="6" t="inlineStr">
        <is>
          <t>02</t>
        </is>
      </c>
      <c r="I41" s="6" t="inlineStr"/>
      <c r="J41" s="6" t="inlineStr"/>
      <c r="K41" s="7" t="n">
        <v>212000</v>
      </c>
      <c r="L41" s="8" t="n">
        <v>1</v>
      </c>
      <c r="M41" s="9">
        <f>K41*L41*$E$3</f>
        <v/>
      </c>
      <c r="N41" s="6" t="inlineStr">
        <is>
          <t>10</t>
        </is>
      </c>
      <c r="O41" s="6" t="inlineStr"/>
    </row>
    <row r="42">
      <c r="A42" s="6" t="n">
        <v>37</v>
      </c>
      <c r="B42" s="6" t="inlineStr">
        <is>
          <t>10 - Siviero Empreendimentos Imobiliários Ltda.</t>
        </is>
      </c>
      <c r="C42" s="6" t="inlineStr">
        <is>
          <t>Lote em loteamento</t>
        </is>
      </c>
      <c r="D42" s="6" t="inlineStr"/>
      <c r="E42" s="6" t="inlineStr">
        <is>
          <t>Lote 002 - 04 - 09. Loteamento Colina do Retiro II</t>
        </is>
      </c>
      <c r="F42" s="6" t="inlineStr">
        <is>
          <t>09. Loteamento Colina do Retiro II</t>
        </is>
      </c>
      <c r="G42" s="6" t="inlineStr">
        <is>
          <t>002</t>
        </is>
      </c>
      <c r="H42" s="6" t="inlineStr">
        <is>
          <t>04</t>
        </is>
      </c>
      <c r="I42" s="6" t="inlineStr"/>
      <c r="J42" s="6" t="inlineStr"/>
      <c r="K42" s="7" t="n">
        <v>191000</v>
      </c>
      <c r="L42" s="8" t="n">
        <v>1</v>
      </c>
      <c r="M42" s="9">
        <f>K42*L42*$E$3</f>
        <v/>
      </c>
      <c r="N42" s="6" t="inlineStr">
        <is>
          <t>10</t>
        </is>
      </c>
      <c r="O42" s="6" t="inlineStr"/>
    </row>
    <row r="43">
      <c r="A43" s="6" t="n">
        <v>38</v>
      </c>
      <c r="B43" s="6" t="inlineStr">
        <is>
          <t>10 - Siviero Empreendimentos Imobiliários Ltda.</t>
        </is>
      </c>
      <c r="C43" s="6" t="inlineStr">
        <is>
          <t>Lote em loteamento</t>
        </is>
      </c>
      <c r="D43" s="6" t="inlineStr"/>
      <c r="E43" s="6" t="inlineStr">
        <is>
          <t>Lote 003 - 04 - 09. Loteamento Colina do Retiro II</t>
        </is>
      </c>
      <c r="F43" s="6" t="inlineStr">
        <is>
          <t>09. Loteamento Colina do Retiro II</t>
        </is>
      </c>
      <c r="G43" s="6" t="inlineStr">
        <is>
          <t>003</t>
        </is>
      </c>
      <c r="H43" s="6" t="inlineStr">
        <is>
          <t>04</t>
        </is>
      </c>
      <c r="I43" s="6" t="inlineStr"/>
      <c r="J43" s="6" t="inlineStr"/>
      <c r="K43" s="7" t="n">
        <v>191000</v>
      </c>
      <c r="L43" s="8" t="n">
        <v>1</v>
      </c>
      <c r="M43" s="9">
        <f>K43*L43*$E$3</f>
        <v/>
      </c>
      <c r="N43" s="6" t="inlineStr">
        <is>
          <t>10</t>
        </is>
      </c>
      <c r="O43" s="6" t="inlineStr"/>
    </row>
    <row r="44">
      <c r="A44" s="6" t="n">
        <v>39</v>
      </c>
      <c r="B44" s="6" t="inlineStr">
        <is>
          <t>10 - Siviero Empreendimentos Imobiliários Ltda.</t>
        </is>
      </c>
      <c r="C44" s="6" t="inlineStr">
        <is>
          <t>Lote em loteamento</t>
        </is>
      </c>
      <c r="D44" s="6" t="inlineStr"/>
      <c r="E44" s="6" t="inlineStr">
        <is>
          <t>Lote 006 - 04 - 09. Loteamento Colina do Retiro II</t>
        </is>
      </c>
      <c r="F44" s="6" t="inlineStr">
        <is>
          <t>09. Loteamento Colina do Retiro II</t>
        </is>
      </c>
      <c r="G44" s="6" t="inlineStr">
        <is>
          <t>006</t>
        </is>
      </c>
      <c r="H44" s="6" t="inlineStr">
        <is>
          <t>04</t>
        </is>
      </c>
      <c r="I44" s="6" t="inlineStr"/>
      <c r="J44" s="6" t="inlineStr"/>
      <c r="K44" s="7" t="n">
        <v>212000</v>
      </c>
      <c r="L44" s="8" t="n">
        <v>1</v>
      </c>
      <c r="M44" s="9">
        <f>K44*L44*$E$3</f>
        <v/>
      </c>
      <c r="N44" s="6" t="inlineStr">
        <is>
          <t>10</t>
        </is>
      </c>
      <c r="O44" s="6" t="inlineStr"/>
    </row>
    <row r="45">
      <c r="A45" s="6" t="n">
        <v>40</v>
      </c>
      <c r="B45" s="6" t="inlineStr">
        <is>
          <t>10 - Siviero Empreendimentos Imobiliários Ltda.</t>
        </is>
      </c>
      <c r="C45" s="6" t="inlineStr">
        <is>
          <t>Lote em loteamento</t>
        </is>
      </c>
      <c r="D45" s="6" t="inlineStr"/>
      <c r="E45" s="6" t="inlineStr">
        <is>
          <t>Lote 007 - 04 - 09. Loteamento Colina do Retiro II</t>
        </is>
      </c>
      <c r="F45" s="6" t="inlineStr">
        <is>
          <t>09. Loteamento Colina do Retiro II</t>
        </is>
      </c>
      <c r="G45" s="6" t="inlineStr">
        <is>
          <t>007</t>
        </is>
      </c>
      <c r="H45" s="6" t="inlineStr">
        <is>
          <t>04</t>
        </is>
      </c>
      <c r="I45" s="6" t="inlineStr"/>
      <c r="J45" s="6" t="inlineStr"/>
      <c r="K45" s="7" t="n">
        <v>185000</v>
      </c>
      <c r="L45" s="8" t="n">
        <v>1</v>
      </c>
      <c r="M45" s="9">
        <f>K45*L45*$E$3</f>
        <v/>
      </c>
      <c r="N45" s="6" t="inlineStr">
        <is>
          <t>10</t>
        </is>
      </c>
      <c r="O45" s="6" t="inlineStr"/>
    </row>
    <row r="46">
      <c r="A46" s="6" t="n">
        <v>41</v>
      </c>
      <c r="B46" s="6" t="inlineStr">
        <is>
          <t>10 - Siviero Empreendimentos Imobiliários Ltda.</t>
        </is>
      </c>
      <c r="C46" s="6" t="inlineStr">
        <is>
          <t>Lote em loteamento</t>
        </is>
      </c>
      <c r="D46" s="6" t="inlineStr"/>
      <c r="E46" s="6" t="inlineStr">
        <is>
          <t>Lote 011 - 04 - 09. Loteamento Colina do Retiro II</t>
        </is>
      </c>
      <c r="F46" s="6" t="inlineStr">
        <is>
          <t>09. Loteamento Colina do Retiro II</t>
        </is>
      </c>
      <c r="G46" s="6" t="inlineStr">
        <is>
          <t>011</t>
        </is>
      </c>
      <c r="H46" s="6" t="inlineStr">
        <is>
          <t>04</t>
        </is>
      </c>
      <c r="I46" s="6" t="inlineStr"/>
      <c r="J46" s="6" t="inlineStr"/>
      <c r="K46" s="7" t="n">
        <v>191000</v>
      </c>
      <c r="L46" s="8" t="n">
        <v>1</v>
      </c>
      <c r="M46" s="9">
        <f>K46*L46*$E$3</f>
        <v/>
      </c>
      <c r="N46" s="6" t="inlineStr">
        <is>
          <t>10</t>
        </is>
      </c>
      <c r="O46" s="6" t="inlineStr"/>
    </row>
    <row r="47">
      <c r="A47" s="6" t="n">
        <v>42</v>
      </c>
      <c r="B47" s="6" t="inlineStr">
        <is>
          <t>10 - Siviero Empreendimentos Imobiliários Ltda.</t>
        </is>
      </c>
      <c r="C47" s="6" t="inlineStr">
        <is>
          <t>Lote em loteamento</t>
        </is>
      </c>
      <c r="D47" s="6" t="inlineStr"/>
      <c r="E47" s="6" t="inlineStr">
        <is>
          <t>Lote 012 - 04 - 09. Loteamento Colina do Retiro II</t>
        </is>
      </c>
      <c r="F47" s="6" t="inlineStr">
        <is>
          <t>09. Loteamento Colina do Retiro II</t>
        </is>
      </c>
      <c r="G47" s="6" t="inlineStr">
        <is>
          <t>012</t>
        </is>
      </c>
      <c r="H47" s="6" t="inlineStr">
        <is>
          <t>04</t>
        </is>
      </c>
      <c r="I47" s="6" t="inlineStr"/>
      <c r="J47" s="6" t="inlineStr"/>
      <c r="K47" s="7" t="n">
        <v>191000</v>
      </c>
      <c r="L47" s="8" t="n">
        <v>1</v>
      </c>
      <c r="M47" s="9">
        <f>K47*L47*$E$3</f>
        <v/>
      </c>
      <c r="N47" s="6" t="inlineStr">
        <is>
          <t>10</t>
        </is>
      </c>
      <c r="O47" s="6" t="inlineStr"/>
    </row>
    <row r="48">
      <c r="A48" s="6" t="n">
        <v>43</v>
      </c>
      <c r="B48" s="6" t="inlineStr">
        <is>
          <t>10 - Siviero Empreendimentos Imobiliários Ltda.</t>
        </is>
      </c>
      <c r="C48" s="6" t="inlineStr">
        <is>
          <t>Lote em loteamento</t>
        </is>
      </c>
      <c r="D48" s="6" t="inlineStr"/>
      <c r="E48" s="6" t="inlineStr">
        <is>
          <t>Lote 012 - 05 - 09. Loteamento Colina do Retiro II</t>
        </is>
      </c>
      <c r="F48" s="6" t="inlineStr">
        <is>
          <t>09. Loteamento Colina do Retiro II</t>
        </is>
      </c>
      <c r="G48" s="6" t="inlineStr">
        <is>
          <t>012</t>
        </is>
      </c>
      <c r="H48" s="6" t="inlineStr">
        <is>
          <t>05</t>
        </is>
      </c>
      <c r="I48" s="6" t="inlineStr"/>
      <c r="J48" s="6" t="inlineStr"/>
      <c r="K48" s="7" t="n">
        <v>206000</v>
      </c>
      <c r="L48" s="8" t="n">
        <v>1</v>
      </c>
      <c r="M48" s="9">
        <f>K48*L48*$E$3</f>
        <v/>
      </c>
      <c r="N48" s="6" t="inlineStr">
        <is>
          <t>10</t>
        </is>
      </c>
      <c r="O48" s="6" t="inlineStr"/>
    </row>
    <row r="49">
      <c r="A49" s="6" t="n">
        <v>44</v>
      </c>
      <c r="B49" s="6" t="inlineStr">
        <is>
          <t>10 - Siviero Empreendimentos Imobiliários Ltda.</t>
        </is>
      </c>
      <c r="C49" s="6" t="inlineStr">
        <is>
          <t>Lote em loteamento</t>
        </is>
      </c>
      <c r="D49" s="6" t="inlineStr"/>
      <c r="E49" s="6" t="inlineStr">
        <is>
          <t>Lote 001 - 06 - 09. Loteamento Colina do Retiro II</t>
        </is>
      </c>
      <c r="F49" s="6" t="inlineStr">
        <is>
          <t>09. Loteamento Colina do Retiro II</t>
        </is>
      </c>
      <c r="G49" s="6" t="inlineStr">
        <is>
          <t>001</t>
        </is>
      </c>
      <c r="H49" s="6" t="inlineStr">
        <is>
          <t>06</t>
        </is>
      </c>
      <c r="I49" s="6" t="inlineStr"/>
      <c r="J49" s="6" t="inlineStr"/>
      <c r="K49" s="7" t="n">
        <v>182000</v>
      </c>
      <c r="L49" s="8" t="n">
        <v>1</v>
      </c>
      <c r="M49" s="9">
        <f>K49*L49*$E$3</f>
        <v/>
      </c>
      <c r="N49" s="6" t="inlineStr">
        <is>
          <t>10</t>
        </is>
      </c>
      <c r="O49" s="6" t="inlineStr"/>
    </row>
    <row r="50">
      <c r="A50" s="6" t="n">
        <v>45</v>
      </c>
      <c r="B50" s="6" t="inlineStr">
        <is>
          <t>10 - Siviero Empreendimentos Imobiliários Ltda.</t>
        </is>
      </c>
      <c r="C50" s="6" t="inlineStr">
        <is>
          <t>Lote em loteamento</t>
        </is>
      </c>
      <c r="D50" s="6" t="inlineStr"/>
      <c r="E50" s="6" t="inlineStr">
        <is>
          <t>Lote 002 - 10 - 09. Loteamento Colina do Retiro II</t>
        </is>
      </c>
      <c r="F50" s="6" t="inlineStr">
        <is>
          <t>09. Loteamento Colina do Retiro II</t>
        </is>
      </c>
      <c r="G50" s="6" t="inlineStr">
        <is>
          <t>002</t>
        </is>
      </c>
      <c r="H50" s="6" t="inlineStr">
        <is>
          <t>10</t>
        </is>
      </c>
      <c r="I50" s="6" t="inlineStr"/>
      <c r="J50" s="6" t="inlineStr"/>
      <c r="K50" s="7" t="n">
        <v>162000</v>
      </c>
      <c r="L50" s="8" t="n">
        <v>1</v>
      </c>
      <c r="M50" s="9">
        <f>K50*L50*$E$3</f>
        <v/>
      </c>
      <c r="N50" s="6" t="inlineStr">
        <is>
          <t>10</t>
        </is>
      </c>
      <c r="O50" s="6" t="inlineStr"/>
    </row>
    <row r="51">
      <c r="A51" s="6" t="n">
        <v>46</v>
      </c>
      <c r="B51" s="6" t="inlineStr">
        <is>
          <t>10 - Siviero Empreendimentos Imobiliários Ltda.</t>
        </is>
      </c>
      <c r="C51" s="6" t="inlineStr">
        <is>
          <t>Lote em loteamento</t>
        </is>
      </c>
      <c r="D51" s="6" t="inlineStr"/>
      <c r="E51" s="6" t="inlineStr">
        <is>
          <t>Lote 009 - 10 - 09. Loteamento Colina do Retiro II</t>
        </is>
      </c>
      <c r="F51" s="6" t="inlineStr">
        <is>
          <t>09. Loteamento Colina do Retiro II</t>
        </is>
      </c>
      <c r="G51" s="6" t="inlineStr">
        <is>
          <t>009</t>
        </is>
      </c>
      <c r="H51" s="6" t="inlineStr">
        <is>
          <t>10</t>
        </is>
      </c>
      <c r="I51" s="6" t="inlineStr"/>
      <c r="J51" s="6" t="inlineStr"/>
      <c r="K51" s="7" t="n">
        <v>169000</v>
      </c>
      <c r="L51" s="8" t="n">
        <v>1</v>
      </c>
      <c r="M51" s="9">
        <f>K51*L51*$E$3</f>
        <v/>
      </c>
      <c r="N51" s="6" t="inlineStr">
        <is>
          <t>10</t>
        </is>
      </c>
      <c r="O51" s="6" t="inlineStr"/>
    </row>
    <row r="52">
      <c r="A52" s="6" t="n">
        <v>47</v>
      </c>
      <c r="B52" s="6" t="inlineStr">
        <is>
          <t>10 - Siviero Empreendimentos Imobiliários Ltda.</t>
        </is>
      </c>
      <c r="C52" s="6" t="inlineStr">
        <is>
          <t>Lote em loteamento</t>
        </is>
      </c>
      <c r="D52" s="6" t="inlineStr"/>
      <c r="E52" s="6" t="inlineStr">
        <is>
          <t>Lote 010 - 10 - 09. Loteamento Colina do Retiro II</t>
        </is>
      </c>
      <c r="F52" s="6" t="inlineStr">
        <is>
          <t>09. Loteamento Colina do Retiro II</t>
        </is>
      </c>
      <c r="G52" s="6" t="inlineStr">
        <is>
          <t>010</t>
        </is>
      </c>
      <c r="H52" s="6" t="inlineStr">
        <is>
          <t>10</t>
        </is>
      </c>
      <c r="I52" s="6" t="inlineStr"/>
      <c r="J52" s="6" t="inlineStr"/>
      <c r="K52" s="7" t="n">
        <v>204000</v>
      </c>
      <c r="L52" s="8" t="n">
        <v>1</v>
      </c>
      <c r="M52" s="9">
        <f>K52*L52*$E$3</f>
        <v/>
      </c>
      <c r="N52" s="6" t="inlineStr">
        <is>
          <t>10</t>
        </is>
      </c>
      <c r="O52" s="6" t="inlineStr"/>
    </row>
    <row r="53">
      <c r="A53" s="6" t="n">
        <v>48</v>
      </c>
      <c r="B53" s="6" t="inlineStr">
        <is>
          <t>10 - Siviero Empreendimentos Imobiliários Ltda.</t>
        </is>
      </c>
      <c r="C53" s="6" t="inlineStr">
        <is>
          <t>Lote em loteamento</t>
        </is>
      </c>
      <c r="D53" s="6" t="inlineStr"/>
      <c r="E53" s="6" t="inlineStr">
        <is>
          <t>Lote 012 - 10 - 09. Loteamento Colina do Retiro II</t>
        </is>
      </c>
      <c r="F53" s="6" t="inlineStr">
        <is>
          <t>09. Loteamento Colina do Retiro II</t>
        </is>
      </c>
      <c r="G53" s="6" t="inlineStr">
        <is>
          <t>012</t>
        </is>
      </c>
      <c r="H53" s="6" t="inlineStr">
        <is>
          <t>10</t>
        </is>
      </c>
      <c r="I53" s="6" t="inlineStr"/>
      <c r="J53" s="6" t="inlineStr"/>
      <c r="K53" s="7" t="n">
        <v>162000</v>
      </c>
      <c r="L53" s="8" t="n">
        <v>1</v>
      </c>
      <c r="M53" s="9">
        <f>K53*L53*$E$3</f>
        <v/>
      </c>
      <c r="N53" s="6" t="inlineStr">
        <is>
          <t>10</t>
        </is>
      </c>
      <c r="O53" s="6" t="inlineStr"/>
    </row>
    <row r="54">
      <c r="A54" s="6" t="n">
        <v>49</v>
      </c>
      <c r="B54" s="6" t="inlineStr">
        <is>
          <t>10 - Siviero Empreendimentos Imobiliários Ltda.</t>
        </is>
      </c>
      <c r="C54" s="6" t="inlineStr">
        <is>
          <t>Lote em loteamento</t>
        </is>
      </c>
      <c r="D54" s="6" t="inlineStr"/>
      <c r="E54" s="6" t="inlineStr">
        <is>
          <t>Lote 015 - 10 - 09. Loteamento Colina do Retiro II</t>
        </is>
      </c>
      <c r="F54" s="6" t="inlineStr">
        <is>
          <t>09. Loteamento Colina do Retiro II</t>
        </is>
      </c>
      <c r="G54" s="6" t="inlineStr">
        <is>
          <t>015</t>
        </is>
      </c>
      <c r="H54" s="6" t="inlineStr">
        <is>
          <t>10</t>
        </is>
      </c>
      <c r="I54" s="6" t="inlineStr"/>
      <c r="J54" s="6" t="inlineStr"/>
      <c r="K54" s="7" t="n">
        <v>168000</v>
      </c>
      <c r="L54" s="8" t="n">
        <v>1</v>
      </c>
      <c r="M54" s="9">
        <f>K54*L54*$E$3</f>
        <v/>
      </c>
      <c r="N54" s="6" t="inlineStr">
        <is>
          <t>10</t>
        </is>
      </c>
      <c r="O54" s="6" t="inlineStr"/>
    </row>
    <row r="55">
      <c r="A55" s="6" t="n">
        <v>50</v>
      </c>
      <c r="B55" s="6" t="inlineStr">
        <is>
          <t>10 - Siviero Empreendimentos Imobiliários Ltda.</t>
        </is>
      </c>
      <c r="C55" s="6" t="inlineStr">
        <is>
          <t>Lote em loteamento</t>
        </is>
      </c>
      <c r="D55" s="6" t="inlineStr"/>
      <c r="E55" s="6" t="inlineStr">
        <is>
          <t>Lote 007 - 15 - 09. Loteamento Colina do Retiro II</t>
        </is>
      </c>
      <c r="F55" s="6" t="inlineStr">
        <is>
          <t>09. Loteamento Colina do Retiro II</t>
        </is>
      </c>
      <c r="G55" s="6" t="inlineStr">
        <is>
          <t>007</t>
        </is>
      </c>
      <c r="H55" s="6" t="inlineStr">
        <is>
          <t>15</t>
        </is>
      </c>
      <c r="I55" s="6" t="inlineStr"/>
      <c r="J55" s="6" t="inlineStr"/>
      <c r="K55" s="7" t="n">
        <v>175000</v>
      </c>
      <c r="L55" s="8" t="n">
        <v>1</v>
      </c>
      <c r="M55" s="9">
        <f>K55*L55*$E$3</f>
        <v/>
      </c>
      <c r="N55" s="6" t="inlineStr">
        <is>
          <t>10</t>
        </is>
      </c>
      <c r="O55" s="6" t="inlineStr"/>
    </row>
    <row r="56">
      <c r="A56" s="6" t="n">
        <v>51</v>
      </c>
      <c r="B56" s="6" t="inlineStr">
        <is>
          <t>10 - Siviero Empreendimentos Imobiliários Ltda.</t>
        </is>
      </c>
      <c r="C56" s="6" t="inlineStr">
        <is>
          <t>Lote em loteamento</t>
        </is>
      </c>
      <c r="D56" s="6" t="inlineStr"/>
      <c r="E56" s="6" t="inlineStr">
        <is>
          <t>Lote 007 - 17 - 09. Loteamento Colina do Retiro II</t>
        </is>
      </c>
      <c r="F56" s="6" t="inlineStr">
        <is>
          <t>09. Loteamento Colina do Retiro II</t>
        </is>
      </c>
      <c r="G56" s="6" t="inlineStr">
        <is>
          <t>007</t>
        </is>
      </c>
      <c r="H56" s="6" t="inlineStr">
        <is>
          <t>17</t>
        </is>
      </c>
      <c r="I56" s="6" t="inlineStr"/>
      <c r="J56" s="6" t="inlineStr"/>
      <c r="K56" s="7" t="n">
        <v>235000</v>
      </c>
      <c r="L56" s="8" t="n">
        <v>1</v>
      </c>
      <c r="M56" s="9">
        <f>K56*L56*$E$3</f>
        <v/>
      </c>
      <c r="N56" s="6" t="inlineStr">
        <is>
          <t>10</t>
        </is>
      </c>
      <c r="O56" s="6" t="inlineStr"/>
    </row>
    <row r="57">
      <c r="A57" s="6" t="n">
        <v>52</v>
      </c>
      <c r="B57" s="6" t="inlineStr">
        <is>
          <t>10 - Siviero Empreendimentos Imobiliários Ltda.</t>
        </is>
      </c>
      <c r="C57" s="6" t="inlineStr">
        <is>
          <t>Lote em loteamento</t>
        </is>
      </c>
      <c r="D57" s="6" t="inlineStr"/>
      <c r="E57" s="6" t="inlineStr">
        <is>
          <t>Lote 001 - 02 - 10. Loteamento Industrial Pedra Lisa</t>
        </is>
      </c>
      <c r="F57" s="6" t="inlineStr">
        <is>
          <t>10. Loteamento Industrial Pedra Lisa</t>
        </is>
      </c>
      <c r="G57" s="6" t="inlineStr">
        <is>
          <t>001</t>
        </is>
      </c>
      <c r="H57" s="6" t="inlineStr">
        <is>
          <t>02</t>
        </is>
      </c>
      <c r="I57" s="6" t="inlineStr"/>
      <c r="J57" s="6" t="inlineStr"/>
      <c r="K57" s="7" t="n">
        <v>274000</v>
      </c>
      <c r="L57" s="8" t="n">
        <v>1</v>
      </c>
      <c r="M57" s="9">
        <f>K57*L57*$E$3</f>
        <v/>
      </c>
      <c r="N57" s="6" t="inlineStr">
        <is>
          <t>10</t>
        </is>
      </c>
      <c r="O57" s="6" t="inlineStr"/>
    </row>
    <row r="58">
      <c r="A58" s="6" t="n">
        <v>53</v>
      </c>
      <c r="B58" s="6" t="inlineStr">
        <is>
          <t>10 - Siviero Empreendimentos Imobiliários Ltda.</t>
        </is>
      </c>
      <c r="C58" s="6" t="inlineStr">
        <is>
          <t>Lote em loteamento</t>
        </is>
      </c>
      <c r="D58" s="6" t="inlineStr"/>
      <c r="E58" s="6" t="inlineStr">
        <is>
          <t>Lote 002 - 02 - 10. Loteamento Industrial Pedra Lisa</t>
        </is>
      </c>
      <c r="F58" s="6" t="inlineStr">
        <is>
          <t>10. Loteamento Industrial Pedra Lisa</t>
        </is>
      </c>
      <c r="G58" s="6" t="inlineStr">
        <is>
          <t>002</t>
        </is>
      </c>
      <c r="H58" s="6" t="inlineStr">
        <is>
          <t>02</t>
        </is>
      </c>
      <c r="I58" s="6" t="inlineStr"/>
      <c r="J58" s="6" t="inlineStr"/>
      <c r="K58" s="7" t="n">
        <v>274000</v>
      </c>
      <c r="L58" s="8" t="n">
        <v>1</v>
      </c>
      <c r="M58" s="9">
        <f>K58*L58*$E$3</f>
        <v/>
      </c>
      <c r="N58" s="6" t="inlineStr">
        <is>
          <t>10</t>
        </is>
      </c>
      <c r="O58" s="6" t="inlineStr"/>
    </row>
    <row r="59">
      <c r="A59" s="6" t="n">
        <v>54</v>
      </c>
      <c r="B59" s="6" t="inlineStr">
        <is>
          <t>10 - Siviero Empreendimentos Imobiliários Ltda.</t>
        </is>
      </c>
      <c r="C59" s="6" t="inlineStr">
        <is>
          <t>Lote em loteamento</t>
        </is>
      </c>
      <c r="D59" s="6" t="inlineStr"/>
      <c r="E59" s="6" t="inlineStr">
        <is>
          <t>Lote 003 - 02 - 10. Loteamento Industrial Pedra Lisa</t>
        </is>
      </c>
      <c r="F59" s="6" t="inlineStr">
        <is>
          <t>10. Loteamento Industrial Pedra Lisa</t>
        </is>
      </c>
      <c r="G59" s="6" t="inlineStr">
        <is>
          <t>003</t>
        </is>
      </c>
      <c r="H59" s="6" t="inlineStr">
        <is>
          <t>02</t>
        </is>
      </c>
      <c r="I59" s="6" t="inlineStr"/>
      <c r="J59" s="6" t="inlineStr"/>
      <c r="K59" s="7" t="n">
        <v>274000</v>
      </c>
      <c r="L59" s="8" t="n">
        <v>1</v>
      </c>
      <c r="M59" s="9">
        <f>K59*L59*$E$3</f>
        <v/>
      </c>
      <c r="N59" s="6" t="inlineStr">
        <is>
          <t>10</t>
        </is>
      </c>
      <c r="O59" s="6" t="inlineStr"/>
    </row>
    <row r="60">
      <c r="A60" s="6" t="n">
        <v>55</v>
      </c>
      <c r="B60" s="6" t="inlineStr">
        <is>
          <t>10 - Siviero Empreendimentos Imobiliários Ltda.</t>
        </is>
      </c>
      <c r="C60" s="6" t="inlineStr">
        <is>
          <t>Lote em loteamento</t>
        </is>
      </c>
      <c r="D60" s="6" t="inlineStr"/>
      <c r="E60" s="6" t="inlineStr">
        <is>
          <t>Lote 004 - 02 - 10. Loteamento Industrial Pedra Lisa</t>
        </is>
      </c>
      <c r="F60" s="6" t="inlineStr">
        <is>
          <t>10. Loteamento Industrial Pedra Lisa</t>
        </is>
      </c>
      <c r="G60" s="6" t="inlineStr">
        <is>
          <t>004</t>
        </is>
      </c>
      <c r="H60" s="6" t="inlineStr">
        <is>
          <t>02</t>
        </is>
      </c>
      <c r="I60" s="6" t="inlineStr"/>
      <c r="J60" s="6" t="inlineStr"/>
      <c r="K60" s="7" t="n">
        <v>277000</v>
      </c>
      <c r="L60" s="8" t="n">
        <v>1</v>
      </c>
      <c r="M60" s="9">
        <f>K60*L60*$E$3</f>
        <v/>
      </c>
      <c r="N60" s="6" t="inlineStr">
        <is>
          <t>10</t>
        </is>
      </c>
      <c r="O60" s="6" t="inlineStr"/>
    </row>
    <row r="61">
      <c r="A61" s="6" t="n">
        <v>56</v>
      </c>
      <c r="B61" s="6" t="inlineStr">
        <is>
          <t>10 - Siviero Empreendimentos Imobiliários Ltda.</t>
        </is>
      </c>
      <c r="C61" s="6" t="inlineStr">
        <is>
          <t>Lote em loteamento</t>
        </is>
      </c>
      <c r="D61" s="6" t="inlineStr"/>
      <c r="E61" s="6" t="inlineStr">
        <is>
          <t>Lote 006 - 02 - 10. Loteamento Industrial Pedra Lisa</t>
        </is>
      </c>
      <c r="F61" s="6" t="inlineStr">
        <is>
          <t>10. Loteamento Industrial Pedra Lisa</t>
        </is>
      </c>
      <c r="G61" s="6" t="inlineStr">
        <is>
          <t>006</t>
        </is>
      </c>
      <c r="H61" s="6" t="inlineStr">
        <is>
          <t>02</t>
        </is>
      </c>
      <c r="I61" s="6" t="inlineStr"/>
      <c r="J61" s="6" t="inlineStr"/>
      <c r="K61" s="7" t="n">
        <v>293000</v>
      </c>
      <c r="L61" s="8" t="n">
        <v>1</v>
      </c>
      <c r="M61" s="9">
        <f>K61*L61*$E$3</f>
        <v/>
      </c>
      <c r="N61" s="6" t="inlineStr">
        <is>
          <t>10</t>
        </is>
      </c>
      <c r="O61" s="6" t="inlineStr"/>
    </row>
    <row r="62">
      <c r="A62" s="6" t="n">
        <v>57</v>
      </c>
      <c r="B62" s="6" t="inlineStr">
        <is>
          <t>10 - Siviero Empreendimentos Imobiliários Ltda.</t>
        </is>
      </c>
      <c r="C62" s="6" t="inlineStr">
        <is>
          <t>Lote em loteamento</t>
        </is>
      </c>
      <c r="D62" s="6" t="inlineStr"/>
      <c r="E62" s="6" t="inlineStr">
        <is>
          <t>Lote 006 - 04 - 10. Loteamento Industrial Pedra Lisa</t>
        </is>
      </c>
      <c r="F62" s="6" t="inlineStr">
        <is>
          <t>10. Loteamento Industrial Pedra Lisa</t>
        </is>
      </c>
      <c r="G62" s="6" t="inlineStr">
        <is>
          <t>006</t>
        </is>
      </c>
      <c r="H62" s="6" t="inlineStr">
        <is>
          <t>04</t>
        </is>
      </c>
      <c r="I62" s="6" t="inlineStr"/>
      <c r="J62" s="6" t="inlineStr"/>
      <c r="K62" s="7" t="n">
        <v>301000</v>
      </c>
      <c r="L62" s="8" t="n">
        <v>1</v>
      </c>
      <c r="M62" s="9">
        <f>K62*L62*$E$3</f>
        <v/>
      </c>
      <c r="N62" s="6" t="inlineStr">
        <is>
          <t>10</t>
        </is>
      </c>
      <c r="O62" s="6" t="inlineStr"/>
    </row>
    <row r="63">
      <c r="A63" s="6" t="n">
        <v>58</v>
      </c>
      <c r="B63" s="6" t="inlineStr">
        <is>
          <t>10 - Siviero Empreendimentos Imobiliários Ltda.</t>
        </is>
      </c>
      <c r="C63" s="6" t="inlineStr">
        <is>
          <t>Lote em loteamento</t>
        </is>
      </c>
      <c r="D63" s="6" t="inlineStr"/>
      <c r="E63" s="6" t="inlineStr">
        <is>
          <t>Lote 001 - 05 - 10. Loteamento Industrial Pedra Lisa</t>
        </is>
      </c>
      <c r="F63" s="6" t="inlineStr">
        <is>
          <t>10. Loteamento Industrial Pedra Lisa</t>
        </is>
      </c>
      <c r="G63" s="6" t="inlineStr">
        <is>
          <t>001</t>
        </is>
      </c>
      <c r="H63" s="6" t="inlineStr">
        <is>
          <t>05</t>
        </is>
      </c>
      <c r="I63" s="6" t="inlineStr"/>
      <c r="J63" s="6" t="inlineStr"/>
      <c r="K63" s="7" t="n">
        <v>301000</v>
      </c>
      <c r="L63" s="8" t="n">
        <v>1</v>
      </c>
      <c r="M63" s="9">
        <f>K63*L63*$E$3</f>
        <v/>
      </c>
      <c r="N63" s="6" t="inlineStr">
        <is>
          <t>10</t>
        </is>
      </c>
      <c r="O63" s="6" t="inlineStr"/>
    </row>
    <row r="64">
      <c r="A64" s="6" t="n">
        <v>59</v>
      </c>
      <c r="B64" s="6" t="inlineStr">
        <is>
          <t>10 - Siviero Empreendimentos Imobiliários Ltda.</t>
        </is>
      </c>
      <c r="C64" s="6" t="inlineStr">
        <is>
          <t>Lote em loteamento</t>
        </is>
      </c>
      <c r="D64" s="6" t="inlineStr"/>
      <c r="E64" s="6" t="inlineStr">
        <is>
          <t>Lote 008 - 05 - 10. Loteamento Industrial Pedra Lisa</t>
        </is>
      </c>
      <c r="F64" s="6" t="inlineStr">
        <is>
          <t>10. Loteamento Industrial Pedra Lisa</t>
        </is>
      </c>
      <c r="G64" s="6" t="inlineStr">
        <is>
          <t>008</t>
        </is>
      </c>
      <c r="H64" s="6" t="inlineStr">
        <is>
          <t>05</t>
        </is>
      </c>
      <c r="I64" s="6" t="inlineStr"/>
      <c r="J64" s="6" t="inlineStr"/>
      <c r="K64" s="7" t="n">
        <v>301000</v>
      </c>
      <c r="L64" s="8" t="n">
        <v>1</v>
      </c>
      <c r="M64" s="9">
        <f>K64*L64*$E$3</f>
        <v/>
      </c>
      <c r="N64" s="6" t="inlineStr">
        <is>
          <t>11</t>
        </is>
      </c>
      <c r="O64" s="6" t="inlineStr"/>
    </row>
    <row r="65">
      <c r="A65" s="6" t="n">
        <v>60</v>
      </c>
      <c r="B65" s="6" t="inlineStr">
        <is>
          <t>10 - Siviero Empreendimentos Imobiliários Ltda.</t>
        </is>
      </c>
      <c r="C65" s="6" t="inlineStr">
        <is>
          <t>Lote em loteamento</t>
        </is>
      </c>
      <c r="D65" s="6" t="inlineStr"/>
      <c r="E65" s="6" t="inlineStr">
        <is>
          <t>Lote 046 - 49 - 12. Loteamento Baldasso</t>
        </is>
      </c>
      <c r="F65" s="6" t="inlineStr">
        <is>
          <t>12. Loteamento Baldasso</t>
        </is>
      </c>
      <c r="G65" s="6" t="inlineStr">
        <is>
          <t>046</t>
        </is>
      </c>
      <c r="H65" s="6" t="inlineStr">
        <is>
          <t>49</t>
        </is>
      </c>
      <c r="I65" s="6" t="inlineStr"/>
      <c r="J65" s="6" t="inlineStr"/>
      <c r="K65" s="7" t="n">
        <v>272000</v>
      </c>
      <c r="L65" s="8" t="n">
        <v>1</v>
      </c>
      <c r="M65" s="9">
        <f>K65*L65*$E$3</f>
        <v/>
      </c>
      <c r="N65" s="6" t="inlineStr">
        <is>
          <t>11</t>
        </is>
      </c>
      <c r="O65" s="6" t="inlineStr"/>
    </row>
    <row r="66">
      <c r="A66" s="6" t="n">
        <v>61</v>
      </c>
      <c r="B66" s="6" t="inlineStr">
        <is>
          <t>10 - Siviero Empreendimentos Imobiliários Ltda.</t>
        </is>
      </c>
      <c r="C66" s="6" t="inlineStr">
        <is>
          <t>Lote em loteamento</t>
        </is>
      </c>
      <c r="D66" s="6" t="inlineStr"/>
      <c r="E66" s="6" t="inlineStr">
        <is>
          <t>Lote 005 - 1 - 13. Loteamento Colina do Basalto</t>
        </is>
      </c>
      <c r="F66" s="6" t="inlineStr">
        <is>
          <t>13. Loteamento Colina do Basalto</t>
        </is>
      </c>
      <c r="G66" s="6" t="inlineStr">
        <is>
          <t>005</t>
        </is>
      </c>
      <c r="H66" s="6" t="inlineStr">
        <is>
          <t>1</t>
        </is>
      </c>
      <c r="I66" s="6" t="inlineStr"/>
      <c r="J66" s="6" t="inlineStr"/>
      <c r="K66" s="7" t="n">
        <v>167000</v>
      </c>
      <c r="L66" s="8" t="n">
        <v>1</v>
      </c>
      <c r="M66" s="9">
        <f>K66*L66*$E$3</f>
        <v/>
      </c>
      <c r="N66" s="6" t="inlineStr">
        <is>
          <t>11</t>
        </is>
      </c>
      <c r="O66" s="6" t="inlineStr"/>
    </row>
    <row r="67">
      <c r="A67" s="6" t="n">
        <v>62</v>
      </c>
      <c r="B67" s="6" t="inlineStr">
        <is>
          <t>10 - Siviero Empreendimentos Imobiliários Ltda.</t>
        </is>
      </c>
      <c r="C67" s="6" t="inlineStr">
        <is>
          <t>Lote em loteamento</t>
        </is>
      </c>
      <c r="D67" s="6" t="inlineStr"/>
      <c r="E67" s="6" t="inlineStr">
        <is>
          <t>Lote 010 - 2 - 13. Loteamento Colina do Basalto</t>
        </is>
      </c>
      <c r="F67" s="6" t="inlineStr">
        <is>
          <t>13. Loteamento Colina do Basalto</t>
        </is>
      </c>
      <c r="G67" s="6" t="inlineStr">
        <is>
          <t>010</t>
        </is>
      </c>
      <c r="H67" s="6" t="inlineStr">
        <is>
          <t>2</t>
        </is>
      </c>
      <c r="I67" s="6" t="inlineStr"/>
      <c r="J67" s="6" t="inlineStr"/>
      <c r="K67" s="7" t="n">
        <v>167000</v>
      </c>
      <c r="L67" s="8" t="n">
        <v>1</v>
      </c>
      <c r="M67" s="9">
        <f>K67*L67*$E$3</f>
        <v/>
      </c>
      <c r="N67" s="6" t="inlineStr">
        <is>
          <t>11</t>
        </is>
      </c>
      <c r="O67" s="6" t="inlineStr"/>
    </row>
    <row r="68">
      <c r="A68" s="6" t="n">
        <v>63</v>
      </c>
      <c r="B68" s="6" t="inlineStr">
        <is>
          <t>10 - Siviero Empreendimentos Imobiliários Ltda.</t>
        </is>
      </c>
      <c r="C68" s="6" t="inlineStr">
        <is>
          <t>Lote em loteamento</t>
        </is>
      </c>
      <c r="D68" s="6" t="inlineStr"/>
      <c r="E68" s="6" t="inlineStr">
        <is>
          <t>Lote 015 - 2 - 13. Loteamento Colina do Basalto</t>
        </is>
      </c>
      <c r="F68" s="6" t="inlineStr">
        <is>
          <t>13. Loteamento Colina do Basalto</t>
        </is>
      </c>
      <c r="G68" s="6" t="inlineStr">
        <is>
          <t>015</t>
        </is>
      </c>
      <c r="H68" s="6" t="inlineStr">
        <is>
          <t>2</t>
        </is>
      </c>
      <c r="I68" s="6" t="inlineStr"/>
      <c r="J68" s="6" t="inlineStr"/>
      <c r="K68" s="7" t="n">
        <v>188000</v>
      </c>
      <c r="L68" s="8" t="n">
        <v>1</v>
      </c>
      <c r="M68" s="9">
        <f>K68*L68*$E$3</f>
        <v/>
      </c>
      <c r="N68" s="6" t="inlineStr">
        <is>
          <t>11</t>
        </is>
      </c>
      <c r="O68" s="6" t="inlineStr"/>
    </row>
    <row r="69">
      <c r="A69" s="6" t="n">
        <v>64</v>
      </c>
      <c r="B69" s="6" t="inlineStr">
        <is>
          <t>10 - Siviero Empreendimentos Imobiliários Ltda.</t>
        </is>
      </c>
      <c r="C69" s="6" t="inlineStr">
        <is>
          <t>Lote em loteamento</t>
        </is>
      </c>
      <c r="D69" s="6" t="inlineStr"/>
      <c r="E69" s="6" t="inlineStr">
        <is>
          <t>Lote 023 - 5 - 13. Loteamento Colina do Basalto</t>
        </is>
      </c>
      <c r="F69" s="6" t="inlineStr">
        <is>
          <t>13. Loteamento Colina do Basalto</t>
        </is>
      </c>
      <c r="G69" s="6" t="inlineStr">
        <is>
          <t>023</t>
        </is>
      </c>
      <c r="H69" s="6" t="inlineStr">
        <is>
          <t>5</t>
        </is>
      </c>
      <c r="I69" s="6" t="inlineStr"/>
      <c r="J69" s="6" t="inlineStr"/>
      <c r="K69" s="7" t="n">
        <v>131000</v>
      </c>
      <c r="L69" s="8" t="n">
        <v>1</v>
      </c>
      <c r="M69" s="9">
        <f>K69*L69*$E$3</f>
        <v/>
      </c>
      <c r="N69" s="6" t="inlineStr">
        <is>
          <t>11</t>
        </is>
      </c>
      <c r="O69" s="6" t="inlineStr"/>
    </row>
    <row r="70">
      <c r="A70" s="6" t="n">
        <v>65</v>
      </c>
      <c r="B70" s="6" t="inlineStr">
        <is>
          <t>10 - Siviero Empreendimentos Imobiliários Ltda.</t>
        </is>
      </c>
      <c r="C70" s="6" t="inlineStr">
        <is>
          <t>Lote em loteamento</t>
        </is>
      </c>
      <c r="D70" s="6" t="inlineStr"/>
      <c r="E70" s="6" t="inlineStr">
        <is>
          <t>Lote 006 - 7 - 13. Loteamento Colina do Basalto</t>
        </is>
      </c>
      <c r="F70" s="6" t="inlineStr">
        <is>
          <t>13. Loteamento Colina do Basalto</t>
        </is>
      </c>
      <c r="G70" s="6" t="inlineStr">
        <is>
          <t>006</t>
        </is>
      </c>
      <c r="H70" s="6" t="inlineStr">
        <is>
          <t>7</t>
        </is>
      </c>
      <c r="I70" s="6" t="inlineStr"/>
      <c r="J70" s="6" t="inlineStr"/>
      <c r="K70" s="7" t="n">
        <v>125000</v>
      </c>
      <c r="L70" s="8" t="n">
        <v>1</v>
      </c>
      <c r="M70" s="9">
        <f>K70*L70*$E$3</f>
        <v/>
      </c>
      <c r="N70" s="6" t="inlineStr">
        <is>
          <t>11</t>
        </is>
      </c>
      <c r="O70" s="6" t="inlineStr"/>
    </row>
    <row r="71">
      <c r="A71" s="6" t="n">
        <v>66</v>
      </c>
      <c r="B71" s="6" t="inlineStr">
        <is>
          <t>10 - Siviero Empreendimentos Imobiliários Ltda.</t>
        </is>
      </c>
      <c r="C71" s="6" t="inlineStr">
        <is>
          <t>Lote em loteamento</t>
        </is>
      </c>
      <c r="D71" s="6" t="inlineStr"/>
      <c r="E71" s="6" t="inlineStr">
        <is>
          <t>Lote 001 - F - 14. Loteamento Carnevalli</t>
        </is>
      </c>
      <c r="F71" s="6" t="inlineStr">
        <is>
          <t>14. Loteamento Carnevalli</t>
        </is>
      </c>
      <c r="G71" s="6" t="inlineStr">
        <is>
          <t>001</t>
        </is>
      </c>
      <c r="H71" s="6" t="inlineStr">
        <is>
          <t>F</t>
        </is>
      </c>
      <c r="I71" s="6" t="inlineStr"/>
      <c r="J71" s="6" t="inlineStr"/>
      <c r="K71" s="7" t="n">
        <v>241000</v>
      </c>
      <c r="L71" s="8" t="n">
        <v>1</v>
      </c>
      <c r="M71" s="9">
        <f>K71*L71*$E$3</f>
        <v/>
      </c>
      <c r="N71" s="6" t="inlineStr">
        <is>
          <t>11</t>
        </is>
      </c>
      <c r="O71" s="6" t="inlineStr"/>
    </row>
    <row r="72">
      <c r="A72" s="6" t="n">
        <v>67</v>
      </c>
      <c r="B72" s="6" t="inlineStr">
        <is>
          <t>10 - Siviero Empreendimentos Imobiliários Ltda.</t>
        </is>
      </c>
      <c r="C72" s="6" t="inlineStr">
        <is>
          <t>Lote em loteamento</t>
        </is>
      </c>
      <c r="D72" s="6" t="inlineStr"/>
      <c r="E72" s="6" t="inlineStr">
        <is>
          <t>Lote 001 - 01 - 18. Loteamento Lago Negro</t>
        </is>
      </c>
      <c r="F72" s="6" t="inlineStr">
        <is>
          <t>18. Loteamento Lago Negro</t>
        </is>
      </c>
      <c r="G72" s="6" t="inlineStr">
        <is>
          <t>001</t>
        </is>
      </c>
      <c r="H72" s="6" t="inlineStr">
        <is>
          <t>01</t>
        </is>
      </c>
      <c r="I72" s="6" t="inlineStr"/>
      <c r="J72" s="6" t="inlineStr"/>
      <c r="K72" s="7" t="n">
        <v>1100000</v>
      </c>
      <c r="L72" s="8" t="n">
        <v>1</v>
      </c>
      <c r="M72" s="9">
        <f>K72*L72*$E$3</f>
        <v/>
      </c>
      <c r="N72" s="6" t="inlineStr">
        <is>
          <t>11</t>
        </is>
      </c>
      <c r="O72" s="6" t="inlineStr"/>
    </row>
    <row r="73">
      <c r="A73" s="6" t="n">
        <v>68</v>
      </c>
      <c r="B73" s="6" t="inlineStr">
        <is>
          <t>10 - Siviero Empreendimentos Imobiliários Ltda.</t>
        </is>
      </c>
      <c r="C73" s="6" t="inlineStr">
        <is>
          <t>Lote em loteamento</t>
        </is>
      </c>
      <c r="D73" s="6" t="inlineStr"/>
      <c r="E73" s="6" t="inlineStr">
        <is>
          <t>Lote 001 - 1673 - 20. Loteamento San Marino</t>
        </is>
      </c>
      <c r="F73" s="6" t="inlineStr">
        <is>
          <t>20. Loteamento San Marino</t>
        </is>
      </c>
      <c r="G73" s="6" t="inlineStr">
        <is>
          <t>001</t>
        </is>
      </c>
      <c r="H73" s="6" t="inlineStr">
        <is>
          <t>1673</t>
        </is>
      </c>
      <c r="I73" s="6" t="inlineStr"/>
      <c r="J73" s="6" t="inlineStr"/>
      <c r="K73" s="7" t="n">
        <v>264000</v>
      </c>
      <c r="L73" s="8" t="n">
        <v>1</v>
      </c>
      <c r="M73" s="9">
        <f>K73*L73*$E$3</f>
        <v/>
      </c>
      <c r="N73" s="6" t="inlineStr">
        <is>
          <t>11</t>
        </is>
      </c>
      <c r="O73" s="6" t="inlineStr"/>
    </row>
    <row r="74">
      <c r="A74" s="6" t="n">
        <v>69</v>
      </c>
      <c r="B74" s="6" t="inlineStr">
        <is>
          <t>10 - Siviero Empreendimentos Imobiliários Ltda.</t>
        </is>
      </c>
      <c r="C74" s="6" t="inlineStr">
        <is>
          <t>Lote em loteamento</t>
        </is>
      </c>
      <c r="D74" s="6" t="inlineStr"/>
      <c r="E74" s="6" t="inlineStr">
        <is>
          <t>Lote 003 - 1676 - 20. Loteamento San Marino</t>
        </is>
      </c>
      <c r="F74" s="6" t="inlineStr">
        <is>
          <t>20. Loteamento San Marino</t>
        </is>
      </c>
      <c r="G74" s="6" t="inlineStr">
        <is>
          <t>003</t>
        </is>
      </c>
      <c r="H74" s="6" t="inlineStr">
        <is>
          <t>1676</t>
        </is>
      </c>
      <c r="I74" s="6" t="inlineStr"/>
      <c r="J74" s="6" t="inlineStr"/>
      <c r="K74" s="7" t="n">
        <v>253000</v>
      </c>
      <c r="L74" s="8" t="n">
        <v>1</v>
      </c>
      <c r="M74" s="9">
        <f>K74*L74*$E$3</f>
        <v/>
      </c>
      <c r="N74" s="6" t="inlineStr">
        <is>
          <t>11</t>
        </is>
      </c>
      <c r="O74" s="6" t="inlineStr"/>
    </row>
    <row r="75">
      <c r="A75" s="6" t="n">
        <v>70</v>
      </c>
      <c r="B75" s="6" t="inlineStr">
        <is>
          <t>10 - Siviero Empreendimentos Imobiliários Ltda.</t>
        </is>
      </c>
      <c r="C75" s="6" t="inlineStr">
        <is>
          <t>Lote em loteamento</t>
        </is>
      </c>
      <c r="D75" s="6" t="inlineStr"/>
      <c r="E75" s="6" t="inlineStr">
        <is>
          <t>Lote 013 - 0907 - 21. Loteamento Firminio Dalzóchio</t>
        </is>
      </c>
      <c r="F75" s="6" t="inlineStr">
        <is>
          <t>21. Loteamento Firminio Dalzóchio</t>
        </is>
      </c>
      <c r="G75" s="6" t="inlineStr">
        <is>
          <t>013</t>
        </is>
      </c>
      <c r="H75" s="6" t="inlineStr">
        <is>
          <t>0907</t>
        </is>
      </c>
      <c r="I75" s="6" t="inlineStr"/>
      <c r="J75" s="6" t="inlineStr"/>
      <c r="K75" s="7" t="n">
        <v>360000</v>
      </c>
      <c r="L75" s="8" t="n">
        <v>1</v>
      </c>
      <c r="M75" s="9">
        <f>K75*L75*$E$3</f>
        <v/>
      </c>
      <c r="N75" s="6" t="inlineStr">
        <is>
          <t>11</t>
        </is>
      </c>
      <c r="O75" s="6" t="inlineStr">
        <is>
          <t>No documento consta 'O13' (letra O); interpretado como 013.</t>
        </is>
      </c>
    </row>
    <row r="76">
      <c r="A76" s="6" t="n">
        <v>71</v>
      </c>
      <c r="B76" s="6" t="inlineStr">
        <is>
          <t>10 - Siviero Empreendimentos Imobiliários Ltda.</t>
        </is>
      </c>
      <c r="C76" s="6" t="inlineStr">
        <is>
          <t>Lote em loteamento</t>
        </is>
      </c>
      <c r="D76" s="6" t="inlineStr"/>
      <c r="E76" s="6" t="inlineStr">
        <is>
          <t>Lote 003 - 1046 - 21. Loteamento Firminio Dalzóchio</t>
        </is>
      </c>
      <c r="F76" s="6" t="inlineStr">
        <is>
          <t>21. Loteamento Firminio Dalzóchio</t>
        </is>
      </c>
      <c r="G76" s="6" t="inlineStr">
        <is>
          <t>003</t>
        </is>
      </c>
      <c r="H76" s="6" t="inlineStr">
        <is>
          <t>1046</t>
        </is>
      </c>
      <c r="I76" s="6" t="inlineStr"/>
      <c r="J76" s="6" t="inlineStr"/>
      <c r="K76" s="7" t="n">
        <v>385000</v>
      </c>
      <c r="L76" s="8" t="n">
        <v>1</v>
      </c>
      <c r="M76" s="9">
        <f>K76*L76*$E$3</f>
        <v/>
      </c>
      <c r="N76" s="6" t="inlineStr">
        <is>
          <t>11</t>
        </is>
      </c>
      <c r="O76" s="6" t="inlineStr"/>
    </row>
    <row r="77">
      <c r="A77" s="6" t="n">
        <v>72</v>
      </c>
      <c r="B77" s="6" t="inlineStr">
        <is>
          <t>10 - Siviero Empreendimentos Imobiliários Ltda.</t>
        </is>
      </c>
      <c r="C77" s="6" t="inlineStr">
        <is>
          <t>Lote em loteamento</t>
        </is>
      </c>
      <c r="D77" s="6" t="inlineStr"/>
      <c r="E77" s="6" t="inlineStr">
        <is>
          <t>Lote 007 - 1303 - 24. Loteamento Industrial Vicentino</t>
        </is>
      </c>
      <c r="F77" s="6" t="inlineStr">
        <is>
          <t>24. Loteamento Industrial Vicentino</t>
        </is>
      </c>
      <c r="G77" s="6" t="inlineStr">
        <is>
          <t>007</t>
        </is>
      </c>
      <c r="H77" s="6" t="inlineStr">
        <is>
          <t>1303</t>
        </is>
      </c>
      <c r="I77" s="6" t="inlineStr"/>
      <c r="J77" s="6" t="inlineStr"/>
      <c r="K77" s="7" t="n">
        <v>1355000</v>
      </c>
      <c r="L77" s="8" t="n">
        <v>1</v>
      </c>
      <c r="M77" s="9">
        <f>K77*L77*$E$3</f>
        <v/>
      </c>
      <c r="N77" s="6" t="inlineStr">
        <is>
          <t>11</t>
        </is>
      </c>
      <c r="O77" s="6" t="inlineStr"/>
    </row>
    <row r="78">
      <c r="A78" s="6" t="n">
        <v>73</v>
      </c>
      <c r="B78" s="6" t="inlineStr">
        <is>
          <t>10 - Siviero Empreendimentos Imobiliários Ltda.</t>
        </is>
      </c>
      <c r="C78" s="6" t="inlineStr">
        <is>
          <t>Lote em loteamento</t>
        </is>
      </c>
      <c r="D78" s="6" t="inlineStr"/>
      <c r="E78" s="6" t="inlineStr">
        <is>
          <t>Lote 001 - 1736 - 25. Loteamento Residencial Jardim Itália I, II, III</t>
        </is>
      </c>
      <c r="F78" s="6" t="inlineStr">
        <is>
          <t>25. Loteamento Residencial Jardim Itália I, II, III</t>
        </is>
      </c>
      <c r="G78" s="6" t="inlineStr">
        <is>
          <t>001</t>
        </is>
      </c>
      <c r="H78" s="6" t="inlineStr">
        <is>
          <t>1736</t>
        </is>
      </c>
      <c r="I78" s="6" t="inlineStr"/>
      <c r="J78" s="6" t="inlineStr"/>
      <c r="K78" s="7" t="n">
        <v>198000</v>
      </c>
      <c r="L78" s="8" t="n">
        <v>1</v>
      </c>
      <c r="M78" s="9">
        <f>K78*L78*$E$3</f>
        <v/>
      </c>
      <c r="N78" s="6" t="inlineStr">
        <is>
          <t>11</t>
        </is>
      </c>
      <c r="O78" s="6" t="inlineStr"/>
    </row>
    <row r="79">
      <c r="A79" s="6" t="n">
        <v>74</v>
      </c>
      <c r="B79" s="6" t="inlineStr">
        <is>
          <t>10 - Siviero Empreendimentos Imobiliários Ltda.</t>
        </is>
      </c>
      <c r="C79" s="6" t="inlineStr">
        <is>
          <t>Lote em loteamento</t>
        </is>
      </c>
      <c r="D79" s="6" t="inlineStr"/>
      <c r="E79" s="6" t="inlineStr">
        <is>
          <t>Lote 009 - 1736 - 25. Loteamento Residencial Jardim Itália I, II, III</t>
        </is>
      </c>
      <c r="F79" s="6" t="inlineStr">
        <is>
          <t>25. Loteamento Residencial Jardim Itália I, II, III</t>
        </is>
      </c>
      <c r="G79" s="6" t="inlineStr">
        <is>
          <t>009</t>
        </is>
      </c>
      <c r="H79" s="6" t="inlineStr">
        <is>
          <t>1736</t>
        </is>
      </c>
      <c r="I79" s="6" t="inlineStr"/>
      <c r="J79" s="6" t="inlineStr"/>
      <c r="K79" s="7" t="n">
        <v>220000</v>
      </c>
      <c r="L79" s="8" t="n">
        <v>1</v>
      </c>
      <c r="M79" s="9">
        <f>K79*L79*$E$3</f>
        <v/>
      </c>
      <c r="N79" s="6" t="inlineStr">
        <is>
          <t>11</t>
        </is>
      </c>
      <c r="O79" s="6" t="inlineStr"/>
    </row>
    <row r="80">
      <c r="A80" s="6" t="n">
        <v>75</v>
      </c>
      <c r="B80" s="6" t="inlineStr">
        <is>
          <t>10 - Siviero Empreendimentos Imobiliários Ltda.</t>
        </is>
      </c>
      <c r="C80" s="6" t="inlineStr">
        <is>
          <t>Lote em loteamento</t>
        </is>
      </c>
      <c r="D80" s="6" t="inlineStr"/>
      <c r="E80" s="6" t="inlineStr">
        <is>
          <t>Lote 007 - 1738 - 25. Loteamento Residencial Jardim Itália I, II, III</t>
        </is>
      </c>
      <c r="F80" s="6" t="inlineStr">
        <is>
          <t>25. Loteamento Residencial Jardim Itália I, II, III</t>
        </is>
      </c>
      <c r="G80" s="6" t="inlineStr">
        <is>
          <t>007</t>
        </is>
      </c>
      <c r="H80" s="6" t="inlineStr">
        <is>
          <t>1738</t>
        </is>
      </c>
      <c r="I80" s="6" t="inlineStr"/>
      <c r="J80" s="6" t="inlineStr"/>
      <c r="K80" s="7" t="n">
        <v>253000</v>
      </c>
      <c r="L80" s="8" t="n">
        <v>1</v>
      </c>
      <c r="M80" s="9">
        <f>K80*L80*$E$3</f>
        <v/>
      </c>
      <c r="N80" s="6" t="inlineStr">
        <is>
          <t>11</t>
        </is>
      </c>
      <c r="O80" s="6" t="inlineStr"/>
    </row>
    <row r="81">
      <c r="A81" s="6" t="n">
        <v>76</v>
      </c>
      <c r="B81" s="6" t="inlineStr">
        <is>
          <t>10 - Siviero Empreendimentos Imobiliários Ltda.</t>
        </is>
      </c>
      <c r="C81" s="6" t="inlineStr">
        <is>
          <t>Lote em loteamento</t>
        </is>
      </c>
      <c r="D81" s="6" t="inlineStr"/>
      <c r="E81" s="6" t="inlineStr">
        <is>
          <t>Lote 002 - 1739 - 25. Loteamento Residencial Jardim Itália I, II, III</t>
        </is>
      </c>
      <c r="F81" s="6" t="inlineStr">
        <is>
          <t>25. Loteamento Residencial Jardim Itália I, II, III</t>
        </is>
      </c>
      <c r="G81" s="6" t="inlineStr">
        <is>
          <t>002</t>
        </is>
      </c>
      <c r="H81" s="6" t="inlineStr">
        <is>
          <t>1739</t>
        </is>
      </c>
      <c r="I81" s="6" t="inlineStr"/>
      <c r="J81" s="6" t="inlineStr"/>
      <c r="K81" s="7" t="n">
        <v>209000</v>
      </c>
      <c r="L81" s="8" t="n">
        <v>1</v>
      </c>
      <c r="M81" s="9">
        <f>K81*L81*$E$3</f>
        <v/>
      </c>
      <c r="N81" s="6" t="inlineStr">
        <is>
          <t>11</t>
        </is>
      </c>
      <c r="O81" s="6" t="inlineStr"/>
    </row>
    <row r="82">
      <c r="A82" s="6" t="n">
        <v>77</v>
      </c>
      <c r="B82" s="6" t="inlineStr">
        <is>
          <t>10 - Siviero Empreendimentos Imobiliários Ltda.</t>
        </is>
      </c>
      <c r="C82" s="6" t="inlineStr">
        <is>
          <t>Lote em loteamento</t>
        </is>
      </c>
      <c r="D82" s="6" t="inlineStr"/>
      <c r="E82" s="6" t="inlineStr">
        <is>
          <t>Lote 001 - 1740 - 25. Loteamento Residencial Jardim Itália I, II, III</t>
        </is>
      </c>
      <c r="F82" s="6" t="inlineStr">
        <is>
          <t>25. Loteamento Residencial Jardim Itália I, II, III</t>
        </is>
      </c>
      <c r="G82" s="6" t="inlineStr">
        <is>
          <t>001</t>
        </is>
      </c>
      <c r="H82" s="6" t="inlineStr">
        <is>
          <t>1740</t>
        </is>
      </c>
      <c r="I82" s="6" t="inlineStr"/>
      <c r="J82" s="6" t="inlineStr"/>
      <c r="K82" s="7" t="n">
        <v>220000</v>
      </c>
      <c r="L82" s="8" t="n">
        <v>1</v>
      </c>
      <c r="M82" s="9">
        <f>K82*L82*$E$3</f>
        <v/>
      </c>
      <c r="N82" s="6" t="inlineStr">
        <is>
          <t>11</t>
        </is>
      </c>
      <c r="O82" s="6" t="inlineStr"/>
    </row>
    <row r="83">
      <c r="A83" s="6" t="n">
        <v>78</v>
      </c>
      <c r="B83" s="6" t="inlineStr">
        <is>
          <t>10 - Siviero Empreendimentos Imobiliários Ltda.</t>
        </is>
      </c>
      <c r="C83" s="6" t="inlineStr">
        <is>
          <t>Lote em loteamento</t>
        </is>
      </c>
      <c r="D83" s="6" t="inlineStr"/>
      <c r="E83" s="6" t="inlineStr">
        <is>
          <t>Lote 006 - 1744 - 25. Loteamento Residencial Jardim Itália I, II, III</t>
        </is>
      </c>
      <c r="F83" s="6" t="inlineStr">
        <is>
          <t>25. Loteamento Residencial Jardim Itália I, II, III</t>
        </is>
      </c>
      <c r="G83" s="6" t="inlineStr">
        <is>
          <t>006</t>
        </is>
      </c>
      <c r="H83" s="6" t="inlineStr">
        <is>
          <t>1744</t>
        </is>
      </c>
      <c r="I83" s="6" t="inlineStr"/>
      <c r="J83" s="6" t="inlineStr"/>
      <c r="K83" s="7" t="n">
        <v>198000</v>
      </c>
      <c r="L83" s="8" t="n">
        <v>1</v>
      </c>
      <c r="M83" s="9">
        <f>K83*L83*$E$3</f>
        <v/>
      </c>
      <c r="N83" s="6" t="inlineStr">
        <is>
          <t>11</t>
        </is>
      </c>
      <c r="O83" s="6" t="inlineStr"/>
    </row>
    <row r="84">
      <c r="A84" s="6" t="n">
        <v>79</v>
      </c>
      <c r="B84" s="6" t="inlineStr">
        <is>
          <t>10 - Siviero Empreendimentos Imobiliários Ltda.</t>
        </is>
      </c>
      <c r="C84" s="6" t="inlineStr">
        <is>
          <t>Lote em loteamento</t>
        </is>
      </c>
      <c r="D84" s="6" t="inlineStr"/>
      <c r="E84" s="6" t="inlineStr">
        <is>
          <t>Lote 010 - 1744 - 25. Loteamento Residencial Jardim Itália I, II, III</t>
        </is>
      </c>
      <c r="F84" s="6" t="inlineStr">
        <is>
          <t>25. Loteamento Residencial Jardim Itália I, II, III</t>
        </is>
      </c>
      <c r="G84" s="6" t="inlineStr">
        <is>
          <t>010</t>
        </is>
      </c>
      <c r="H84" s="6" t="inlineStr">
        <is>
          <t>1744</t>
        </is>
      </c>
      <c r="I84" s="6" t="inlineStr"/>
      <c r="J84" s="6" t="inlineStr"/>
      <c r="K84" s="7" t="n">
        <v>209000</v>
      </c>
      <c r="L84" s="8" t="n">
        <v>1</v>
      </c>
      <c r="M84" s="9">
        <f>K84*L84*$E$3</f>
        <v/>
      </c>
      <c r="N84" s="6" t="inlineStr">
        <is>
          <t>11</t>
        </is>
      </c>
      <c r="O84" s="6" t="inlineStr"/>
    </row>
    <row r="85">
      <c r="A85" s="6" t="n">
        <v>80</v>
      </c>
      <c r="B85" s="6" t="inlineStr">
        <is>
          <t>10 - Siviero Empreendimentos Imobiliários Ltda.</t>
        </is>
      </c>
      <c r="C85" s="6" t="inlineStr">
        <is>
          <t>Lote em loteamento</t>
        </is>
      </c>
      <c r="D85" s="6" t="inlineStr"/>
      <c r="E85" s="6" t="inlineStr">
        <is>
          <t>Lote 006 - 1746 - 25. Loteamento Residencial Jardim Itália I, II, III</t>
        </is>
      </c>
      <c r="F85" s="6" t="inlineStr">
        <is>
          <t>25. Loteamento Residencial Jardim Itália I, II, III</t>
        </is>
      </c>
      <c r="G85" s="6" t="inlineStr">
        <is>
          <t>006</t>
        </is>
      </c>
      <c r="H85" s="6" t="inlineStr">
        <is>
          <t>1746</t>
        </is>
      </c>
      <c r="I85" s="6" t="inlineStr"/>
      <c r="J85" s="6" t="inlineStr"/>
      <c r="K85" s="7" t="n">
        <v>198000</v>
      </c>
      <c r="L85" s="8" t="n">
        <v>1</v>
      </c>
      <c r="M85" s="9">
        <f>K85*L85*$E$3</f>
        <v/>
      </c>
      <c r="N85" s="6" t="inlineStr">
        <is>
          <t>11</t>
        </is>
      </c>
      <c r="O85" s="6" t="inlineStr"/>
    </row>
    <row r="86">
      <c r="A86" s="6" t="n">
        <v>81</v>
      </c>
      <c r="B86" s="6" t="inlineStr">
        <is>
          <t>10 - Siviero Empreendimentos Imobiliários Ltda.</t>
        </is>
      </c>
      <c r="C86" s="6" t="inlineStr">
        <is>
          <t>Lote em loteamento</t>
        </is>
      </c>
      <c r="D86" s="6" t="inlineStr"/>
      <c r="E86" s="6" t="inlineStr">
        <is>
          <t>Lote 019 - 1746 - 25. Loteamento Residencial Jardim Itália I, II, III</t>
        </is>
      </c>
      <c r="F86" s="6" t="inlineStr">
        <is>
          <t>25. Loteamento Residencial Jardim Itália I, II, III</t>
        </is>
      </c>
      <c r="G86" s="6" t="inlineStr">
        <is>
          <t>019</t>
        </is>
      </c>
      <c r="H86" s="6" t="inlineStr">
        <is>
          <t>1746</t>
        </is>
      </c>
      <c r="I86" s="6" t="inlineStr"/>
      <c r="J86" s="6" t="inlineStr"/>
      <c r="K86" s="7" t="n">
        <v>209000</v>
      </c>
      <c r="L86" s="8" t="n">
        <v>1</v>
      </c>
      <c r="M86" s="9">
        <f>K86*L86*$E$3</f>
        <v/>
      </c>
      <c r="N86" s="6" t="inlineStr">
        <is>
          <t>11</t>
        </is>
      </c>
      <c r="O86" s="6" t="inlineStr"/>
    </row>
    <row r="87">
      <c r="A87" s="6" t="n">
        <v>82</v>
      </c>
      <c r="B87" s="6" t="inlineStr">
        <is>
          <t>10 - Siviero Empreendimentos Imobiliários Ltda.</t>
        </is>
      </c>
      <c r="C87" s="6" t="inlineStr">
        <is>
          <t>Lote em loteamento</t>
        </is>
      </c>
      <c r="D87" s="6" t="inlineStr"/>
      <c r="E87" s="6" t="inlineStr">
        <is>
          <t>Lote 001 - 1750 - 25. Loteamento Residencial Jardim Itália I, II, III</t>
        </is>
      </c>
      <c r="F87" s="6" t="inlineStr">
        <is>
          <t>25. Loteamento Residencial Jardim Itália I, II, III</t>
        </is>
      </c>
      <c r="G87" s="6" t="inlineStr">
        <is>
          <t>001</t>
        </is>
      </c>
      <c r="H87" s="6" t="inlineStr">
        <is>
          <t>1750</t>
        </is>
      </c>
      <c r="I87" s="6" t="inlineStr"/>
      <c r="J87" s="6" t="inlineStr"/>
      <c r="K87" s="7" t="n">
        <v>236000</v>
      </c>
      <c r="L87" s="8" t="n">
        <v>1</v>
      </c>
      <c r="M87" s="9">
        <f>K87*L87*$E$3</f>
        <v/>
      </c>
      <c r="N87" s="6" t="inlineStr">
        <is>
          <t>12</t>
        </is>
      </c>
      <c r="O87" s="6" t="inlineStr"/>
    </row>
    <row r="88">
      <c r="A88" s="6" t="n">
        <v>83</v>
      </c>
      <c r="B88" s="6" t="inlineStr">
        <is>
          <t>10 - Siviero Empreendimentos Imobiliários Ltda.</t>
        </is>
      </c>
      <c r="C88" s="6" t="inlineStr">
        <is>
          <t>Lote em loteamento</t>
        </is>
      </c>
      <c r="D88" s="6" t="inlineStr"/>
      <c r="E88" s="6" t="inlineStr">
        <is>
          <t>Lote 006 - 1722 - 26. Loteamento Altos da Julieta I, II</t>
        </is>
      </c>
      <c r="F88" s="6" t="inlineStr">
        <is>
          <t>26. Loteamento Altos da Julieta I, II</t>
        </is>
      </c>
      <c r="G88" s="6" t="inlineStr">
        <is>
          <t>006</t>
        </is>
      </c>
      <c r="H88" s="6" t="inlineStr">
        <is>
          <t>1722</t>
        </is>
      </c>
      <c r="I88" s="6" t="inlineStr"/>
      <c r="J88" s="6" t="inlineStr"/>
      <c r="K88" s="7" t="n">
        <v>159000</v>
      </c>
      <c r="L88" s="8" t="n">
        <v>1</v>
      </c>
      <c r="M88" s="9">
        <f>K88*L88*$E$3</f>
        <v/>
      </c>
      <c r="N88" s="6" t="inlineStr">
        <is>
          <t>12</t>
        </is>
      </c>
      <c r="O88" s="6" t="inlineStr"/>
    </row>
    <row r="89">
      <c r="A89" s="6" t="n">
        <v>84</v>
      </c>
      <c r="B89" s="6" t="inlineStr">
        <is>
          <t>10 - Siviero Empreendimentos Imobiliários Ltda.</t>
        </is>
      </c>
      <c r="C89" s="6" t="inlineStr">
        <is>
          <t>Lote em loteamento</t>
        </is>
      </c>
      <c r="D89" s="6" t="inlineStr"/>
      <c r="E89" s="6" t="inlineStr">
        <is>
          <t>Lote 001 - 1727 - 26. Loteamento Altos da Julieta I, II</t>
        </is>
      </c>
      <c r="F89" s="6" t="inlineStr">
        <is>
          <t>26. Loteamento Altos da Julieta I, II</t>
        </is>
      </c>
      <c r="G89" s="6" t="inlineStr">
        <is>
          <t>001</t>
        </is>
      </c>
      <c r="H89" s="6" t="inlineStr">
        <is>
          <t>1727</t>
        </is>
      </c>
      <c r="I89" s="6" t="inlineStr"/>
      <c r="J89" s="6" t="inlineStr"/>
      <c r="K89" s="7" t="n">
        <v>160000</v>
      </c>
      <c r="L89" s="8" t="n">
        <v>1</v>
      </c>
      <c r="M89" s="9">
        <f>K89*L89*$E$3</f>
        <v/>
      </c>
      <c r="N89" s="6" t="inlineStr">
        <is>
          <t>12</t>
        </is>
      </c>
      <c r="O89" s="6" t="inlineStr"/>
    </row>
    <row r="90">
      <c r="A90" s="6" t="n">
        <v>85</v>
      </c>
      <c r="B90" s="6" t="inlineStr">
        <is>
          <t>10 - Siviero Empreendimentos Imobiliários Ltda.</t>
        </is>
      </c>
      <c r="C90" s="6" t="inlineStr">
        <is>
          <t>Lote em loteamento</t>
        </is>
      </c>
      <c r="D90" s="6" t="inlineStr"/>
      <c r="E90" s="6" t="inlineStr">
        <is>
          <t>Lote 001 - 1728 - 26. Loteamento Altos da Julieta I, II</t>
        </is>
      </c>
      <c r="F90" s="6" t="inlineStr">
        <is>
          <t>26. Loteamento Altos da Julieta I, II</t>
        </is>
      </c>
      <c r="G90" s="6" t="inlineStr">
        <is>
          <t>001</t>
        </is>
      </c>
      <c r="H90" s="6" t="inlineStr">
        <is>
          <t>1728</t>
        </is>
      </c>
      <c r="I90" s="6" t="inlineStr"/>
      <c r="J90" s="6" t="inlineStr"/>
      <c r="K90" s="7" t="n">
        <v>160000</v>
      </c>
      <c r="L90" s="8" t="n">
        <v>1</v>
      </c>
      <c r="M90" s="9">
        <f>K90*L90*$E$3</f>
        <v/>
      </c>
      <c r="N90" s="6" t="inlineStr">
        <is>
          <t>12</t>
        </is>
      </c>
      <c r="O90" s="6" t="inlineStr"/>
    </row>
    <row r="91">
      <c r="A91" s="6" t="n">
        <v>86</v>
      </c>
      <c r="B91" s="6" t="inlineStr">
        <is>
          <t>10 - Siviero Empreendimentos Imobiliários Ltda.</t>
        </is>
      </c>
      <c r="C91" s="6" t="inlineStr">
        <is>
          <t>Lote em loteamento</t>
        </is>
      </c>
      <c r="D91" s="6" t="inlineStr"/>
      <c r="E91" s="6" t="inlineStr">
        <is>
          <t>Lote 006 - 1731 - 26. Loteamento Altos da Julieta I, II</t>
        </is>
      </c>
      <c r="F91" s="6" t="inlineStr">
        <is>
          <t>26. Loteamento Altos da Julieta I, II</t>
        </is>
      </c>
      <c r="G91" s="6" t="inlineStr">
        <is>
          <t>006</t>
        </is>
      </c>
      <c r="H91" s="6" t="inlineStr">
        <is>
          <t>1731</t>
        </is>
      </c>
      <c r="I91" s="6" t="inlineStr"/>
      <c r="J91" s="6" t="inlineStr"/>
      <c r="K91" s="7" t="n">
        <v>148000</v>
      </c>
      <c r="L91" s="8" t="n">
        <v>1</v>
      </c>
      <c r="M91" s="9">
        <f>K91*L91*$E$3</f>
        <v/>
      </c>
      <c r="N91" s="6" t="inlineStr">
        <is>
          <t>12</t>
        </is>
      </c>
      <c r="O91" s="6" t="inlineStr"/>
    </row>
    <row r="92">
      <c r="A92" s="6" t="n">
        <v>87</v>
      </c>
      <c r="B92" s="6" t="inlineStr">
        <is>
          <t>10 - Siviero Empreendimentos Imobiliários Ltda.</t>
        </is>
      </c>
      <c r="C92" s="6" t="inlineStr">
        <is>
          <t>Lote em loteamento</t>
        </is>
      </c>
      <c r="D92" s="6" t="inlineStr"/>
      <c r="E92" s="6" t="inlineStr">
        <is>
          <t>Lote 006 - 02 - 27. Loteamento Monte Vêneto I, II</t>
        </is>
      </c>
      <c r="F92" s="6" t="inlineStr">
        <is>
          <t>27. Loteamento Monte Vêneto I, II</t>
        </is>
      </c>
      <c r="G92" s="6" t="inlineStr">
        <is>
          <t>006</t>
        </is>
      </c>
      <c r="H92" s="6" t="inlineStr">
        <is>
          <t>02</t>
        </is>
      </c>
      <c r="I92" s="6" t="inlineStr"/>
      <c r="J92" s="6" t="inlineStr"/>
      <c r="K92" s="7" t="n">
        <v>88000</v>
      </c>
      <c r="L92" s="8" t="n">
        <v>1</v>
      </c>
      <c r="M92" s="9">
        <f>K92*L92*$E$3</f>
        <v/>
      </c>
      <c r="N92" s="6" t="inlineStr">
        <is>
          <t>12</t>
        </is>
      </c>
      <c r="O92" s="6" t="inlineStr"/>
    </row>
    <row r="93">
      <c r="A93" s="6" t="n">
        <v>88</v>
      </c>
      <c r="B93" s="6" t="inlineStr">
        <is>
          <t>10 - Siviero Empreendimentos Imobiliários Ltda.</t>
        </is>
      </c>
      <c r="C93" s="6" t="inlineStr">
        <is>
          <t>Lote em loteamento</t>
        </is>
      </c>
      <c r="D93" s="6" t="inlineStr"/>
      <c r="E93" s="6" t="inlineStr">
        <is>
          <t>Lote 004 - 05 - 27. Loteamento Monte Vêneto I, II</t>
        </is>
      </c>
      <c r="F93" s="6" t="inlineStr">
        <is>
          <t>27. Loteamento Monte Vêneto I, II</t>
        </is>
      </c>
      <c r="G93" s="6" t="inlineStr">
        <is>
          <t>004</t>
        </is>
      </c>
      <c r="H93" s="6" t="inlineStr">
        <is>
          <t>05</t>
        </is>
      </c>
      <c r="I93" s="6" t="inlineStr"/>
      <c r="J93" s="6" t="inlineStr"/>
      <c r="K93" s="7" t="n">
        <v>99000</v>
      </c>
      <c r="L93" s="8" t="n">
        <v>1</v>
      </c>
      <c r="M93" s="9">
        <f>K93*L93*$E$3</f>
        <v/>
      </c>
      <c r="N93" s="6" t="inlineStr">
        <is>
          <t>12</t>
        </is>
      </c>
      <c r="O93" s="6" t="inlineStr"/>
    </row>
    <row r="94">
      <c r="A94" s="6" t="n">
        <v>89</v>
      </c>
      <c r="B94" s="6" t="inlineStr">
        <is>
          <t>10 - Siviero Empreendimentos Imobiliários Ltda.</t>
        </is>
      </c>
      <c r="C94" s="6" t="inlineStr">
        <is>
          <t>Lote em loteamento</t>
        </is>
      </c>
      <c r="D94" s="6" t="inlineStr"/>
      <c r="E94" s="6" t="inlineStr">
        <is>
          <t>Lote 008 - 06 - 27. Loteamento Monte Vêneto I, II</t>
        </is>
      </c>
      <c r="F94" s="6" t="inlineStr">
        <is>
          <t>27. Loteamento Monte Vêneto I, II</t>
        </is>
      </c>
      <c r="G94" s="6" t="inlineStr">
        <is>
          <t>008</t>
        </is>
      </c>
      <c r="H94" s="6" t="inlineStr">
        <is>
          <t>06</t>
        </is>
      </c>
      <c r="I94" s="6" t="inlineStr"/>
      <c r="J94" s="6" t="inlineStr"/>
      <c r="K94" s="7" t="n">
        <v>106000</v>
      </c>
      <c r="L94" s="8" t="n">
        <v>1</v>
      </c>
      <c r="M94" s="9">
        <f>K94*L94*$E$3</f>
        <v/>
      </c>
      <c r="N94" s="6" t="inlineStr">
        <is>
          <t>12</t>
        </is>
      </c>
      <c r="O94" s="6" t="inlineStr"/>
    </row>
    <row r="95">
      <c r="A95" s="6" t="n">
        <v>90</v>
      </c>
      <c r="B95" s="6" t="inlineStr">
        <is>
          <t>10 - Siviero Empreendimentos Imobiliários Ltda.</t>
        </is>
      </c>
      <c r="C95" s="6" t="inlineStr">
        <is>
          <t>Lote em loteamento</t>
        </is>
      </c>
      <c r="D95" s="6" t="inlineStr"/>
      <c r="E95" s="6" t="inlineStr">
        <is>
          <t>Lote 012 - 10 - 27. Loteamento Monte Vêneto I, II</t>
        </is>
      </c>
      <c r="F95" s="6" t="inlineStr">
        <is>
          <t>27. Loteamento Monte Vêneto I, II</t>
        </is>
      </c>
      <c r="G95" s="6" t="inlineStr">
        <is>
          <t>012</t>
        </is>
      </c>
      <c r="H95" s="6" t="inlineStr">
        <is>
          <t>10</t>
        </is>
      </c>
      <c r="I95" s="6" t="inlineStr"/>
      <c r="J95" s="6" t="inlineStr"/>
      <c r="K95" s="7" t="n">
        <v>82000</v>
      </c>
      <c r="L95" s="8" t="n">
        <v>1</v>
      </c>
      <c r="M95" s="9">
        <f>K95*L95*$E$3</f>
        <v/>
      </c>
      <c r="N95" s="6" t="inlineStr">
        <is>
          <t>12</t>
        </is>
      </c>
      <c r="O95" s="6" t="inlineStr"/>
    </row>
    <row r="96">
      <c r="A96" s="6" t="n">
        <v>91</v>
      </c>
      <c r="B96" s="6" t="inlineStr">
        <is>
          <t>10 - Siviero Empreendimentos Imobiliários Ltda.</t>
        </is>
      </c>
      <c r="C96" s="6" t="inlineStr">
        <is>
          <t>Lote em loteamento</t>
        </is>
      </c>
      <c r="D96" s="6" t="inlineStr"/>
      <c r="E96" s="6" t="inlineStr">
        <is>
          <t>Lote 013 - 10 - 27. Loteamento Monte Vêneto I, II</t>
        </is>
      </c>
      <c r="F96" s="6" t="inlineStr">
        <is>
          <t>27. Loteamento Monte Vêneto I, II</t>
        </is>
      </c>
      <c r="G96" s="6" t="inlineStr">
        <is>
          <t>013</t>
        </is>
      </c>
      <c r="H96" s="6" t="inlineStr">
        <is>
          <t>10</t>
        </is>
      </c>
      <c r="I96" s="6" t="inlineStr"/>
      <c r="J96" s="6" t="inlineStr"/>
      <c r="K96" s="7" t="n">
        <v>88000</v>
      </c>
      <c r="L96" s="8" t="n">
        <v>1</v>
      </c>
      <c r="M96" s="9">
        <f>K96*L96*$E$3</f>
        <v/>
      </c>
      <c r="N96" s="6" t="inlineStr">
        <is>
          <t>12</t>
        </is>
      </c>
      <c r="O96" s="6" t="inlineStr"/>
    </row>
    <row r="97">
      <c r="A97" s="6" t="n">
        <v>92</v>
      </c>
      <c r="B97" s="6" t="inlineStr">
        <is>
          <t>10 - Siviero Empreendimentos Imobiliários Ltda.</t>
        </is>
      </c>
      <c r="C97" s="6" t="inlineStr">
        <is>
          <t>Lote em loteamento</t>
        </is>
      </c>
      <c r="D97" s="6" t="inlineStr"/>
      <c r="E97" s="6" t="inlineStr">
        <is>
          <t>Lote 001 - 11 - 27. Loteamento Monte Vêneto I, II</t>
        </is>
      </c>
      <c r="F97" s="6" t="inlineStr">
        <is>
          <t>27. Loteamento Monte Vêneto I, II</t>
        </is>
      </c>
      <c r="G97" s="6" t="inlineStr">
        <is>
          <t>001</t>
        </is>
      </c>
      <c r="H97" s="6" t="inlineStr">
        <is>
          <t>11</t>
        </is>
      </c>
      <c r="I97" s="6" t="inlineStr"/>
      <c r="J97" s="6" t="inlineStr"/>
      <c r="K97" s="7" t="n">
        <v>88000</v>
      </c>
      <c r="L97" s="8" t="n">
        <v>1</v>
      </c>
      <c r="M97" s="9">
        <f>K97*L97*$E$3</f>
        <v/>
      </c>
      <c r="N97" s="6" t="inlineStr">
        <is>
          <t>12</t>
        </is>
      </c>
      <c r="O97" s="6" t="inlineStr"/>
    </row>
    <row r="98">
      <c r="A98" s="6" t="n">
        <v>93</v>
      </c>
      <c r="B98" s="6" t="inlineStr">
        <is>
          <t>10 - Siviero Empreendimentos Imobiliários Ltda.</t>
        </is>
      </c>
      <c r="C98" s="6" t="inlineStr">
        <is>
          <t>Lote em loteamento</t>
        </is>
      </c>
      <c r="D98" s="6" t="inlineStr"/>
      <c r="E98" s="6" t="inlineStr">
        <is>
          <t>Lote 002 - 11 - 27. Loteamento Monte Vêneto I, II</t>
        </is>
      </c>
      <c r="F98" s="6" t="inlineStr">
        <is>
          <t>27. Loteamento Monte Vêneto I, II</t>
        </is>
      </c>
      <c r="G98" s="6" t="inlineStr">
        <is>
          <t>002</t>
        </is>
      </c>
      <c r="H98" s="6" t="inlineStr">
        <is>
          <t>11</t>
        </is>
      </c>
      <c r="I98" s="6" t="inlineStr"/>
      <c r="J98" s="6" t="inlineStr"/>
      <c r="K98" s="7" t="n">
        <v>84000</v>
      </c>
      <c r="L98" s="8" t="n">
        <v>1</v>
      </c>
      <c r="M98" s="9">
        <f>K98*L98*$E$3</f>
        <v/>
      </c>
      <c r="N98" s="6" t="inlineStr">
        <is>
          <t>12</t>
        </is>
      </c>
      <c r="O98" s="6" t="inlineStr"/>
    </row>
    <row r="99">
      <c r="A99" s="6" t="n">
        <v>94</v>
      </c>
      <c r="B99" s="6" t="inlineStr">
        <is>
          <t>10 - Siviero Empreendimentos Imobiliários Ltda.</t>
        </is>
      </c>
      <c r="C99" s="6" t="inlineStr">
        <is>
          <t>Lote em loteamento</t>
        </is>
      </c>
      <c r="D99" s="6" t="inlineStr"/>
      <c r="E99" s="6" t="inlineStr">
        <is>
          <t>Lote 005 - 12 - 27. Loteamento Monte Vêneto I, II</t>
        </is>
      </c>
      <c r="F99" s="6" t="inlineStr">
        <is>
          <t>27. Loteamento Monte Vêneto I, II</t>
        </is>
      </c>
      <c r="G99" s="6" t="inlineStr">
        <is>
          <t>005</t>
        </is>
      </c>
      <c r="H99" s="6" t="inlineStr">
        <is>
          <t>12</t>
        </is>
      </c>
      <c r="I99" s="6" t="inlineStr"/>
      <c r="J99" s="6" t="inlineStr"/>
      <c r="K99" s="7" t="n">
        <v>82000</v>
      </c>
      <c r="L99" s="8" t="n">
        <v>1</v>
      </c>
      <c r="M99" s="9">
        <f>K99*L99*$E$3</f>
        <v/>
      </c>
      <c r="N99" s="6" t="inlineStr">
        <is>
          <t>12</t>
        </is>
      </c>
      <c r="O99" s="6" t="inlineStr"/>
    </row>
    <row r="100">
      <c r="A100" s="6" t="n">
        <v>95</v>
      </c>
      <c r="B100" s="6" t="inlineStr">
        <is>
          <t>10 - Siviero Empreendimentos Imobiliários Ltda.</t>
        </is>
      </c>
      <c r="C100" s="6" t="inlineStr">
        <is>
          <t>Lote em loteamento</t>
        </is>
      </c>
      <c r="D100" s="6" t="inlineStr"/>
      <c r="E100" s="6" t="inlineStr">
        <is>
          <t>Lote 009 - 12 - 27. Loteamento Monte Vêneto I, II</t>
        </is>
      </c>
      <c r="F100" s="6" t="inlineStr">
        <is>
          <t>27. Loteamento Monte Vêneto I, II</t>
        </is>
      </c>
      <c r="G100" s="6" t="inlineStr">
        <is>
          <t>009</t>
        </is>
      </c>
      <c r="H100" s="6" t="inlineStr">
        <is>
          <t>12</t>
        </is>
      </c>
      <c r="I100" s="6" t="inlineStr"/>
      <c r="J100" s="6" t="inlineStr"/>
      <c r="K100" s="7" t="n">
        <v>82000</v>
      </c>
      <c r="L100" s="8" t="n">
        <v>1</v>
      </c>
      <c r="M100" s="9">
        <f>K100*L100*$E$3</f>
        <v/>
      </c>
      <c r="N100" s="6" t="inlineStr">
        <is>
          <t>12</t>
        </is>
      </c>
      <c r="O100" s="6" t="inlineStr"/>
    </row>
    <row r="101">
      <c r="A101" s="6" t="n">
        <v>96</v>
      </c>
      <c r="B101" s="6" t="inlineStr">
        <is>
          <t>10 - Siviero Empreendimentos Imobiliários Ltda.</t>
        </is>
      </c>
      <c r="C101" s="6" t="inlineStr">
        <is>
          <t>Lote em loteamento</t>
        </is>
      </c>
      <c r="D101" s="6" t="inlineStr"/>
      <c r="E101" s="6" t="inlineStr">
        <is>
          <t>Lote 007 - 14 - 27. Loteamento Monte Vêneto I, II</t>
        </is>
      </c>
      <c r="F101" s="6" t="inlineStr">
        <is>
          <t>27. Loteamento Monte Vêneto I, II</t>
        </is>
      </c>
      <c r="G101" s="6" t="inlineStr">
        <is>
          <t>007</t>
        </is>
      </c>
      <c r="H101" s="6" t="inlineStr">
        <is>
          <t>14</t>
        </is>
      </c>
      <c r="I101" s="6" t="inlineStr"/>
      <c r="J101" s="6" t="inlineStr"/>
      <c r="K101" s="7" t="n">
        <v>77000</v>
      </c>
      <c r="L101" s="8" t="n">
        <v>1</v>
      </c>
      <c r="M101" s="9">
        <f>K101*L101*$E$3</f>
        <v/>
      </c>
      <c r="N101" s="6" t="inlineStr">
        <is>
          <t>12</t>
        </is>
      </c>
      <c r="O101" s="6" t="inlineStr"/>
    </row>
    <row r="102">
      <c r="A102" s="6" t="n">
        <v>97</v>
      </c>
      <c r="B102" s="6" t="inlineStr">
        <is>
          <t>10 - Siviero Empreendimentos Imobiliários Ltda.</t>
        </is>
      </c>
      <c r="C102" s="6" t="inlineStr">
        <is>
          <t>Lote em loteamento</t>
        </is>
      </c>
      <c r="D102" s="6" t="inlineStr"/>
      <c r="E102" s="6" t="inlineStr">
        <is>
          <t>Lote 007 - A - 6364 - 29. Loteamento Altos da Graça I</t>
        </is>
      </c>
      <c r="F102" s="6" t="inlineStr">
        <is>
          <t>29. Loteamento Altos da Graça I</t>
        </is>
      </c>
      <c r="G102" s="6" t="inlineStr">
        <is>
          <t>007</t>
        </is>
      </c>
      <c r="H102" s="6" t="inlineStr">
        <is>
          <t>A - 6364</t>
        </is>
      </c>
      <c r="I102" s="6" t="inlineStr"/>
      <c r="J102" s="6" t="inlineStr"/>
      <c r="K102" s="7" t="n">
        <v>305000</v>
      </c>
      <c r="L102" s="8" t="n">
        <v>1</v>
      </c>
      <c r="M102" s="9">
        <f>K102*L102*$E$3</f>
        <v/>
      </c>
      <c r="N102" s="6" t="inlineStr">
        <is>
          <t>12</t>
        </is>
      </c>
      <c r="O102" s="6" t="inlineStr"/>
    </row>
    <row r="103">
      <c r="A103" s="6" t="n">
        <v>98</v>
      </c>
      <c r="B103" s="6" t="inlineStr">
        <is>
          <t>10 - Siviero Empreendimentos Imobiliários Ltda.</t>
        </is>
      </c>
      <c r="C103" s="6" t="inlineStr">
        <is>
          <t>Lote em loteamento</t>
        </is>
      </c>
      <c r="D103" s="6" t="inlineStr"/>
      <c r="E103" s="6" t="inlineStr">
        <is>
          <t>Lote 016 - C - 6366 - 29. Loteamento Altos da Graça I</t>
        </is>
      </c>
      <c r="F103" s="6" t="inlineStr">
        <is>
          <t>29. Loteamento Altos da Graça I</t>
        </is>
      </c>
      <c r="G103" s="6" t="inlineStr">
        <is>
          <t>016</t>
        </is>
      </c>
      <c r="H103" s="6" t="inlineStr">
        <is>
          <t>C - 6366</t>
        </is>
      </c>
      <c r="I103" s="6" t="inlineStr"/>
      <c r="J103" s="6" t="inlineStr"/>
      <c r="K103" s="7" t="n">
        <v>414000</v>
      </c>
      <c r="L103" s="8" t="n">
        <v>1</v>
      </c>
      <c r="M103" s="9">
        <f>K103*L103*$E$3</f>
        <v/>
      </c>
      <c r="N103" s="6" t="inlineStr">
        <is>
          <t>12</t>
        </is>
      </c>
      <c r="O103" s="6" t="inlineStr"/>
    </row>
    <row r="104">
      <c r="A104" s="6" t="n">
        <v>99</v>
      </c>
      <c r="B104" s="6" t="inlineStr">
        <is>
          <t>10 - Siviero Empreendimentos Imobiliários Ltda.</t>
        </is>
      </c>
      <c r="C104" s="6" t="inlineStr">
        <is>
          <t>Lote em loteamento</t>
        </is>
      </c>
      <c r="D104" s="6" t="inlineStr"/>
      <c r="E104" s="6" t="inlineStr">
        <is>
          <t>Lote 017 - C - 6366 - 29. Loteamento Altos da Graça I</t>
        </is>
      </c>
      <c r="F104" s="6" t="inlineStr">
        <is>
          <t>29. Loteamento Altos da Graça I</t>
        </is>
      </c>
      <c r="G104" s="6" t="inlineStr">
        <is>
          <t>017</t>
        </is>
      </c>
      <c r="H104" s="6" t="inlineStr">
        <is>
          <t>C - 6366</t>
        </is>
      </c>
      <c r="I104" s="6" t="inlineStr"/>
      <c r="J104" s="6" t="inlineStr"/>
      <c r="K104" s="7" t="n">
        <v>416000</v>
      </c>
      <c r="L104" s="8" t="n">
        <v>1</v>
      </c>
      <c r="M104" s="9">
        <f>K104*L104*$E$3</f>
        <v/>
      </c>
      <c r="N104" s="6" t="inlineStr">
        <is>
          <t>12</t>
        </is>
      </c>
      <c r="O104" s="6" t="inlineStr"/>
    </row>
    <row r="105">
      <c r="A105" s="6" t="n">
        <v>100</v>
      </c>
      <c r="B105" s="6" t="inlineStr">
        <is>
          <t>10 - Siviero Empreendimentos Imobiliários Ltda.</t>
        </is>
      </c>
      <c r="C105" s="6" t="inlineStr">
        <is>
          <t>Lote em loteamento</t>
        </is>
      </c>
      <c r="D105" s="6" t="inlineStr"/>
      <c r="E105" s="6" t="inlineStr">
        <is>
          <t>Lote 014 - G - 6370 - 29. Loteamento Altos da Graça I</t>
        </is>
      </c>
      <c r="F105" s="6" t="inlineStr">
        <is>
          <t>29. Loteamento Altos da Graça I</t>
        </is>
      </c>
      <c r="G105" s="6" t="inlineStr">
        <is>
          <t>014</t>
        </is>
      </c>
      <c r="H105" s="6" t="inlineStr">
        <is>
          <t>G - 6370</t>
        </is>
      </c>
      <c r="I105" s="6" t="inlineStr"/>
      <c r="J105" s="6" t="inlineStr"/>
      <c r="K105" s="7" t="n">
        <v>148000</v>
      </c>
      <c r="L105" s="8" t="n">
        <v>1</v>
      </c>
      <c r="M105" s="9">
        <f>K105*L105*$E$3</f>
        <v/>
      </c>
      <c r="N105" s="6" t="inlineStr">
        <is>
          <t>12</t>
        </is>
      </c>
      <c r="O105" s="6" t="inlineStr"/>
    </row>
    <row r="106">
      <c r="A106" s="6" t="n">
        <v>101</v>
      </c>
      <c r="B106" s="6" t="inlineStr">
        <is>
          <t>10 - Siviero Empreendimentos Imobiliários Ltda.</t>
        </is>
      </c>
      <c r="C106" s="6" t="inlineStr">
        <is>
          <t>Lote em loteamento</t>
        </is>
      </c>
      <c r="D106" s="6" t="inlineStr"/>
      <c r="E106" s="6" t="inlineStr">
        <is>
          <t>Lote 011 - H - 6371 - 29. Loteamento Altos da Graça I</t>
        </is>
      </c>
      <c r="F106" s="6" t="inlineStr">
        <is>
          <t>29. Loteamento Altos da Graça I</t>
        </is>
      </c>
      <c r="G106" s="6" t="inlineStr">
        <is>
          <t>011</t>
        </is>
      </c>
      <c r="H106" s="6" t="inlineStr">
        <is>
          <t>H - 6371</t>
        </is>
      </c>
      <c r="I106" s="6" t="inlineStr"/>
      <c r="J106" s="6" t="inlineStr"/>
      <c r="K106" s="7" t="n">
        <v>141000</v>
      </c>
      <c r="L106" s="8" t="n">
        <v>1</v>
      </c>
      <c r="M106" s="9">
        <f>K106*L106*$E$3</f>
        <v/>
      </c>
      <c r="N106" s="6" t="inlineStr">
        <is>
          <t>12</t>
        </is>
      </c>
      <c r="O106" s="6" t="inlineStr"/>
    </row>
    <row r="107">
      <c r="A107" s="6" t="n">
        <v>102</v>
      </c>
      <c r="B107" s="6" t="inlineStr">
        <is>
          <t>10 - Siviero Empreendimentos Imobiliários Ltda.</t>
        </is>
      </c>
      <c r="C107" s="6" t="inlineStr">
        <is>
          <t>Lote em loteamento</t>
        </is>
      </c>
      <c r="D107" s="6" t="inlineStr"/>
      <c r="E107" s="6" t="inlineStr">
        <is>
          <t>Lote 023 - 172 - 30. Loteamento Falavigna</t>
        </is>
      </c>
      <c r="F107" s="6" t="inlineStr">
        <is>
          <t>30. Loteamento Falavigna</t>
        </is>
      </c>
      <c r="G107" s="6" t="inlineStr">
        <is>
          <t>023</t>
        </is>
      </c>
      <c r="H107" s="6" t="inlineStr">
        <is>
          <t>172</t>
        </is>
      </c>
      <c r="I107" s="6" t="inlineStr"/>
      <c r="J107" s="6" t="inlineStr"/>
      <c r="K107" s="7" t="n">
        <v>934000</v>
      </c>
      <c r="L107" s="8" t="n">
        <v>1</v>
      </c>
      <c r="M107" s="9">
        <f>K107*L107*$E$3</f>
        <v/>
      </c>
      <c r="N107" s="6" t="inlineStr">
        <is>
          <t>12</t>
        </is>
      </c>
      <c r="O107" s="6" t="inlineStr"/>
    </row>
    <row r="108">
      <c r="A108" s="6" t="n">
        <v>103</v>
      </c>
      <c r="B108" s="6" t="inlineStr">
        <is>
          <t>10 - Siviero Empreendimentos Imobiliários Ltda.</t>
        </is>
      </c>
      <c r="C108" s="6" t="inlineStr">
        <is>
          <t>Lote em loteamento</t>
        </is>
      </c>
      <c r="D108" s="6" t="inlineStr"/>
      <c r="E108" s="6" t="inlineStr">
        <is>
          <t>Lote 022 - 174 - 30. Loteamento Falavigna</t>
        </is>
      </c>
      <c r="F108" s="6" t="inlineStr">
        <is>
          <t>30. Loteamento Falavigna</t>
        </is>
      </c>
      <c r="G108" s="6" t="inlineStr">
        <is>
          <t>022</t>
        </is>
      </c>
      <c r="H108" s="6" t="inlineStr">
        <is>
          <t>174</t>
        </is>
      </c>
      <c r="I108" s="6" t="inlineStr"/>
      <c r="J108" s="6" t="inlineStr"/>
      <c r="K108" s="7" t="n">
        <v>581000</v>
      </c>
      <c r="L108" s="8" t="n">
        <v>1</v>
      </c>
      <c r="M108" s="9">
        <f>K108*L108*$E$3</f>
        <v/>
      </c>
      <c r="N108" s="6" t="inlineStr">
        <is>
          <t>12</t>
        </is>
      </c>
      <c r="O108" s="6" t="inlineStr"/>
    </row>
    <row r="109">
      <c r="A109" s="6" t="n">
        <v>104</v>
      </c>
      <c r="B109" s="6" t="inlineStr">
        <is>
          <t>10 - Siviero Empreendimentos Imobiliários Ltda.</t>
        </is>
      </c>
      <c r="C109" s="6" t="inlineStr">
        <is>
          <t>Lote em loteamento</t>
        </is>
      </c>
      <c r="D109" s="6" t="inlineStr"/>
      <c r="E109" s="6" t="inlineStr">
        <is>
          <t>Lote 028 - 175 - 30. Loteamento Falavigna</t>
        </is>
      </c>
      <c r="F109" s="6" t="inlineStr">
        <is>
          <t>30. Loteamento Falavigna</t>
        </is>
      </c>
      <c r="G109" s="6" t="inlineStr">
        <is>
          <t>028</t>
        </is>
      </c>
      <c r="H109" s="6" t="inlineStr">
        <is>
          <t>175</t>
        </is>
      </c>
      <c r="I109" s="6" t="inlineStr"/>
      <c r="J109" s="6" t="inlineStr"/>
      <c r="K109" s="7" t="n">
        <v>532000</v>
      </c>
      <c r="L109" s="8" t="n">
        <v>1</v>
      </c>
      <c r="M109" s="9">
        <f>K109*L109*$E$3</f>
        <v/>
      </c>
      <c r="N109" s="6" t="inlineStr">
        <is>
          <t>12</t>
        </is>
      </c>
      <c r="O109" s="6" t="inlineStr"/>
    </row>
    <row r="110">
      <c r="A110" s="6" t="n">
        <v>105</v>
      </c>
      <c r="B110" s="6" t="inlineStr">
        <is>
          <t>10 - Siviero Empreendimentos Imobiliários Ltda.</t>
        </is>
      </c>
      <c r="C110" s="6" t="inlineStr">
        <is>
          <t>Lote em loteamento</t>
        </is>
      </c>
      <c r="D110" s="6" t="inlineStr"/>
      <c r="E110" s="6" t="inlineStr">
        <is>
          <t>Lote 029 - 322 - 30. Loteamento Falavigna</t>
        </is>
      </c>
      <c r="F110" s="6" t="inlineStr">
        <is>
          <t>30. Loteamento Falavigna</t>
        </is>
      </c>
      <c r="G110" s="6" t="inlineStr">
        <is>
          <t>029</t>
        </is>
      </c>
      <c r="H110" s="6" t="inlineStr">
        <is>
          <t>322</t>
        </is>
      </c>
      <c r="I110" s="6" t="inlineStr"/>
      <c r="J110" s="6" t="inlineStr"/>
      <c r="K110" s="7" t="n">
        <v>758000</v>
      </c>
      <c r="L110" s="8" t="n">
        <v>1</v>
      </c>
      <c r="M110" s="9">
        <f>K110*L110*$E$3</f>
        <v/>
      </c>
      <c r="N110" s="6" t="inlineStr">
        <is>
          <t>12</t>
        </is>
      </c>
      <c r="O110" s="6" t="inlineStr"/>
    </row>
    <row r="111">
      <c r="A111" s="6" t="n">
        <v>106</v>
      </c>
      <c r="B111" s="6" t="inlineStr">
        <is>
          <t>10 - Siviero Empreendimentos Imobiliários Ltda.</t>
        </is>
      </c>
      <c r="C111" s="6" t="inlineStr">
        <is>
          <t>Lote em loteamento</t>
        </is>
      </c>
      <c r="D111" s="6" t="inlineStr"/>
      <c r="E111" s="6" t="inlineStr">
        <is>
          <t>Lote 017 - 876 - 30. Loteamento Falavigna</t>
        </is>
      </c>
      <c r="F111" s="6" t="inlineStr">
        <is>
          <t>30. Loteamento Falavigna</t>
        </is>
      </c>
      <c r="G111" s="6" t="inlineStr">
        <is>
          <t>017</t>
        </is>
      </c>
      <c r="H111" s="6" t="inlineStr">
        <is>
          <t>876</t>
        </is>
      </c>
      <c r="I111" s="6" t="inlineStr"/>
      <c r="J111" s="6" t="inlineStr"/>
      <c r="K111" s="7" t="n">
        <v>576000</v>
      </c>
      <c r="L111" s="8" t="n">
        <v>1</v>
      </c>
      <c r="M111" s="9">
        <f>K111*L111*$E$3</f>
        <v/>
      </c>
      <c r="N111" s="6" t="inlineStr">
        <is>
          <t>12</t>
        </is>
      </c>
      <c r="O111" s="6" t="inlineStr"/>
    </row>
    <row r="112">
      <c r="A112" s="6" t="n">
        <v>107</v>
      </c>
      <c r="B112" s="6" t="inlineStr">
        <is>
          <t>10 - Siviero Empreendimentos Imobiliários Ltda.</t>
        </is>
      </c>
      <c r="C112" s="6" t="inlineStr">
        <is>
          <t>Lote em loteamento</t>
        </is>
      </c>
      <c r="D112" s="6" t="inlineStr"/>
      <c r="E112" s="6" t="inlineStr">
        <is>
          <t>Lote 004 - 878 - 30. Loteamento Falavigna</t>
        </is>
      </c>
      <c r="F112" s="6" t="inlineStr">
        <is>
          <t>30. Loteamento Falavigna</t>
        </is>
      </c>
      <c r="G112" s="6" t="inlineStr">
        <is>
          <t>004</t>
        </is>
      </c>
      <c r="H112" s="6" t="inlineStr">
        <is>
          <t>878</t>
        </is>
      </c>
      <c r="I112" s="6" t="inlineStr"/>
      <c r="J112" s="6" t="inlineStr"/>
      <c r="K112" s="7" t="n">
        <v>595000</v>
      </c>
      <c r="L112" s="8" t="n">
        <v>1</v>
      </c>
      <c r="M112" s="9">
        <f>K112*L112*$E$3</f>
        <v/>
      </c>
      <c r="N112" s="6" t="inlineStr">
        <is>
          <t>12</t>
        </is>
      </c>
      <c r="O112" s="6" t="inlineStr"/>
    </row>
    <row r="113">
      <c r="A113" s="6" t="n">
        <v>108</v>
      </c>
      <c r="B113" s="6" t="inlineStr">
        <is>
          <t>10 - Siviero Empreendimentos Imobiliários Ltda.</t>
        </is>
      </c>
      <c r="C113" s="6" t="inlineStr">
        <is>
          <t>Lote em loteamento</t>
        </is>
      </c>
      <c r="D113" s="6" t="inlineStr"/>
      <c r="E113" s="6" t="inlineStr">
        <is>
          <t>Lote 005 - 878 - 30. Loteamento Falavigna</t>
        </is>
      </c>
      <c r="F113" s="6" t="inlineStr">
        <is>
          <t>30. Loteamento Falavigna</t>
        </is>
      </c>
      <c r="G113" s="6" t="inlineStr">
        <is>
          <t>005</t>
        </is>
      </c>
      <c r="H113" s="6" t="inlineStr">
        <is>
          <t>878</t>
        </is>
      </c>
      <c r="I113" s="6" t="inlineStr"/>
      <c r="J113" s="6" t="inlineStr"/>
      <c r="K113" s="7" t="n">
        <v>595000</v>
      </c>
      <c r="L113" s="8" t="n">
        <v>1</v>
      </c>
      <c r="M113" s="9">
        <f>K113*L113*$E$3</f>
        <v/>
      </c>
      <c r="N113" s="6" t="inlineStr">
        <is>
          <t>12</t>
        </is>
      </c>
      <c r="O113" s="6" t="inlineStr"/>
    </row>
    <row r="114">
      <c r="A114" s="11" t="inlineStr">
        <is>
          <t>TOTAL</t>
        </is>
      </c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2">
        <f>SUM(K6:K113)</f>
        <v/>
      </c>
      <c r="L114" s="11" t="n"/>
      <c r="M114" s="12">
        <f>SUM(M6:M113)</f>
        <v/>
      </c>
      <c r="N114" s="11" t="n"/>
      <c r="O114" s="11" t="n"/>
    </row>
  </sheetData>
  <autoFilter ref="A5:O11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Resumo por empresa e categoria</t>
        </is>
      </c>
    </row>
    <row r="3">
      <c r="A3" s="5" t="inlineStr">
        <is>
          <t>Empresa</t>
        </is>
      </c>
      <c r="B3" s="5" t="inlineStr">
        <is>
          <t>Qtde. ativos</t>
        </is>
      </c>
      <c r="C3" s="5" t="inlineStr">
        <is>
          <t>Valor avaliado (R$)</t>
        </is>
      </c>
      <c r="D3" s="5" t="inlineStr">
        <is>
          <t>Quinhão Valter (R$)</t>
        </is>
      </c>
      <c r="E3" s="5" t="inlineStr">
        <is>
          <t>% do total</t>
        </is>
      </c>
    </row>
    <row r="4">
      <c r="A4" s="13" t="inlineStr">
        <is>
          <t>05 - Hotel Princesa dos Vales Ltda.</t>
        </is>
      </c>
      <c r="B4" s="13">
        <f>COUNTIF(Ativos!$B$6:$B$113,A4)</f>
        <v/>
      </c>
      <c r="C4" s="14">
        <f>SUMIF(Ativos!$B$6:$B$113,A4,Ativos!$K$6:$K$113)</f>
        <v/>
      </c>
      <c r="D4" s="14">
        <f>SUMIF(Ativos!$B$6:$B$113,A4,Ativos!$M$6:$M$113)</f>
        <v/>
      </c>
      <c r="E4" s="15">
        <f>IF($C$8=0,0,C4/$C$8)</f>
        <v/>
      </c>
    </row>
    <row r="5">
      <c r="A5" s="13" t="inlineStr">
        <is>
          <t>06 - Hotel Araçá Ltda.</t>
        </is>
      </c>
      <c r="B5" s="13">
        <f>COUNTIF(Ativos!$B$6:$B$113,A5)</f>
        <v/>
      </c>
      <c r="C5" s="14">
        <f>SUMIF(Ativos!$B$6:$B$113,A5,Ativos!$K$6:$K$113)</f>
        <v/>
      </c>
      <c r="D5" s="14">
        <f>SUMIF(Ativos!$B$6:$B$113,A5,Ativos!$M$6:$M$113)</f>
        <v/>
      </c>
      <c r="E5" s="15">
        <f>IF($C$8=0,0,C5/$C$8)</f>
        <v/>
      </c>
    </row>
    <row r="6">
      <c r="A6" s="13" t="inlineStr">
        <is>
          <t>07 - Rádio Comunidade Princesa dos Vales FM Ltda.</t>
        </is>
      </c>
      <c r="B6" s="13">
        <f>COUNTIF(Ativos!$B$6:$B$113,A6)</f>
        <v/>
      </c>
      <c r="C6" s="14">
        <f>SUMIF(Ativos!$B$6:$B$113,A6,Ativos!$K$6:$K$113)</f>
        <v/>
      </c>
      <c r="D6" s="14">
        <f>SUMIF(Ativos!$B$6:$B$113,A6,Ativos!$M$6:$M$113)</f>
        <v/>
      </c>
      <c r="E6" s="15">
        <f>IF($C$8=0,0,C6/$C$8)</f>
        <v/>
      </c>
    </row>
    <row r="7">
      <c r="A7" s="13" t="inlineStr">
        <is>
          <t>10 - Siviero Empreendimentos Imobiliários Ltda.</t>
        </is>
      </c>
      <c r="B7" s="13">
        <f>COUNTIF(Ativos!$B$6:$B$113,A7)</f>
        <v/>
      </c>
      <c r="C7" s="14">
        <f>SUMIF(Ativos!$B$6:$B$113,A7,Ativos!$K$6:$K$113)</f>
        <v/>
      </c>
      <c r="D7" s="14">
        <f>SUMIF(Ativos!$B$6:$B$113,A7,Ativos!$M$6:$M$113)</f>
        <v/>
      </c>
      <c r="E7" s="15">
        <f>IF($C$8=0,0,C7/$C$8)</f>
        <v/>
      </c>
    </row>
    <row r="8">
      <c r="A8" s="11" t="inlineStr">
        <is>
          <t>TOTAL</t>
        </is>
      </c>
      <c r="B8" s="11">
        <f>SUM(B4:B7)</f>
        <v/>
      </c>
      <c r="C8" s="12">
        <f>SUM(C4:C7)</f>
        <v/>
      </c>
      <c r="D8" s="12">
        <f>SUM(D4:D7)</f>
        <v/>
      </c>
      <c r="E8" s="16">
        <f>SUM(E4:E7)</f>
        <v/>
      </c>
    </row>
    <row r="11">
      <c r="A11" s="5" t="inlineStr">
        <is>
          <t>Categoria</t>
        </is>
      </c>
      <c r="B11" s="5" t="inlineStr">
        <is>
          <t>Qtde. ativos</t>
        </is>
      </c>
      <c r="C11" s="5" t="inlineStr">
        <is>
          <t>Valor avaliado (R$)</t>
        </is>
      </c>
      <c r="D11" s="5" t="inlineStr">
        <is>
          <t>Quinhão Valter (R$)</t>
        </is>
      </c>
      <c r="E11" s="5" t="inlineStr">
        <is>
          <t>% do total</t>
        </is>
      </c>
    </row>
    <row r="12">
      <c r="A12" s="13" t="inlineStr">
        <is>
          <t>Imóvel rural</t>
        </is>
      </c>
      <c r="B12" s="13">
        <f>COUNTIF(Ativos!$C$6:$C$113,A12)</f>
        <v/>
      </c>
      <c r="C12" s="14">
        <f>SUMIF(Ativos!$C$6:$C$113,A12,Ativos!$K$6:$K$113)</f>
        <v/>
      </c>
      <c r="D12" s="14">
        <f>SUMIF(Ativos!$C$6:$C$113,A12,Ativos!$M$6:$M$113)</f>
        <v/>
      </c>
      <c r="E12" s="15">
        <f>IF($C$16=0,0,C12/$C$16)</f>
        <v/>
      </c>
    </row>
    <row r="13">
      <c r="A13" s="13" t="inlineStr">
        <is>
          <t>Imóvel urbano</t>
        </is>
      </c>
      <c r="B13" s="13">
        <f>COUNTIF(Ativos!$C$6:$C$113,A13)</f>
        <v/>
      </c>
      <c r="C13" s="14">
        <f>SUMIF(Ativos!$C$6:$C$113,A13,Ativos!$K$6:$K$113)</f>
        <v/>
      </c>
      <c r="D13" s="14">
        <f>SUMIF(Ativos!$C$6:$C$113,A13,Ativos!$M$6:$M$113)</f>
        <v/>
      </c>
      <c r="E13" s="15">
        <f>IF($C$16=0,0,C13/$C$16)</f>
        <v/>
      </c>
    </row>
    <row r="14">
      <c r="A14" s="13" t="inlineStr">
        <is>
          <t>Lote em loteamento</t>
        </is>
      </c>
      <c r="B14" s="13">
        <f>COUNTIF(Ativos!$C$6:$C$113,A14)</f>
        <v/>
      </c>
      <c r="C14" s="14">
        <f>SUMIF(Ativos!$C$6:$C$113,A14,Ativos!$K$6:$K$113)</f>
        <v/>
      </c>
      <c r="D14" s="14">
        <f>SUMIF(Ativos!$C$6:$C$113,A14,Ativos!$M$6:$M$113)</f>
        <v/>
      </c>
      <c r="E14" s="15">
        <f>IF($C$16=0,0,C14/$C$16)</f>
        <v/>
      </c>
    </row>
    <row r="15">
      <c r="A15" s="13" t="inlineStr">
        <is>
          <t>Veículo</t>
        </is>
      </c>
      <c r="B15" s="13">
        <f>COUNTIF(Ativos!$C$6:$C$113,A15)</f>
        <v/>
      </c>
      <c r="C15" s="14">
        <f>SUMIF(Ativos!$C$6:$C$113,A15,Ativos!$K$6:$K$113)</f>
        <v/>
      </c>
      <c r="D15" s="14">
        <f>SUMIF(Ativos!$C$6:$C$113,A15,Ativos!$M$6:$M$113)</f>
        <v/>
      </c>
      <c r="E15" s="15">
        <f>IF($C$16=0,0,C15/$C$16)</f>
        <v/>
      </c>
    </row>
    <row r="16">
      <c r="A16" s="11" t="inlineStr">
        <is>
          <t>TOTAL</t>
        </is>
      </c>
      <c r="B16" s="11">
        <f>SUM(B12:B15)</f>
        <v/>
      </c>
      <c r="C16" s="12">
        <f>SUM(C12:C15)</f>
        <v/>
      </c>
      <c r="D16" s="12">
        <f>SUM(D12:D15)</f>
        <v/>
      </c>
      <c r="E16" s="16">
        <f>SUM(E12:E15)</f>
        <v/>
      </c>
    </row>
    <row r="19">
      <c r="A19" s="5" t="inlineStr">
        <is>
          <t>Loteamento (Empresa 10)</t>
        </is>
      </c>
      <c r="B19" s="5" t="inlineStr">
        <is>
          <t>Qtde. lotes</t>
        </is>
      </c>
      <c r="C19" s="5" t="inlineStr">
        <is>
          <t>Valor avaliado (R$)</t>
        </is>
      </c>
      <c r="D19" s="5" t="inlineStr">
        <is>
          <t>Quinhão Valter (R$)</t>
        </is>
      </c>
      <c r="E19" s="5" t="inlineStr">
        <is>
          <t>% do total</t>
        </is>
      </c>
    </row>
    <row r="20">
      <c r="A20" s="13" t="inlineStr">
        <is>
          <t>01. Loteamento Sol Nascente I</t>
        </is>
      </c>
      <c r="B20" s="13">
        <f>COUNTIF(Ativos!$F$6:$F$113,A20)</f>
        <v/>
      </c>
      <c r="C20" s="14">
        <f>SUMIF(Ativos!$F$6:$F$113,A20,Ativos!$K$6:$K$113)</f>
        <v/>
      </c>
      <c r="D20" s="14">
        <f>SUMIF(Ativos!$F$6:$F$113,A20,Ativos!$M$6:$M$113)</f>
        <v/>
      </c>
      <c r="E20" s="15">
        <f>IF($C$38=0,0,C20/$C$38)</f>
        <v/>
      </c>
    </row>
    <row r="21">
      <c r="A21" s="13" t="inlineStr">
        <is>
          <t>06. Loteamento Aditivo Medianeira</t>
        </is>
      </c>
      <c r="B21" s="13">
        <f>COUNTIF(Ativos!$F$6:$F$113,A21)</f>
        <v/>
      </c>
      <c r="C21" s="14">
        <f>SUMIF(Ativos!$F$6:$F$113,A21,Ativos!$K$6:$K$113)</f>
        <v/>
      </c>
      <c r="D21" s="14">
        <f>SUMIF(Ativos!$F$6:$F$113,A21,Ativos!$M$6:$M$113)</f>
        <v/>
      </c>
      <c r="E21" s="15">
        <f>IF($C$38=0,0,C21/$C$38)</f>
        <v/>
      </c>
    </row>
    <row r="22">
      <c r="A22" s="13" t="inlineStr">
        <is>
          <t>07. Colina do Retiro</t>
        </is>
      </c>
      <c r="B22" s="13">
        <f>COUNTIF(Ativos!$F$6:$F$113,A22)</f>
        <v/>
      </c>
      <c r="C22" s="14">
        <f>SUMIF(Ativos!$F$6:$F$113,A22,Ativos!$K$6:$K$113)</f>
        <v/>
      </c>
      <c r="D22" s="14">
        <f>SUMIF(Ativos!$F$6:$F$113,A22,Ativos!$M$6:$M$113)</f>
        <v/>
      </c>
      <c r="E22" s="15">
        <f>IF($C$38=0,0,C22/$C$38)</f>
        <v/>
      </c>
    </row>
    <row r="23">
      <c r="A23" s="13" t="inlineStr">
        <is>
          <t>08. Loteamento Salvador - Alberto Salvador - Femaçã II</t>
        </is>
      </c>
      <c r="B23" s="13">
        <f>COUNTIF(Ativos!$F$6:$F$113,A23)</f>
        <v/>
      </c>
      <c r="C23" s="14">
        <f>SUMIF(Ativos!$F$6:$F$113,A23,Ativos!$K$6:$K$113)</f>
        <v/>
      </c>
      <c r="D23" s="14">
        <f>SUMIF(Ativos!$F$6:$F$113,A23,Ativos!$M$6:$M$113)</f>
        <v/>
      </c>
      <c r="E23" s="15">
        <f>IF($C$38=0,0,C23/$C$38)</f>
        <v/>
      </c>
    </row>
    <row r="24">
      <c r="A24" s="13" t="inlineStr">
        <is>
          <t>09. Loteamento Colina do Retiro II</t>
        </is>
      </c>
      <c r="B24" s="13">
        <f>COUNTIF(Ativos!$F$6:$F$113,A24)</f>
        <v/>
      </c>
      <c r="C24" s="14">
        <f>SUMIF(Ativos!$F$6:$F$113,A24,Ativos!$K$6:$K$113)</f>
        <v/>
      </c>
      <c r="D24" s="14">
        <f>SUMIF(Ativos!$F$6:$F$113,A24,Ativos!$M$6:$M$113)</f>
        <v/>
      </c>
      <c r="E24" s="15">
        <f>IF($C$38=0,0,C24/$C$38)</f>
        <v/>
      </c>
    </row>
    <row r="25">
      <c r="A25" s="13" t="inlineStr">
        <is>
          <t>10. Loteamento Industrial Pedra Lisa</t>
        </is>
      </c>
      <c r="B25" s="13">
        <f>COUNTIF(Ativos!$F$6:$F$113,A25)</f>
        <v/>
      </c>
      <c r="C25" s="14">
        <f>SUMIF(Ativos!$F$6:$F$113,A25,Ativos!$K$6:$K$113)</f>
        <v/>
      </c>
      <c r="D25" s="14">
        <f>SUMIF(Ativos!$F$6:$F$113,A25,Ativos!$M$6:$M$113)</f>
        <v/>
      </c>
      <c r="E25" s="15">
        <f>IF($C$38=0,0,C25/$C$38)</f>
        <v/>
      </c>
    </row>
    <row r="26">
      <c r="A26" s="13" t="inlineStr">
        <is>
          <t>12. Loteamento Baldasso</t>
        </is>
      </c>
      <c r="B26" s="13">
        <f>COUNTIF(Ativos!$F$6:$F$113,A26)</f>
        <v/>
      </c>
      <c r="C26" s="14">
        <f>SUMIF(Ativos!$F$6:$F$113,A26,Ativos!$K$6:$K$113)</f>
        <v/>
      </c>
      <c r="D26" s="14">
        <f>SUMIF(Ativos!$F$6:$F$113,A26,Ativos!$M$6:$M$113)</f>
        <v/>
      </c>
      <c r="E26" s="15">
        <f>IF($C$38=0,0,C26/$C$38)</f>
        <v/>
      </c>
    </row>
    <row r="27">
      <c r="A27" s="13" t="inlineStr">
        <is>
          <t>13. Loteamento Colina do Basalto</t>
        </is>
      </c>
      <c r="B27" s="13">
        <f>COUNTIF(Ativos!$F$6:$F$113,A27)</f>
        <v/>
      </c>
      <c r="C27" s="14">
        <f>SUMIF(Ativos!$F$6:$F$113,A27,Ativos!$K$6:$K$113)</f>
        <v/>
      </c>
      <c r="D27" s="14">
        <f>SUMIF(Ativos!$F$6:$F$113,A27,Ativos!$M$6:$M$113)</f>
        <v/>
      </c>
      <c r="E27" s="15">
        <f>IF($C$38=0,0,C27/$C$38)</f>
        <v/>
      </c>
    </row>
    <row r="28">
      <c r="A28" s="13" t="inlineStr">
        <is>
          <t>14. Loteamento Carnevalli</t>
        </is>
      </c>
      <c r="B28" s="13">
        <f>COUNTIF(Ativos!$F$6:$F$113,A28)</f>
        <v/>
      </c>
      <c r="C28" s="14">
        <f>SUMIF(Ativos!$F$6:$F$113,A28,Ativos!$K$6:$K$113)</f>
        <v/>
      </c>
      <c r="D28" s="14">
        <f>SUMIF(Ativos!$F$6:$F$113,A28,Ativos!$M$6:$M$113)</f>
        <v/>
      </c>
      <c r="E28" s="15">
        <f>IF($C$38=0,0,C28/$C$38)</f>
        <v/>
      </c>
    </row>
    <row r="29">
      <c r="A29" s="13" t="inlineStr">
        <is>
          <t>18. Loteamento Lago Negro</t>
        </is>
      </c>
      <c r="B29" s="13">
        <f>COUNTIF(Ativos!$F$6:$F$113,A29)</f>
        <v/>
      </c>
      <c r="C29" s="14">
        <f>SUMIF(Ativos!$F$6:$F$113,A29,Ativos!$K$6:$K$113)</f>
        <v/>
      </c>
      <c r="D29" s="14">
        <f>SUMIF(Ativos!$F$6:$F$113,A29,Ativos!$M$6:$M$113)</f>
        <v/>
      </c>
      <c r="E29" s="15">
        <f>IF($C$38=0,0,C29/$C$38)</f>
        <v/>
      </c>
    </row>
    <row r="30">
      <c r="A30" s="13" t="inlineStr">
        <is>
          <t>20. Loteamento San Marino</t>
        </is>
      </c>
      <c r="B30" s="13">
        <f>COUNTIF(Ativos!$F$6:$F$113,A30)</f>
        <v/>
      </c>
      <c r="C30" s="14">
        <f>SUMIF(Ativos!$F$6:$F$113,A30,Ativos!$K$6:$K$113)</f>
        <v/>
      </c>
      <c r="D30" s="14">
        <f>SUMIF(Ativos!$F$6:$F$113,A30,Ativos!$M$6:$M$113)</f>
        <v/>
      </c>
      <c r="E30" s="15">
        <f>IF($C$38=0,0,C30/$C$38)</f>
        <v/>
      </c>
    </row>
    <row r="31">
      <c r="A31" s="13" t="inlineStr">
        <is>
          <t>21. Loteamento Firminio Dalzóchio</t>
        </is>
      </c>
      <c r="B31" s="13">
        <f>COUNTIF(Ativos!$F$6:$F$113,A31)</f>
        <v/>
      </c>
      <c r="C31" s="14">
        <f>SUMIF(Ativos!$F$6:$F$113,A31,Ativos!$K$6:$K$113)</f>
        <v/>
      </c>
      <c r="D31" s="14">
        <f>SUMIF(Ativos!$F$6:$F$113,A31,Ativos!$M$6:$M$113)</f>
        <v/>
      </c>
      <c r="E31" s="15">
        <f>IF($C$38=0,0,C31/$C$38)</f>
        <v/>
      </c>
    </row>
    <row r="32">
      <c r="A32" s="13" t="inlineStr">
        <is>
          <t>24. Loteamento Industrial Vicentino</t>
        </is>
      </c>
      <c r="B32" s="13">
        <f>COUNTIF(Ativos!$F$6:$F$113,A32)</f>
        <v/>
      </c>
      <c r="C32" s="14">
        <f>SUMIF(Ativos!$F$6:$F$113,A32,Ativos!$K$6:$K$113)</f>
        <v/>
      </c>
      <c r="D32" s="14">
        <f>SUMIF(Ativos!$F$6:$F$113,A32,Ativos!$M$6:$M$113)</f>
        <v/>
      </c>
      <c r="E32" s="15">
        <f>IF($C$38=0,0,C32/$C$38)</f>
        <v/>
      </c>
    </row>
    <row r="33">
      <c r="A33" s="13" t="inlineStr">
        <is>
          <t>25. Loteamento Residencial Jardim Itália I, II, III</t>
        </is>
      </c>
      <c r="B33" s="13">
        <f>COUNTIF(Ativos!$F$6:$F$113,A33)</f>
        <v/>
      </c>
      <c r="C33" s="14">
        <f>SUMIF(Ativos!$F$6:$F$113,A33,Ativos!$K$6:$K$113)</f>
        <v/>
      </c>
      <c r="D33" s="14">
        <f>SUMIF(Ativos!$F$6:$F$113,A33,Ativos!$M$6:$M$113)</f>
        <v/>
      </c>
      <c r="E33" s="15">
        <f>IF($C$38=0,0,C33/$C$38)</f>
        <v/>
      </c>
    </row>
    <row r="34">
      <c r="A34" s="13" t="inlineStr">
        <is>
          <t>26. Loteamento Altos da Julieta I, II</t>
        </is>
      </c>
      <c r="B34" s="13">
        <f>COUNTIF(Ativos!$F$6:$F$113,A34)</f>
        <v/>
      </c>
      <c r="C34" s="14">
        <f>SUMIF(Ativos!$F$6:$F$113,A34,Ativos!$K$6:$K$113)</f>
        <v/>
      </c>
      <c r="D34" s="14">
        <f>SUMIF(Ativos!$F$6:$F$113,A34,Ativos!$M$6:$M$113)</f>
        <v/>
      </c>
      <c r="E34" s="15">
        <f>IF($C$38=0,0,C34/$C$38)</f>
        <v/>
      </c>
    </row>
    <row r="35">
      <c r="A35" s="13" t="inlineStr">
        <is>
          <t>27. Loteamento Monte Vêneto I, II</t>
        </is>
      </c>
      <c r="B35" s="13">
        <f>COUNTIF(Ativos!$F$6:$F$113,A35)</f>
        <v/>
      </c>
      <c r="C35" s="14">
        <f>SUMIF(Ativos!$F$6:$F$113,A35,Ativos!$K$6:$K$113)</f>
        <v/>
      </c>
      <c r="D35" s="14">
        <f>SUMIF(Ativos!$F$6:$F$113,A35,Ativos!$M$6:$M$113)</f>
        <v/>
      </c>
      <c r="E35" s="15">
        <f>IF($C$38=0,0,C35/$C$38)</f>
        <v/>
      </c>
    </row>
    <row r="36">
      <c r="A36" s="13" t="inlineStr">
        <is>
          <t>29. Loteamento Altos da Graça I</t>
        </is>
      </c>
      <c r="B36" s="13">
        <f>COUNTIF(Ativos!$F$6:$F$113,A36)</f>
        <v/>
      </c>
      <c r="C36" s="14">
        <f>SUMIF(Ativos!$F$6:$F$113,A36,Ativos!$K$6:$K$113)</f>
        <v/>
      </c>
      <c r="D36" s="14">
        <f>SUMIF(Ativos!$F$6:$F$113,A36,Ativos!$M$6:$M$113)</f>
        <v/>
      </c>
      <c r="E36" s="15">
        <f>IF($C$38=0,0,C36/$C$38)</f>
        <v/>
      </c>
    </row>
    <row r="37">
      <c r="A37" s="13" t="inlineStr">
        <is>
          <t>30. Loteamento Falavigna</t>
        </is>
      </c>
      <c r="B37" s="13">
        <f>COUNTIF(Ativos!$F$6:$F$113,A37)</f>
        <v/>
      </c>
      <c r="C37" s="14">
        <f>SUMIF(Ativos!$F$6:$F$113,A37,Ativos!$K$6:$K$113)</f>
        <v/>
      </c>
      <c r="D37" s="14">
        <f>SUMIF(Ativos!$F$6:$F$113,A37,Ativos!$M$6:$M$113)</f>
        <v/>
      </c>
      <c r="E37" s="15">
        <f>IF($C$38=0,0,C37/$C$38)</f>
        <v/>
      </c>
    </row>
    <row r="38">
      <c r="A38" s="11" t="inlineStr">
        <is>
          <t>TOTAL LOTES</t>
        </is>
      </c>
      <c r="B38" s="11">
        <f>SUM(B20:B37)</f>
        <v/>
      </c>
      <c r="C38" s="12">
        <f>SUM(C20:C37)</f>
        <v/>
      </c>
      <c r="D38" s="12">
        <f>SUM(D20:D37)</f>
        <v/>
      </c>
      <c r="E38" s="16">
        <f>SUM(E20:E37)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9" customWidth="1" min="3" max="3"/>
    <col width="22" customWidth="1" min="4" max="4"/>
    <col width="20" customWidth="1" min="5" max="5"/>
    <col width="70" customWidth="1" min="6" max="6"/>
  </cols>
  <sheetData>
    <row r="1">
      <c r="A1" s="1" t="inlineStr">
        <is>
          <t>Composição dos valores dos itens com memória de cálculo</t>
        </is>
      </c>
    </row>
    <row r="2">
      <c r="A2" s="2" t="inlineStr">
        <is>
          <t>Valores e parâmetros em azul transcritos do documento; totais calculados por fórmula e comparados ao valor declarado.</t>
        </is>
      </c>
    </row>
    <row r="4">
      <c r="A4" s="5" t="inlineStr">
        <is>
          <t>Parcela</t>
        </is>
      </c>
      <c r="B4" s="5" t="inlineStr">
        <is>
          <t>Quantidade</t>
        </is>
      </c>
      <c r="C4" s="5" t="inlineStr">
        <is>
          <t>Unidade</t>
        </is>
      </c>
      <c r="D4" s="5" t="inlineStr">
        <is>
          <t>Valor unitário / % (R$)</t>
        </is>
      </c>
      <c r="E4" s="5" t="inlineStr">
        <is>
          <t>Valor (R$)</t>
        </is>
      </c>
      <c r="F4" s="5" t="inlineStr">
        <is>
          <t>Observação</t>
        </is>
      </c>
    </row>
    <row r="5">
      <c r="A5" s="3" t="inlineStr">
        <is>
          <t>Empresa 05 - Item 04 - Sede Campestre (9,4 ha)</t>
        </is>
      </c>
      <c r="B5" s="17" t="n"/>
    </row>
    <row r="6">
      <c r="A6" s="6" t="inlineStr">
        <is>
          <t>Área de terras</t>
        </is>
      </c>
      <c r="B6" s="18" t="n">
        <v>9.4</v>
      </c>
      <c r="C6" s="6" t="inlineStr">
        <is>
          <t>ha</t>
        </is>
      </c>
      <c r="D6" s="7" t="n">
        <v>450000</v>
      </c>
      <c r="E6" s="9">
        <f>B6*D6</f>
        <v/>
      </c>
      <c r="F6" s="6" t="inlineStr"/>
    </row>
    <row r="7">
      <c r="A7" s="6" t="inlineStr">
        <is>
          <t>Pavilhão construído - obra civil (CUB ago/2017)</t>
        </is>
      </c>
      <c r="B7" s="18" t="n">
        <v>891</v>
      </c>
      <c r="C7" s="6" t="inlineStr">
        <is>
          <t>m²</t>
        </is>
      </c>
      <c r="D7" s="7" t="n">
        <v>746</v>
      </c>
      <c r="E7" s="9">
        <f>B7*D7</f>
        <v/>
      </c>
      <c r="F7" s="6" t="inlineStr"/>
    </row>
    <row r="8">
      <c r="A8" s="6" t="inlineStr">
        <is>
          <t>Benfeitoria - Quiosque</t>
        </is>
      </c>
      <c r="B8" s="19" t="n"/>
      <c r="C8" s="6" t="n"/>
      <c r="D8" s="6" t="n"/>
      <c r="E8" s="7" t="n">
        <v>150000</v>
      </c>
      <c r="F8" s="6" t="inlineStr"/>
    </row>
    <row r="9">
      <c r="A9" s="6" t="inlineStr">
        <is>
          <t>Casa de alvenaria nos fundos</t>
        </is>
      </c>
      <c r="B9" s="19" t="n"/>
      <c r="C9" s="6" t="n"/>
      <c r="D9" s="6" t="n"/>
      <c r="E9" s="7" t="n">
        <v>250000</v>
      </c>
      <c r="F9" s="6" t="inlineStr">
        <is>
          <t>Área construída em branco no documento.</t>
        </is>
      </c>
    </row>
    <row r="10">
      <c r="A10" s="6" t="inlineStr">
        <is>
          <t>Obras e infraestrutura = 25% de (pavilhão + quiosque + casa)</t>
        </is>
      </c>
      <c r="B10" s="19" t="n"/>
      <c r="C10" s="6" t="n"/>
      <c r="D10" s="20" t="n">
        <v>0.25</v>
      </c>
      <c r="E10" s="9">
        <f>D10*SUM(E7:E9)</f>
        <v/>
      </c>
      <c r="F10" s="6" t="inlineStr">
        <is>
          <t>Documento escreve '25,00% (Vinte por cento)'; o valor R$ 266.171,50 corresponde a 25% de R$ 1.064.686,00.</t>
        </is>
      </c>
    </row>
    <row r="11">
      <c r="A11" s="21" t="inlineStr">
        <is>
          <t>Total calculado</t>
        </is>
      </c>
      <c r="B11" s="22" t="n"/>
      <c r="C11" s="23" t="n"/>
      <c r="D11" s="23" t="n"/>
      <c r="E11" s="24">
        <f>SUM(E6:E10)</f>
        <v/>
      </c>
      <c r="F11" s="23" t="inlineStr"/>
    </row>
    <row r="12">
      <c r="A12" s="21" t="inlineStr">
        <is>
          <t>Total declarado no documento</t>
        </is>
      </c>
      <c r="B12" s="22" t="n"/>
      <c r="C12" s="23" t="n"/>
      <c r="D12" s="23" t="n"/>
      <c r="E12" s="25" t="n">
        <v>5560857.5</v>
      </c>
      <c r="F12" s="23" t="inlineStr"/>
    </row>
    <row r="13">
      <c r="A13" s="21" t="inlineStr">
        <is>
          <t>Diferença (calculado - declarado)</t>
        </is>
      </c>
      <c r="B13" s="22" t="n"/>
      <c r="C13" s="23" t="n"/>
      <c r="D13" s="23" t="n"/>
      <c r="E13" s="24">
        <f>E11-E12</f>
        <v/>
      </c>
      <c r="F13" s="23" t="inlineStr"/>
    </row>
    <row r="14">
      <c r="B14" s="17" t="n"/>
    </row>
    <row r="15">
      <c r="A15" s="3" t="inlineStr">
        <is>
          <t>Empresa 05 - Item 05 - Fazenda São Crispin (407,53 ha avaliados de 491,0 ha)</t>
        </is>
      </c>
      <c r="B15" s="17" t="n"/>
    </row>
    <row r="16">
      <c r="A16" s="6" t="inlineStr">
        <is>
          <t>Área Dona Rita - parte produtiva (35%)</t>
        </is>
      </c>
      <c r="B16" s="18" t="n">
        <v>100</v>
      </c>
      <c r="C16" s="6" t="inlineStr">
        <is>
          <t>ha</t>
        </is>
      </c>
      <c r="D16" s="7" t="n">
        <v>110000</v>
      </c>
      <c r="E16" s="9">
        <f>B16*D16</f>
        <v/>
      </c>
      <c r="F16" s="6" t="inlineStr"/>
    </row>
    <row r="17">
      <c r="A17" s="6" t="inlineStr">
        <is>
          <t>Área Dona Rita - parte não produtiva (65%)</t>
        </is>
      </c>
      <c r="B17" s="18" t="n">
        <v>186</v>
      </c>
      <c r="C17" s="6" t="inlineStr">
        <is>
          <t>ha</t>
        </is>
      </c>
      <c r="D17" s="7" t="n">
        <v>110000</v>
      </c>
      <c r="E17" s="9">
        <f>B17*D17</f>
        <v/>
      </c>
      <c r="F17" s="6" t="inlineStr"/>
    </row>
    <row r="18">
      <c r="A18" s="6" t="inlineStr">
        <is>
          <t>Área Zancheta - parte produtiva (80%)</t>
        </is>
      </c>
      <c r="B18" s="18" t="n">
        <v>45.6</v>
      </c>
      <c r="C18" s="6" t="inlineStr">
        <is>
          <t>ha</t>
        </is>
      </c>
      <c r="D18" s="7" t="n">
        <v>110000</v>
      </c>
      <c r="E18" s="9">
        <f>B18*D18</f>
        <v/>
      </c>
      <c r="F18" s="6" t="inlineStr"/>
    </row>
    <row r="19">
      <c r="A19" s="6" t="inlineStr">
        <is>
          <t>Área Zancheta - parte não produtiva (20%)</t>
        </is>
      </c>
      <c r="B19" s="18" t="n">
        <v>11.4</v>
      </c>
      <c r="C19" s="6" t="inlineStr">
        <is>
          <t>ha</t>
        </is>
      </c>
      <c r="D19" s="7" t="n">
        <v>110000</v>
      </c>
      <c r="E19" s="9">
        <f>B19*D19</f>
        <v/>
      </c>
      <c r="F19" s="6" t="inlineStr"/>
    </row>
    <row r="20">
      <c r="A20" s="6" t="inlineStr">
        <is>
          <t>Área Jane/João Paulo - produtiva (148,0 ha - 83,47 ha vendidos)</t>
        </is>
      </c>
      <c r="B20" s="18">
        <f>148-83.47</f>
        <v/>
      </c>
      <c r="C20" s="6" t="inlineStr">
        <is>
          <t>ha</t>
        </is>
      </c>
      <c r="D20" s="7" t="n">
        <v>110000</v>
      </c>
      <c r="E20" s="9">
        <f>B20*D20</f>
        <v/>
      </c>
      <c r="F20" s="6" t="inlineStr">
        <is>
          <t>83,47 ha da Matrícula 00.760 vendidos à Família Rigo.</t>
        </is>
      </c>
    </row>
    <row r="21">
      <c r="A21" s="6" t="inlineStr">
        <is>
          <t>Total de hectares avaliados</t>
        </is>
      </c>
      <c r="B21" s="18">
        <f>SUM(B16:B20)</f>
        <v/>
      </c>
      <c r="C21" s="6" t="inlineStr">
        <is>
          <t>ha</t>
        </is>
      </c>
      <c r="D21" s="6" t="n"/>
      <c r="E21" s="6" t="n"/>
      <c r="F21" s="6" t="inlineStr"/>
    </row>
    <row r="22">
      <c r="A22" s="21" t="inlineStr">
        <is>
          <t>Total calculado</t>
        </is>
      </c>
      <c r="B22" s="22" t="n"/>
      <c r="C22" s="23" t="n"/>
      <c r="D22" s="23" t="n"/>
      <c r="E22" s="24">
        <f>SUM(E16:E20)</f>
        <v/>
      </c>
      <c r="F22" s="23" t="inlineStr"/>
    </row>
    <row r="23">
      <c r="A23" s="21" t="inlineStr">
        <is>
          <t>Total declarado no documento</t>
        </is>
      </c>
      <c r="B23" s="22" t="n"/>
      <c r="C23" s="23" t="n"/>
      <c r="D23" s="23" t="n"/>
      <c r="E23" s="25" t="n">
        <v>44828300</v>
      </c>
      <c r="F23" s="23" t="inlineStr"/>
    </row>
    <row r="24">
      <c r="A24" s="21" t="inlineStr">
        <is>
          <t>Diferença (calculado - declarado)</t>
        </is>
      </c>
      <c r="B24" s="22" t="n"/>
      <c r="C24" s="23" t="n"/>
      <c r="D24" s="23" t="n"/>
      <c r="E24" s="24">
        <f>E22-E23</f>
        <v/>
      </c>
      <c r="F24" s="23" t="inlineStr"/>
    </row>
    <row r="25">
      <c r="B25" s="17" t="n"/>
    </row>
    <row r="26">
      <c r="A26" s="3" t="inlineStr">
        <is>
          <t>Empresa 10 - Item 04 - Imóvel BR 470, Km 175,4 (Oleoplan)</t>
        </is>
      </c>
      <c r="B26" s="17" t="n"/>
    </row>
    <row r="27">
      <c r="A27" s="6" t="inlineStr">
        <is>
          <t>Terreno (R$ 2.000,00/m²)</t>
        </is>
      </c>
      <c r="B27" s="18" t="n">
        <v>4792.03</v>
      </c>
      <c r="C27" s="6" t="inlineStr">
        <is>
          <t>m²</t>
        </is>
      </c>
      <c r="D27" s="7" t="n">
        <v>2000</v>
      </c>
      <c r="E27" s="9">
        <f>B27*D27</f>
        <v/>
      </c>
      <c r="F27" s="6" t="inlineStr">
        <is>
          <t>Documento: R$ 9.584.060,00.</t>
        </is>
      </c>
    </row>
    <row r="28">
      <c r="A28" s="6" t="inlineStr">
        <is>
          <t>Pavilhões - CUB ago/2017</t>
        </is>
      </c>
      <c r="B28" s="18" t="n">
        <v>4170</v>
      </c>
      <c r="C28" s="6" t="inlineStr">
        <is>
          <t>m²</t>
        </is>
      </c>
      <c r="D28" s="7" t="n">
        <v>746.6</v>
      </c>
      <c r="E28" s="9">
        <f>B28*D28</f>
        <v/>
      </c>
      <c r="F28" s="6" t="inlineStr">
        <is>
          <t>Documento: R$ 3.113.322,00.</t>
        </is>
      </c>
    </row>
    <row r="29">
      <c r="A29" s="6" t="inlineStr">
        <is>
          <t>Obra civil dos pavilhões = 30% da obra feita</t>
        </is>
      </c>
      <c r="B29" s="19" t="n"/>
      <c r="C29" s="6" t="n"/>
      <c r="D29" s="20" t="n">
        <v>0.3</v>
      </c>
      <c r="E29" s="9">
        <f>D29*E28</f>
        <v/>
      </c>
      <c r="F29" s="6" t="inlineStr">
        <is>
          <t>Documento: R$ 933.996,60.</t>
        </is>
      </c>
    </row>
    <row r="30">
      <c r="A30" s="21" t="inlineStr">
        <is>
          <t>Total calculado</t>
        </is>
      </c>
      <c r="B30" s="22" t="n"/>
      <c r="C30" s="23" t="n"/>
      <c r="D30" s="23" t="n"/>
      <c r="E30" s="24">
        <f>SUM(E27:E29)</f>
        <v/>
      </c>
      <c r="F30" s="23" t="inlineStr"/>
    </row>
    <row r="31">
      <c r="A31" s="21" t="inlineStr">
        <is>
          <t>Total declarado no documento</t>
        </is>
      </c>
      <c r="B31" s="22" t="n"/>
      <c r="C31" s="23" t="n"/>
      <c r="D31" s="23" t="n"/>
      <c r="E31" s="25" t="n">
        <v>10631378.6</v>
      </c>
      <c r="F31" s="23" t="inlineStr"/>
    </row>
    <row r="32">
      <c r="A32" s="26" t="inlineStr">
        <is>
          <t>Diferença (calculado - declarado)</t>
        </is>
      </c>
      <c r="B32" s="27" t="n"/>
      <c r="C32" s="10" t="n"/>
      <c r="D32" s="10" t="n"/>
      <c r="E32" s="28">
        <f>E30-E31</f>
        <v/>
      </c>
      <c r="F32" s="10" t="inlineStr">
        <is>
          <t>Diferença de R$ 3.000.000,00: o total declarado só fecha se o terreno valer R$ 6.584.060,00 (e não R$ 9.584.060,00). Confirmar com o autor do documento.</t>
        </is>
      </c>
    </row>
    <row r="33">
      <c r="B33" s="17" t="n"/>
    </row>
    <row r="34">
      <c r="B34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2026-10-26T17:20:29Z</dcterms:created>
  <dcterms:modified xsi:type="dcterms:W3CDTF">2026-10-26T17:20:29Z</dcterms:modified>
</cp:coreProperties>
</file>